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sso auditor\Downloads\"/>
    </mc:Choice>
  </mc:AlternateContent>
  <xr:revisionPtr revIDLastSave="0" documentId="13_ncr:1_{206B95A0-845A-4DF0-9DD3-96A5FE5631A8}" xr6:coauthVersionLast="47" xr6:coauthVersionMax="47" xr10:uidLastSave="{00000000-0000-0000-0000-000000000000}"/>
  <bookViews>
    <workbookView xWindow="-120" yWindow="-120" windowWidth="29040" windowHeight="15720" tabRatio="941" activeTab="8" xr2:uid="{00000000-000D-0000-FFFF-FFFF00000000}"/>
  </bookViews>
  <sheets>
    <sheet name="INDEX" sheetId="1" r:id="rId1"/>
    <sheet name="R&amp;P_PIVOT" sheetId="18" state="hidden" r:id="rId2"/>
    <sheet name="1-TXN-REG" sheetId="2" r:id="rId3"/>
    <sheet name="2-RECEIPTS" sheetId="3" r:id="rId4"/>
    <sheet name="3-PAYMENTS" sheetId="4" r:id="rId5"/>
    <sheet name="4-R&amp;P-SUMMARY" sheetId="5" r:id="rId6"/>
    <sheet name="5-BANK-RECON" sheetId="6" state="hidden" r:id="rId7"/>
    <sheet name="6-PAYROLL" sheetId="8" r:id="rId8"/>
    <sheet name="7-FIXED-PMTS" sheetId="9" r:id="rId9"/>
    <sheet name="8-TAX" sheetId="11" r:id="rId10"/>
    <sheet name="A-GRANTS" sheetId="12" r:id="rId11"/>
    <sheet name="B-COMPLIANCE" sheetId="16" state="hidden" r:id="rId12"/>
  </sheets>
  <definedNames>
    <definedName name="_xlnm._FilterDatabase" localSheetId="2" hidden="1">'1-TXN-REG'!$I$1:$I$2024</definedName>
    <definedName name="_xlnm._FilterDatabase" localSheetId="3" hidden="1">'2-RECEIPTS'!$D$1:$D$645</definedName>
    <definedName name="_xlnm._FilterDatabase" localSheetId="4" hidden="1">'3-PAYMENTS'!$D$1:$D$1439</definedName>
    <definedName name="_xlnm._FilterDatabase" localSheetId="7" hidden="1">'6-PAYROLL'!$D$1:$D$833</definedName>
    <definedName name="_xlnm._FilterDatabase" localSheetId="9" hidden="1">'8-TAX'!$F$1:$F$41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7" i="5" l="1"/>
  <c r="L77" i="5"/>
  <c r="K77" i="5"/>
  <c r="I77" i="5"/>
  <c r="H77" i="5"/>
  <c r="G77" i="5"/>
  <c r="E77" i="5"/>
  <c r="D77" i="5"/>
  <c r="C77" i="5"/>
  <c r="B77" i="5"/>
  <c r="N76" i="5"/>
  <c r="N75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7" i="5"/>
  <c r="N36" i="5"/>
  <c r="N35" i="5"/>
  <c r="N34" i="5"/>
  <c r="N33" i="5"/>
  <c r="N32" i="5"/>
  <c r="N31" i="5"/>
  <c r="N30" i="5"/>
  <c r="N29" i="5"/>
  <c r="N28" i="5"/>
  <c r="N27" i="5"/>
  <c r="N26" i="5"/>
  <c r="H136" i="8"/>
  <c r="F74" i="5"/>
  <c r="N74" i="5" s="1"/>
  <c r="J38" i="5"/>
  <c r="N38" i="5" s="1"/>
  <c r="F40" i="11"/>
  <c r="M22" i="5"/>
  <c r="L22" i="5"/>
  <c r="K22" i="5"/>
  <c r="J22" i="5"/>
  <c r="I22" i="5"/>
  <c r="H22" i="5"/>
  <c r="G22" i="5"/>
  <c r="F22" i="5"/>
  <c r="E22" i="5"/>
  <c r="D22" i="5"/>
  <c r="C22" i="5"/>
  <c r="H80" i="5"/>
  <c r="B5" i="5"/>
  <c r="B22" i="5" s="1"/>
  <c r="N11" i="5"/>
  <c r="J77" i="5" l="1"/>
  <c r="F77" i="5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4" i="4"/>
  <c r="I80" i="3" l="1"/>
  <c r="C4" i="2" l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C5" i="2"/>
  <c r="C6" i="2"/>
  <c r="J125" i="8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57" i="3"/>
  <c r="K57" i="3"/>
  <c r="J58" i="3"/>
  <c r="K58" i="3"/>
  <c r="J59" i="3"/>
  <c r="K59" i="3"/>
  <c r="J60" i="3"/>
  <c r="K60" i="3"/>
  <c r="J61" i="3"/>
  <c r="K61" i="3"/>
  <c r="J62" i="3"/>
  <c r="K62" i="3"/>
  <c r="J63" i="3"/>
  <c r="K63" i="3"/>
  <c r="J64" i="3"/>
  <c r="K64" i="3"/>
  <c r="J65" i="3"/>
  <c r="K65" i="3"/>
  <c r="J66" i="3"/>
  <c r="K66" i="3"/>
  <c r="J67" i="3"/>
  <c r="K67" i="3"/>
  <c r="J68" i="3"/>
  <c r="K68" i="3"/>
  <c r="J69" i="3"/>
  <c r="K69" i="3"/>
  <c r="J70" i="3"/>
  <c r="K70" i="3"/>
  <c r="J71" i="3"/>
  <c r="K71" i="3"/>
  <c r="J72" i="3"/>
  <c r="K72" i="3"/>
  <c r="J73" i="3"/>
  <c r="K73" i="3"/>
  <c r="J74" i="3"/>
  <c r="K74" i="3"/>
  <c r="J75" i="3"/>
  <c r="K75" i="3"/>
  <c r="J76" i="3"/>
  <c r="K76" i="3"/>
  <c r="J77" i="3"/>
  <c r="K77" i="3"/>
  <c r="J78" i="3"/>
  <c r="K78" i="3"/>
  <c r="J79" i="3"/>
  <c r="K79" i="3"/>
  <c r="J45" i="3"/>
  <c r="K45" i="3"/>
  <c r="J46" i="3"/>
  <c r="K46" i="3"/>
  <c r="J47" i="3"/>
  <c r="K47" i="3"/>
  <c r="J48" i="3"/>
  <c r="K48" i="3"/>
  <c r="J49" i="3"/>
  <c r="K49" i="3"/>
  <c r="J50" i="3"/>
  <c r="K50" i="3"/>
  <c r="J51" i="3"/>
  <c r="K51" i="3"/>
  <c r="J52" i="3"/>
  <c r="K52" i="3"/>
  <c r="J53" i="3"/>
  <c r="K53" i="3"/>
  <c r="J54" i="3"/>
  <c r="K54" i="3"/>
  <c r="J55" i="3"/>
  <c r="K55" i="3"/>
  <c r="J56" i="3"/>
  <c r="K56" i="3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07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8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503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477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B89" i="5"/>
  <c r="O77" i="5"/>
  <c r="O22" i="5"/>
  <c r="N25" i="5"/>
  <c r="C79" i="5"/>
  <c r="N5" i="5"/>
  <c r="N6" i="5"/>
  <c r="N7" i="5"/>
  <c r="N9" i="5"/>
  <c r="N10" i="5"/>
  <c r="N14" i="5"/>
  <c r="N15" i="5"/>
  <c r="N16" i="5"/>
  <c r="N17" i="5"/>
  <c r="N19" i="5"/>
  <c r="N20" i="5"/>
  <c r="N21" i="5"/>
  <c r="F6" i="12"/>
  <c r="F4" i="6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N22" i="5" l="1"/>
  <c r="M79" i="5"/>
  <c r="K79" i="5"/>
  <c r="I79" i="5"/>
  <c r="G79" i="5"/>
  <c r="E79" i="5"/>
  <c r="H1507" i="2"/>
  <c r="H1508" i="2" s="1"/>
  <c r="H803" i="2"/>
  <c r="H804" i="2" s="1"/>
  <c r="H805" i="2" s="1"/>
  <c r="H806" i="2" s="1"/>
  <c r="H807" i="2" s="1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H854" i="2" s="1"/>
  <c r="H855" i="2" s="1"/>
  <c r="H856" i="2" s="1"/>
  <c r="H857" i="2" s="1"/>
  <c r="H858" i="2" s="1"/>
  <c r="H859" i="2" s="1"/>
  <c r="H860" i="2" s="1"/>
  <c r="H861" i="2" s="1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929" i="2" s="1"/>
  <c r="H930" i="2" s="1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H1078" i="2" s="1"/>
  <c r="H1079" i="2" s="1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H1119" i="2" s="1"/>
  <c r="H1120" i="2" s="1"/>
  <c r="H1121" i="2" s="1"/>
  <c r="H1122" i="2" s="1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H1242" i="2" s="1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H1283" i="2" s="1"/>
  <c r="H1284" i="2" s="1"/>
  <c r="H1285" i="2" s="1"/>
  <c r="H1286" i="2" s="1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358" i="2" s="1"/>
  <c r="H1359" i="2" s="1"/>
  <c r="H1360" i="2" s="1"/>
  <c r="H1361" i="2" s="1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H1378" i="2" s="1"/>
  <c r="H1379" i="2" s="1"/>
  <c r="H1380" i="2" s="1"/>
  <c r="H1381" i="2" s="1"/>
  <c r="H1382" i="2" s="1"/>
  <c r="H1383" i="2" s="1"/>
  <c r="H1384" i="2" s="1"/>
  <c r="H1385" i="2" s="1"/>
  <c r="H1386" i="2" s="1"/>
  <c r="H1387" i="2" s="1"/>
  <c r="H1388" i="2" s="1"/>
  <c r="H1389" i="2" s="1"/>
  <c r="H1390" i="2" s="1"/>
  <c r="H1391" i="2" s="1"/>
  <c r="H1392" i="2" s="1"/>
  <c r="H1393" i="2" s="1"/>
  <c r="H1394" i="2" s="1"/>
  <c r="H1395" i="2" s="1"/>
  <c r="H1396" i="2" s="1"/>
  <c r="H1397" i="2" s="1"/>
  <c r="H1398" i="2" s="1"/>
  <c r="H1399" i="2" s="1"/>
  <c r="H1400" i="2" s="1"/>
  <c r="H1401" i="2" s="1"/>
  <c r="H1402" i="2" s="1"/>
  <c r="H1403" i="2" s="1"/>
  <c r="H1404" i="2" s="1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1451" i="2" s="1"/>
  <c r="H1452" i="2" s="1"/>
  <c r="H1453" i="2" s="1"/>
  <c r="H1454" i="2" s="1"/>
  <c r="H1455" i="2" s="1"/>
  <c r="H1456" i="2" s="1"/>
  <c r="H1457" i="2" s="1"/>
  <c r="H1458" i="2" s="1"/>
  <c r="H1459" i="2" s="1"/>
  <c r="H1460" i="2" s="1"/>
  <c r="H1461" i="2" s="1"/>
  <c r="H1462" i="2" s="1"/>
  <c r="H1463" i="2" s="1"/>
  <c r="H1464" i="2" s="1"/>
  <c r="H1465" i="2" s="1"/>
  <c r="H1466" i="2" s="1"/>
  <c r="H1467" i="2" s="1"/>
  <c r="H1468" i="2" s="1"/>
  <c r="H1469" i="2" s="1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503" i="2"/>
  <c r="H477" i="2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O79" i="5"/>
  <c r="N77" i="5"/>
  <c r="L79" i="5"/>
  <c r="J79" i="5"/>
  <c r="H79" i="5"/>
  <c r="F79" i="5"/>
  <c r="D79" i="5"/>
  <c r="H1509" i="2" l="1"/>
  <c r="H1510" i="2" s="1"/>
  <c r="H1511" i="2" s="1"/>
  <c r="H1512" i="2" s="1"/>
  <c r="H1513" i="2" s="1"/>
  <c r="H1514" i="2" s="1"/>
  <c r="H504" i="2"/>
  <c r="H505" i="2" s="1"/>
  <c r="H506" i="2" s="1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6" i="12"/>
  <c r="E8" i="9"/>
  <c r="F7" i="9"/>
  <c r="F6" i="9"/>
  <c r="F5" i="9"/>
  <c r="F4" i="9"/>
  <c r="F15" i="6"/>
  <c r="F14" i="6"/>
  <c r="H14" i="6" s="1"/>
  <c r="F13" i="6"/>
  <c r="H13" i="6" s="1"/>
  <c r="F12" i="6"/>
  <c r="H12" i="6" s="1"/>
  <c r="F11" i="6"/>
  <c r="F10" i="6"/>
  <c r="H10" i="6" s="1"/>
  <c r="F9" i="6"/>
  <c r="H9" i="6" s="1"/>
  <c r="F8" i="6"/>
  <c r="H8" i="6" s="1"/>
  <c r="F7" i="6"/>
  <c r="F6" i="6"/>
  <c r="H6" i="6" s="1"/>
  <c r="F5" i="6"/>
  <c r="H5" i="6" s="1"/>
  <c r="H4" i="6"/>
  <c r="H1515" i="2" l="1"/>
  <c r="H1516" i="2" s="1"/>
  <c r="H1517" i="2" s="1"/>
  <c r="H1518" i="2" s="1"/>
  <c r="H1519" i="2" s="1"/>
  <c r="H15" i="6"/>
  <c r="H11" i="6"/>
  <c r="H7" i="6"/>
  <c r="B79" i="5"/>
  <c r="B81" i="5" s="1"/>
  <c r="C81" i="5" s="1"/>
  <c r="D81" i="5"/>
  <c r="E81" i="5" s="1"/>
  <c r="F81" i="5" s="1"/>
  <c r="G81" i="5" s="1"/>
  <c r="I6" i="12"/>
  <c r="F8" i="9"/>
  <c r="H81" i="5" l="1"/>
  <c r="I81" i="5" s="1"/>
  <c r="J81" i="5" s="1"/>
  <c r="K81" i="5" s="1"/>
  <c r="L81" i="5" s="1"/>
  <c r="M81" i="5" s="1"/>
  <c r="O81" i="5"/>
</calcChain>
</file>

<file path=xl/sharedStrings.xml><?xml version="1.0" encoding="utf-8"?>
<sst xmlns="http://schemas.openxmlformats.org/spreadsheetml/2006/main" count="3727" uniqueCount="343">
  <si>
    <t>Organisation Name:</t>
  </si>
  <si>
    <t>Period From:</t>
  </si>
  <si>
    <t>CAC Reg. Number:</t>
  </si>
  <si>
    <t>Period To:</t>
  </si>
  <si>
    <t>Prepared By:</t>
  </si>
  <si>
    <t>Date Prepared:</t>
  </si>
  <si>
    <t>Reviewed By:</t>
  </si>
  <si>
    <t>Tax-Exempt Status:</t>
  </si>
  <si>
    <t>SCHEDULE INDEX</t>
  </si>
  <si>
    <t>#</t>
  </si>
  <si>
    <t>Schedule Name</t>
  </si>
  <si>
    <t>Tab</t>
  </si>
  <si>
    <t>Purpose</t>
  </si>
  <si>
    <t>Status</t>
  </si>
  <si>
    <t>Raw Transaction Register</t>
  </si>
  <si>
    <t>1-TXN-REG</t>
  </si>
  <si>
    <t>Master data entry — every bank transaction</t>
  </si>
  <si>
    <t>2-DONOR-RECEIPTS</t>
  </si>
  <si>
    <t>All credits by donor, grant &amp; restriction type</t>
  </si>
  <si>
    <t>3-PAYMENTS</t>
  </si>
  <si>
    <t>All debits mapped to project &amp; programme</t>
  </si>
  <si>
    <t>Statement of Receipts &amp; Payments</t>
  </si>
  <si>
    <t>4-R&amp;P-SUMMARY</t>
  </si>
  <si>
    <t>NGO cash-basis income statement equivalent</t>
  </si>
  <si>
    <t>Bank Balance Reconciliation</t>
  </si>
  <si>
    <t>Payroll Schedule</t>
  </si>
  <si>
    <t>Reconstructed staff cost register</t>
  </si>
  <si>
    <t>Fixed &amp; Recurring Payments</t>
  </si>
  <si>
    <t>Overhead — rent, utilities, subscriptions</t>
  </si>
  <si>
    <t>Tax Remittance Schedule</t>
  </si>
  <si>
    <t>PAYE / WHT remittances &amp; exempt-status note</t>
  </si>
  <si>
    <t>A</t>
  </si>
  <si>
    <t>Donor / Grant Receipts Detail</t>
  </si>
  <si>
    <t>A-GRANTS</t>
  </si>
  <si>
    <t>Restricted vs unrestricted fund tracking</t>
  </si>
  <si>
    <t>B</t>
  </si>
  <si>
    <t>NGO Compliance Checklist</t>
  </si>
  <si>
    <t>E-COMPLIANCE</t>
  </si>
  <si>
    <t>CAC / SCUML / FIRS / CBN checklist</t>
  </si>
  <si>
    <t>SCHEDULE 1 — RAW TRANSACTION REGISTER</t>
  </si>
  <si>
    <t>Source: Bank Statements | One row per transaction | Foundation for all schedules</t>
  </si>
  <si>
    <t>Date</t>
  </si>
  <si>
    <t>Bank Account</t>
  </si>
  <si>
    <t>Ref / Narration</t>
  </si>
  <si>
    <t>Debit (₦)</t>
  </si>
  <si>
    <t>Credit (₦)</t>
  </si>
  <si>
    <t>Balance (₦)</t>
  </si>
  <si>
    <t>Category</t>
  </si>
  <si>
    <t>Sub-Category</t>
  </si>
  <si>
    <t>Donor / Project Code</t>
  </si>
  <si>
    <t>Restricted?</t>
  </si>
  <si>
    <t>Notes</t>
  </si>
  <si>
    <t>Flag</t>
  </si>
  <si>
    <t>dd/mm/yyyy</t>
  </si>
  <si>
    <t>Opening Balance</t>
  </si>
  <si>
    <t>Grant</t>
  </si>
  <si>
    <t>PAYE</t>
  </si>
  <si>
    <t>TOTALS</t>
  </si>
  <si>
    <t>SCHEDULE 2 — DONOR &amp; GRANT RECEIPTS SCHEDULE</t>
  </si>
  <si>
    <t>Narration</t>
  </si>
  <si>
    <t>Donor Name</t>
  </si>
  <si>
    <t>Grant / Ref No.</t>
  </si>
  <si>
    <t>Funding Type</t>
  </si>
  <si>
    <t>Restriction</t>
  </si>
  <si>
    <t>Amount (₦)</t>
  </si>
  <si>
    <t>Cumul. (₦)</t>
  </si>
  <si>
    <t>% of Total</t>
  </si>
  <si>
    <t>Project Code</t>
  </si>
  <si>
    <t>TOTAL RECEIPTS</t>
  </si>
  <si>
    <t>All debits mapped to category, programme area and donor fund | Cross-ref to Schedule 1</t>
  </si>
  <si>
    <t>Programme Area</t>
  </si>
  <si>
    <t>Donor Fund Charged</t>
  </si>
  <si>
    <t>Audited?</t>
  </si>
  <si>
    <t>Rent</t>
  </si>
  <si>
    <t>TOTAL PAYMENTS</t>
  </si>
  <si>
    <t>SCHEDULE 4 — STATEMENT OF RECEIPTS &amp; PAYMENTS</t>
  </si>
  <si>
    <t>NGO cash-basis financial statement | Replaces Income Statement | Derived from Schedules 2 &amp; 3</t>
  </si>
  <si>
    <t>DESCRIPTION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</si>
  <si>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</si>
  <si>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</si>
  <si>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</si>
  <si>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</si>
  <si>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</si>
  <si>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</si>
  <si>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</si>
  <si>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</si>
  <si>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</si>
  <si>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</si>
  <si>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</si>
  <si>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</si>
  <si>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</si>
  <si>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RECEIPTS</t>
  </si>
  <si>
    <t>PAYMENTS</t>
  </si>
  <si>
    <t>NET SURPLUS / (DEFICIT)</t>
  </si>
  <si>
    <t>Opening Cash Balance</t>
  </si>
  <si>
    <t>CLOSING CASH BALANCE</t>
  </si>
  <si>
    <t>SCHEDULE 5 — BANK BALANCE RECONCILIATION</t>
  </si>
  <si>
    <t>Period-by-period verification | Confirms completeness of transaction register</t>
  </si>
  <si>
    <t>Period</t>
  </si>
  <si>
    <t>Opening Bal. (₦)</t>
  </si>
  <si>
    <t>Total Receipts (₦)</t>
  </si>
  <si>
    <t>Total Payments (₦)</t>
  </si>
  <si>
    <t>Calc. Closing (₦)</t>
  </si>
  <si>
    <t>Statement Closing (₦)</t>
  </si>
  <si>
    <t>Difference (₦)</t>
  </si>
  <si>
    <t>Remarks</t>
  </si>
  <si>
    <t>January</t>
  </si>
  <si>
    <t>Account Name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</si>
  <si>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</si>
  <si>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</si>
  <si>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</si>
  <si>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</si>
  <si>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</si>
  <si>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</si>
  <si>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</si>
  <si>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</si>
  <si>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</si>
  <si>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</si>
  <si>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Amount Received (₦)</t>
  </si>
  <si>
    <t>SCHEDULE 7 — PAYROLL SCHEDULE</t>
  </si>
  <si>
    <t>Reconstructed staff cost | Split by Programme vs Admin for cost-ratio analysis</t>
  </si>
  <si>
    <t>Payment Date</t>
  </si>
  <si>
    <t>Staff Category</t>
  </si>
  <si>
    <t>Programme / Admin</t>
  </si>
  <si>
    <t>Gross Amount (₦)</t>
  </si>
  <si>
    <t>Frequency</t>
  </si>
  <si>
    <t>Monthly Equiv. (₦)</t>
  </si>
  <si>
    <t>SCHEDULE 8 — FIXED &amp; RECURRING PAYMENTS</t>
  </si>
  <si>
    <t>Overhead reconstruction | Rent, utilities, subscriptions — used for admin/programme ratio</t>
  </si>
  <si>
    <t>Payee</t>
  </si>
  <si>
    <t>Amount/Period (₦)</t>
  </si>
  <si>
    <t>Annual Total (₦)</t>
  </si>
  <si>
    <t>First Payment</t>
  </si>
  <si>
    <t>Last Payment</t>
  </si>
  <si>
    <t>Electricity</t>
  </si>
  <si>
    <t>Audit Fees</t>
  </si>
  <si>
    <t>SCHEDULE 10 — TAX REMITTANCE SCHEDULE</t>
  </si>
  <si>
    <t>PAYE &amp; WHT remittances | Note: NGOs exempt from CIT/VAT if duly registered with FIRS</t>
  </si>
  <si>
    <t>Tax Authority</t>
  </si>
  <si>
    <t>Tax Type</t>
  </si>
  <si>
    <t>Period Covered</t>
  </si>
  <si>
    <t>Receipt / Ref</t>
  </si>
  <si>
    <t>State IRS</t>
  </si>
  <si>
    <t>Paid</t>
  </si>
  <si>
    <t>FIRS</t>
  </si>
  <si>
    <t>SCHEDULE A — DONOR / GRANT RECEIPTS DETAIL</t>
  </si>
  <si>
    <t>Full grant lifecycle tracking | Agreement → Receipt → Utilisation | NEW NGO Schedule</t>
  </si>
  <si>
    <t>Donor</t>
  </si>
  <si>
    <t>Grant Title</t>
  </si>
  <si>
    <t>Grant Ref</t>
  </si>
  <si>
    <t>Currency</t>
  </si>
  <si>
    <t>Receipt Date</t>
  </si>
  <si>
    <t>Balance Undrawn (₦)</t>
  </si>
  <si>
    <t>Start Date</t>
  </si>
  <si>
    <t>End Date</t>
  </si>
  <si>
    <t>Restriction Type</t>
  </si>
  <si>
    <t>Purpose / Condition</t>
  </si>
  <si>
    <t>Staff Cost</t>
  </si>
  <si>
    <t>SCHEDULE E — NGO REGULATORY COMPLIANCE CHECKLIST (NIGERIA)</t>
  </si>
  <si>
    <t>CAC | SCUML | FIRS | CBN | CAMA 2020 | Verify each item before issuing audit schedules</t>
  </si>
  <si>
    <t>Regulatory Body</t>
  </si>
  <si>
    <t>Requirement</t>
  </si>
  <si>
    <t>Legal Basis</t>
  </si>
  <si>
    <t>Document / Reference</t>
  </si>
  <si>
    <t>Date Verified</t>
  </si>
  <si>
    <t>CAC</t>
  </si>
  <si>
    <t>Incorporated Trustee Registration</t>
  </si>
  <si>
    <t>CAMA 2020, Part F</t>
  </si>
  <si>
    <t>Not Verified</t>
  </si>
  <si>
    <t>Annual Returns filed (all years)</t>
  </si>
  <si>
    <t>CAMA 2020, S.850</t>
  </si>
  <si>
    <t>Current Trustees — CAC records updated</t>
  </si>
  <si>
    <t>CAMA 2020</t>
  </si>
  <si>
    <t>Tax Identification Number (TIN)</t>
  </si>
  <si>
    <t>FIRS Act</t>
  </si>
  <si>
    <t>Tax Exemption Letter obtained</t>
  </si>
  <si>
    <t>FIRS Act, S.23(1)(c)</t>
  </si>
  <si>
    <t>PAYE registration &amp; remittance</t>
  </si>
  <si>
    <t>PITA</t>
  </si>
  <si>
    <t>WHT compliance on contracts</t>
  </si>
  <si>
    <t>CITA</t>
  </si>
  <si>
    <t>VAT exemption confirmed in writing</t>
  </si>
  <si>
    <t>VATA (if applicable)</t>
  </si>
  <si>
    <t>SCUML</t>
  </si>
  <si>
    <t>SCUML Registration Certificate</t>
  </si>
  <si>
    <t>Money Laundering (Prevention) Act 2022</t>
  </si>
  <si>
    <t>Annual Compliance Report filed</t>
  </si>
  <si>
    <t>AML/CFT Regulations</t>
  </si>
  <si>
    <t>CBN</t>
  </si>
  <si>
    <t>Foreign receipts reported (if any)</t>
  </si>
  <si>
    <t>BOFIA / CBN FX Regulations</t>
  </si>
  <si>
    <t>Domiciliary account (if USD/EUR received)</t>
  </si>
  <si>
    <t>CBN Guidelines</t>
  </si>
  <si>
    <t>PAYE registration — state of operation</t>
  </si>
  <si>
    <t>PAYE remittances current</t>
  </si>
  <si>
    <t>Internal</t>
  </si>
  <si>
    <t>Board approval for all loans</t>
  </si>
  <si>
    <t>Best practice / constitution</t>
  </si>
  <si>
    <t>Board-approved budget for period</t>
  </si>
  <si>
    <t>Best practice</t>
  </si>
  <si>
    <t>Financial regulations / policy in place</t>
  </si>
  <si>
    <t>Audited accounts — prior years</t>
  </si>
  <si>
    <t>Best practice / CAC requirement</t>
  </si>
  <si>
    <t>Total Items: 18 | Complete all status fields before finalising audit schedules. "Non-Compliant" items must be disclosed in audit findings.</t>
  </si>
  <si>
    <t>SN</t>
  </si>
  <si>
    <t>Procurement</t>
  </si>
  <si>
    <t>Subscription</t>
  </si>
  <si>
    <t>Printing &amp; Stationery</t>
  </si>
  <si>
    <t>Staff Training Expenses</t>
  </si>
  <si>
    <t>Staff Welfare</t>
  </si>
  <si>
    <t>Finance Charges</t>
  </si>
  <si>
    <t>Inter Account Transfers</t>
  </si>
  <si>
    <t>FX Transactions</t>
  </si>
  <si>
    <t>Board Meeting Expenses</t>
  </si>
  <si>
    <t>Petty Cash</t>
  </si>
  <si>
    <t>Admin &amp; Office Expenses</t>
  </si>
  <si>
    <t>Telephone &amp; Communication Expenses</t>
  </si>
  <si>
    <t>Online Purchase</t>
  </si>
  <si>
    <t>Sahad Stores</t>
  </si>
  <si>
    <t>Repair and Maintenance</t>
  </si>
  <si>
    <t>Entertainment</t>
  </si>
  <si>
    <t>Medical Expenses</t>
  </si>
  <si>
    <t>Online Payment</t>
  </si>
  <si>
    <t>Sarumi Temitope</t>
  </si>
  <si>
    <t>Mutual Trust Microfinance Bank</t>
  </si>
  <si>
    <t>Home Banking Account</t>
  </si>
  <si>
    <t>Koliaangel Ltd</t>
  </si>
  <si>
    <t>Internet Subscription</t>
  </si>
  <si>
    <t>CUTEMAN RESOURCES LTD</t>
  </si>
  <si>
    <t>DONAROSE CONCEPT LTD</t>
  </si>
  <si>
    <t>Hotel Accomodation</t>
  </si>
  <si>
    <t>Climax Universal Empor</t>
  </si>
  <si>
    <t>1 PAYMENT FOR ASSET TAGS PRINTING</t>
  </si>
  <si>
    <t>Taxation</t>
  </si>
  <si>
    <t>Branding Stickers</t>
  </si>
  <si>
    <t>Legal and Consultancy</t>
  </si>
  <si>
    <t>Inventory Stickers</t>
  </si>
  <si>
    <t>Data Entry Clerk</t>
  </si>
  <si>
    <t>Inverter Set up</t>
  </si>
  <si>
    <t>Lighting Installation</t>
  </si>
  <si>
    <t>HMO Plan</t>
  </si>
  <si>
    <t>Computer Equipment</t>
  </si>
  <si>
    <t>Furniture &amp; Fittings</t>
  </si>
  <si>
    <t>Computer Accessories</t>
  </si>
  <si>
    <t>Refund by Jummia</t>
  </si>
  <si>
    <t>Row Labels</t>
  </si>
  <si>
    <t>Grand Total</t>
  </si>
  <si>
    <t>Column Labels</t>
  </si>
  <si>
    <t>Sum of Debit (₦)</t>
  </si>
  <si>
    <t>Sum of Credit (₦)</t>
  </si>
  <si>
    <t>S/N</t>
  </si>
  <si>
    <t xml:space="preserve">All credits categorised by donor, grant reference and restriction type </t>
  </si>
  <si>
    <t>SCHEDULE 3 — CASH PAYMENTS SCHEDULE</t>
  </si>
  <si>
    <t>Sept</t>
  </si>
  <si>
    <t>Receipts Schedule</t>
  </si>
  <si>
    <t>Cash Payments Schedule</t>
  </si>
  <si>
    <t>Previously Provided</t>
  </si>
  <si>
    <t>6-PAYROLL</t>
  </si>
  <si>
    <t>7-FIXED-PMTS</t>
  </si>
  <si>
    <t>8-TAX</t>
  </si>
  <si>
    <t>To be completed</t>
  </si>
  <si>
    <t>vat</t>
  </si>
  <si>
    <t>Salary</t>
  </si>
  <si>
    <t>Pension</t>
  </si>
  <si>
    <t>bank charges</t>
  </si>
  <si>
    <t>office equipment</t>
  </si>
  <si>
    <t>Card top up</t>
  </si>
  <si>
    <t>NHF</t>
  </si>
  <si>
    <t>Bank charges</t>
  </si>
  <si>
    <t>internet subscription</t>
  </si>
  <si>
    <t>cash withdrawal</t>
  </si>
  <si>
    <t>wages and salary</t>
  </si>
  <si>
    <t>fct irs</t>
  </si>
  <si>
    <t>internet subcription</t>
  </si>
  <si>
    <t>consultancy fee</t>
  </si>
  <si>
    <t>entertainment</t>
  </si>
  <si>
    <t>insurance</t>
  </si>
  <si>
    <t>mortgage bank</t>
  </si>
  <si>
    <t>data entry</t>
  </si>
  <si>
    <t>hmo</t>
  </si>
  <si>
    <t>staff allowance</t>
  </si>
  <si>
    <t>office expenses</t>
  </si>
  <si>
    <t>pension</t>
  </si>
  <si>
    <t>firs</t>
  </si>
  <si>
    <t>repair and maintenance</t>
  </si>
  <si>
    <t>fuel and diesel</t>
  </si>
  <si>
    <t>water supplies</t>
  </si>
  <si>
    <t>toilet supplies</t>
  </si>
  <si>
    <t>imprest</t>
  </si>
  <si>
    <t>power supply</t>
  </si>
  <si>
    <t>security expenses</t>
  </si>
  <si>
    <t>welfare</t>
  </si>
  <si>
    <t>reimbursement</t>
  </si>
  <si>
    <t>performance expenses</t>
  </si>
  <si>
    <t>first aid supplies</t>
  </si>
  <si>
    <t>stationery</t>
  </si>
  <si>
    <t>contract</t>
  </si>
  <si>
    <t>sanitation</t>
  </si>
  <si>
    <t>fmoh</t>
  </si>
  <si>
    <t>certificate renewal</t>
  </si>
  <si>
    <t>income</t>
  </si>
  <si>
    <t>card top up</t>
  </si>
  <si>
    <t>comission</t>
  </si>
  <si>
    <t>swift transfer</t>
  </si>
  <si>
    <t>overseas bank charges</t>
  </si>
  <si>
    <t>cash wihdrawal</t>
  </si>
  <si>
    <t>subscription</t>
  </si>
  <si>
    <t>reversal</t>
  </si>
  <si>
    <t>aedc</t>
  </si>
  <si>
    <t>fund transfer</t>
  </si>
  <si>
    <t>office power</t>
  </si>
  <si>
    <t>fund tranfer</t>
  </si>
  <si>
    <t>federal mortage bank</t>
  </si>
  <si>
    <t>software installation</t>
  </si>
  <si>
    <t>paye</t>
  </si>
  <si>
    <t>cash</t>
  </si>
  <si>
    <t>wht</t>
  </si>
  <si>
    <t>nhf</t>
  </si>
  <si>
    <t>first aid box</t>
  </si>
  <si>
    <t>payment</t>
  </si>
  <si>
    <t>consultancy</t>
  </si>
  <si>
    <t>maintenance fee</t>
  </si>
  <si>
    <t>swift</t>
  </si>
  <si>
    <t>electronic money transfer</t>
  </si>
  <si>
    <t>commission</t>
  </si>
  <si>
    <t>Opening bal</t>
  </si>
  <si>
    <t>Grant Amount ($)</t>
  </si>
  <si>
    <t>Income</t>
  </si>
  <si>
    <t>Reversal</t>
  </si>
  <si>
    <t>Reimbursment</t>
  </si>
  <si>
    <t>Fund transfer</t>
  </si>
  <si>
    <t>Office equipment</t>
  </si>
  <si>
    <t>Federal Mortgage Bank</t>
  </si>
  <si>
    <t>Fund Transfer</t>
  </si>
  <si>
    <t>Water supply</t>
  </si>
  <si>
    <t>Insurance</t>
  </si>
  <si>
    <t>Swift transfer</t>
  </si>
  <si>
    <t>Fuel and Diesel</t>
  </si>
  <si>
    <t>Contract</t>
  </si>
  <si>
    <t>Audit Fees/consultancy</t>
  </si>
  <si>
    <t>Payments</t>
  </si>
  <si>
    <t>Software installation</t>
  </si>
  <si>
    <t xml:space="preserve"> BANK STATEMENT RECONSTRUCTION — AUDIT SCHEDULES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</si>
</sst>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;\(#,##0.00\);\-"/>
    <numFmt numFmtId="165" formatCode="#,##0;\(#,##0\);\-"/>
    <numFmt numFmtId="166" formatCode="0.0000%;\(0.0000%\);\-"/>
    <numFmt numFmtId="167" formatCode="dd\-mmm\-yyyy;@"/>
  </numFmts>
  <fonts count="36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375623"/>
      <name val="Arial"/>
      <family val="2"/>
    </font>
    <font>
      <sz val="11"/>
      <color rgb="FF0000FF"/>
      <name val="Arial"/>
      <family val="2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sz val="7"/>
      <color rgb="FF000000"/>
      <name val="Arial"/>
      <family val="2"/>
    </font>
    <font>
      <sz val="7"/>
      <color rgb="FF0000FF"/>
      <name val="Arial"/>
      <family val="2"/>
    </font>
    <font>
      <sz val="7"/>
      <color theme="1"/>
      <name val="Calibri"/>
      <family val="2"/>
      <charset val="1"/>
    </font>
    <font>
      <sz val="7"/>
      <name val="Arial"/>
      <family val="2"/>
    </font>
    <font>
      <sz val="8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Arial"/>
      <family val="2"/>
    </font>
    <font>
      <i/>
      <sz val="7"/>
      <color rgb="FFFFFFFF"/>
      <name val="Arial"/>
      <family val="2"/>
    </font>
    <font>
      <sz val="7"/>
      <color rgb="FFC55A11"/>
      <name val="Arial"/>
      <family val="2"/>
    </font>
    <font>
      <b/>
      <sz val="7"/>
      <name val="Arial"/>
      <family val="2"/>
    </font>
    <font>
      <b/>
      <sz val="7"/>
      <color rgb="FF0000FF"/>
      <name val="Arial"/>
      <family val="2"/>
    </font>
    <font>
      <b/>
      <sz val="7"/>
      <color theme="1"/>
      <name val="Arial"/>
      <family val="2"/>
    </font>
    <font>
      <sz val="7"/>
      <color rgb="FF375623"/>
      <name val="Arial"/>
      <family val="2"/>
    </font>
    <font>
      <b/>
      <sz val="7"/>
      <color rgb="FFC55A11"/>
      <name val="Arial"/>
      <family val="2"/>
    </font>
    <font>
      <sz val="8"/>
      <name val="Arial MT"/>
      <family val="2"/>
    </font>
    <font>
      <sz val="8"/>
      <color rgb="FF000000"/>
      <name val="Arial MT"/>
      <family val="2"/>
    </font>
    <font>
      <sz val="8"/>
      <name val="Arial MT"/>
    </font>
    <font>
      <sz val="8"/>
      <color rgb="FF000000"/>
      <name val="Arial"/>
      <family val="2"/>
    </font>
    <font>
      <sz val="8"/>
      <name val="Arial"/>
      <family val="2"/>
    </font>
    <font>
      <b/>
      <sz val="7"/>
      <color rgb="FF000000"/>
      <name val="Arial"/>
      <family val="2"/>
    </font>
    <font>
      <b/>
      <sz val="10"/>
      <name val="Arial"/>
      <family val="2"/>
    </font>
    <font>
      <b/>
      <sz val="7"/>
      <color theme="1"/>
      <name val="Calibri"/>
      <family val="2"/>
      <charset val="1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MT"/>
      <family val="2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70AD47"/>
        <bgColor rgb="FF99CC00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333300"/>
      </patternFill>
    </fill>
    <fill>
      <patternFill patternType="solid">
        <fgColor rgb="FFFFFF00"/>
        <bgColor indexed="64"/>
      </patternFill>
    </fill>
    <fill>
      <patternFill patternType="solid">
        <fgColor rgb="FFF4F4F4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</patternFill>
    </fill>
    <fill>
      <patternFill patternType="solid">
        <fgColor theme="3" tint="0.39997558519241921"/>
        <bgColor rgb="FFE2EFDA"/>
      </patternFill>
    </fill>
    <fill>
      <patternFill patternType="solid">
        <fgColor theme="3" tint="0.39997558519241921"/>
        <bgColor rgb="FFF2F2F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rgb="FFE2EFDA"/>
      </patternFill>
    </fill>
    <fill>
      <patternFill patternType="solid">
        <fgColor theme="4" tint="-0.249977111117893"/>
        <bgColor rgb="FFF2F2F2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35">
    <xf numFmtId="0" fontId="0" fillId="0" borderId="0" xfId="0"/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4" fontId="0" fillId="0" borderId="0" xfId="0" applyNumberFormat="1"/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164" fontId="12" fillId="4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/>
    </xf>
    <xf numFmtId="0" fontId="13" fillId="0" borderId="0" xfId="0" applyFont="1"/>
    <xf numFmtId="14" fontId="11" fillId="7" borderId="1" xfId="0" applyNumberFormat="1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164" fontId="11" fillId="7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right" vertical="center"/>
    </xf>
    <xf numFmtId="43" fontId="14" fillId="0" borderId="1" xfId="1" applyFont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6" fillId="5" borderId="1" xfId="0" applyNumberFormat="1" applyFont="1" applyFill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center" vertical="center"/>
    </xf>
    <xf numFmtId="43" fontId="14" fillId="0" borderId="1" xfId="1" applyFont="1" applyBorder="1" applyAlignment="1">
      <alignment horizontal="center" vertical="center"/>
    </xf>
    <xf numFmtId="43" fontId="14" fillId="0" borderId="1" xfId="1" applyFont="1" applyBorder="1" applyAlignment="1">
      <alignment horizontal="right" vertical="center"/>
    </xf>
    <xf numFmtId="43" fontId="14" fillId="0" borderId="0" xfId="1" applyFont="1"/>
    <xf numFmtId="0" fontId="17" fillId="0" borderId="0" xfId="0" applyFont="1"/>
    <xf numFmtId="0" fontId="16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/>
    </xf>
    <xf numFmtId="164" fontId="11" fillId="8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164" fontId="16" fillId="2" borderId="1" xfId="0" applyNumberFormat="1" applyFont="1" applyFill="1" applyBorder="1" applyAlignment="1">
      <alignment horizontal="right" vertical="center"/>
    </xf>
    <xf numFmtId="43" fontId="20" fillId="0" borderId="1" xfId="1" applyFont="1" applyBorder="1" applyAlignment="1">
      <alignment horizontal="right" vertical="center"/>
    </xf>
    <xf numFmtId="166" fontId="11" fillId="8" borderId="1" xfId="0" applyNumberFormat="1" applyFont="1" applyFill="1" applyBorder="1" applyAlignment="1">
      <alignment horizontal="right" vertical="center"/>
    </xf>
    <xf numFmtId="166" fontId="11" fillId="3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left" vertical="center"/>
    </xf>
    <xf numFmtId="164" fontId="16" fillId="12" borderId="1" xfId="0" applyNumberFormat="1" applyFont="1" applyFill="1" applyBorder="1" applyAlignment="1">
      <alignment horizontal="right" vertical="center"/>
    </xf>
    <xf numFmtId="0" fontId="17" fillId="0" borderId="0" xfId="0" pivotButton="1" applyFont="1"/>
    <xf numFmtId="0" fontId="17" fillId="0" borderId="0" xfId="0" applyFont="1" applyAlignment="1">
      <alignment horizontal="left"/>
    </xf>
    <xf numFmtId="165" fontId="16" fillId="2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left" vertical="center"/>
    </xf>
    <xf numFmtId="165" fontId="12" fillId="4" borderId="1" xfId="0" applyNumberFormat="1" applyFont="1" applyFill="1" applyBorder="1" applyAlignment="1">
      <alignment horizontal="right" vertical="center"/>
    </xf>
    <xf numFmtId="0" fontId="16" fillId="10" borderId="1" xfId="0" applyFont="1" applyFill="1" applyBorder="1" applyAlignment="1">
      <alignment horizontal="left" vertical="center"/>
    </xf>
    <xf numFmtId="165" fontId="16" fillId="10" borderId="1" xfId="0" applyNumberFormat="1" applyFont="1" applyFill="1" applyBorder="1" applyAlignment="1">
      <alignment horizontal="right" vertical="center"/>
    </xf>
    <xf numFmtId="165" fontId="11" fillId="7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left" vertical="center"/>
    </xf>
    <xf numFmtId="165" fontId="16" fillId="5" borderId="1" xfId="0" applyNumberFormat="1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left" vertical="center"/>
    </xf>
    <xf numFmtId="165" fontId="21" fillId="4" borderId="1" xfId="0" applyNumberFormat="1" applyFont="1" applyFill="1" applyBorder="1" applyAlignment="1">
      <alignment horizontal="right" vertical="center"/>
    </xf>
    <xf numFmtId="43" fontId="17" fillId="0" borderId="0" xfId="0" applyNumberFormat="1" applyFont="1"/>
    <xf numFmtId="43" fontId="22" fillId="13" borderId="4" xfId="0" applyNumberFormat="1" applyFon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167" fontId="26" fillId="14" borderId="5" xfId="0" applyNumberFormat="1" applyFont="1" applyFill="1" applyBorder="1" applyAlignment="1">
      <alignment horizontal="left" vertical="top" shrinkToFit="1"/>
    </xf>
    <xf numFmtId="0" fontId="11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left" vertical="center"/>
    </xf>
    <xf numFmtId="0" fontId="27" fillId="14" borderId="5" xfId="0" applyFont="1" applyFill="1" applyBorder="1" applyAlignment="1">
      <alignment horizontal="left" vertical="top"/>
    </xf>
    <xf numFmtId="0" fontId="0" fillId="14" borderId="5" xfId="0" applyFill="1" applyBorder="1" applyAlignment="1">
      <alignment horizontal="left" vertical="top"/>
    </xf>
    <xf numFmtId="0" fontId="27" fillId="14" borderId="6" xfId="0" applyFont="1" applyFill="1" applyBorder="1" applyAlignment="1">
      <alignment horizontal="left" vertical="top"/>
    </xf>
    <xf numFmtId="0" fontId="25" fillId="14" borderId="5" xfId="0" applyFont="1" applyFill="1" applyBorder="1" applyAlignment="1">
      <alignment horizontal="left" vertical="top"/>
    </xf>
    <xf numFmtId="0" fontId="0" fillId="14" borderId="6" xfId="0" applyFill="1" applyBorder="1" applyAlignment="1">
      <alignment horizontal="left" vertical="top"/>
    </xf>
    <xf numFmtId="167" fontId="28" fillId="14" borderId="7" xfId="0" applyNumberFormat="1" applyFont="1" applyFill="1" applyBorder="1" applyAlignment="1">
      <alignment horizontal="left" vertical="top" shrinkToFit="1"/>
    </xf>
    <xf numFmtId="167" fontId="28" fillId="14" borderId="8" xfId="0" applyNumberFormat="1" applyFont="1" applyFill="1" applyBorder="1" applyAlignment="1">
      <alignment horizontal="left" vertical="top" shrinkToFit="1"/>
    </xf>
    <xf numFmtId="0" fontId="0" fillId="14" borderId="7" xfId="0" applyFill="1" applyBorder="1" applyAlignment="1">
      <alignment horizontal="left" vertical="top" wrapText="1"/>
    </xf>
    <xf numFmtId="0" fontId="29" fillId="14" borderId="7" xfId="0" applyFont="1" applyFill="1" applyBorder="1" applyAlignment="1">
      <alignment horizontal="left" vertical="top" wrapText="1"/>
    </xf>
    <xf numFmtId="0" fontId="29" fillId="0" borderId="8" xfId="0" applyFont="1" applyBorder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  <xf numFmtId="14" fontId="11" fillId="15" borderId="1" xfId="0" applyNumberFormat="1" applyFont="1" applyFill="1" applyBorder="1" applyAlignment="1">
      <alignment horizontal="left" vertical="center"/>
    </xf>
    <xf numFmtId="0" fontId="0" fillId="13" borderId="0" xfId="0" applyFill="1"/>
    <xf numFmtId="43" fontId="1" fillId="0" borderId="1" xfId="1" applyBorder="1" applyAlignment="1">
      <alignment horizontal="center" vertical="center"/>
    </xf>
    <xf numFmtId="43" fontId="1" fillId="0" borderId="0" xfId="1"/>
    <xf numFmtId="167" fontId="26" fillId="14" borderId="6" xfId="0" applyNumberFormat="1" applyFont="1" applyFill="1" applyBorder="1" applyAlignment="1">
      <alignment horizontal="left" vertical="top" shrinkToFit="1"/>
    </xf>
    <xf numFmtId="0" fontId="0" fillId="14" borderId="5" xfId="0" applyFill="1" applyBorder="1" applyAlignment="1">
      <alignment horizontal="left" vertical="top" wrapText="1"/>
    </xf>
    <xf numFmtId="0" fontId="27" fillId="14" borderId="5" xfId="0" applyFont="1" applyFill="1" applyBorder="1" applyAlignment="1">
      <alignment horizontal="left" vertical="top" wrapText="1"/>
    </xf>
    <xf numFmtId="0" fontId="25" fillId="14" borderId="6" xfId="0" applyFont="1" applyFill="1" applyBorder="1" applyAlignment="1">
      <alignment horizontal="left" vertical="top" wrapText="1"/>
    </xf>
    <xf numFmtId="43" fontId="1" fillId="0" borderId="7" xfId="1" applyBorder="1" applyAlignment="1">
      <alignment horizontal="left" vertical="top" wrapText="1"/>
    </xf>
    <xf numFmtId="43" fontId="1" fillId="0" borderId="7" xfId="1" applyBorder="1" applyAlignment="1">
      <alignment horizontal="left" vertical="top" shrinkToFit="1"/>
    </xf>
    <xf numFmtId="43" fontId="1" fillId="0" borderId="1" xfId="1" applyBorder="1" applyAlignment="1">
      <alignment horizontal="right" vertical="center"/>
    </xf>
    <xf numFmtId="43" fontId="1" fillId="0" borderId="8" xfId="1" applyBorder="1" applyAlignment="1">
      <alignment horizontal="left" vertical="center" wrapText="1"/>
    </xf>
    <xf numFmtId="43" fontId="1" fillId="0" borderId="8" xfId="1" applyBorder="1" applyAlignment="1">
      <alignment horizontal="left" vertical="top" wrapText="1"/>
    </xf>
    <xf numFmtId="43" fontId="1" fillId="0" borderId="7" xfId="1" applyBorder="1" applyAlignment="1">
      <alignment horizontal="left" vertical="center" wrapText="1"/>
    </xf>
    <xf numFmtId="43" fontId="1" fillId="0" borderId="8" xfId="1" applyBorder="1" applyAlignment="1">
      <alignment horizontal="left" vertical="top" shrinkToFit="1"/>
    </xf>
    <xf numFmtId="0" fontId="0" fillId="17" borderId="5" xfId="0" applyFill="1" applyBorder="1" applyAlignment="1">
      <alignment horizontal="left" vertical="top"/>
    </xf>
    <xf numFmtId="43" fontId="1" fillId="13" borderId="7" xfId="1" applyFill="1" applyBorder="1" applyAlignment="1">
      <alignment horizontal="left" vertical="top" wrapText="1"/>
    </xf>
    <xf numFmtId="167" fontId="26" fillId="17" borderId="5" xfId="0" applyNumberFormat="1" applyFont="1" applyFill="1" applyBorder="1" applyAlignment="1">
      <alignment horizontal="left" vertical="top" shrinkToFit="1"/>
    </xf>
    <xf numFmtId="0" fontId="0" fillId="17" borderId="5" xfId="0" applyFill="1" applyBorder="1" applyAlignment="1">
      <alignment horizontal="left" vertical="top" wrapText="1"/>
    </xf>
    <xf numFmtId="0" fontId="25" fillId="14" borderId="6" xfId="0" applyFont="1" applyFill="1" applyBorder="1" applyAlignment="1">
      <alignment horizontal="left" vertical="top"/>
    </xf>
    <xf numFmtId="43" fontId="1" fillId="0" borderId="5" xfId="1" applyBorder="1" applyAlignment="1">
      <alignment horizontal="left" vertical="top" shrinkToFit="1"/>
    </xf>
    <xf numFmtId="43" fontId="1" fillId="0" borderId="6" xfId="1" applyBorder="1" applyAlignment="1">
      <alignment horizontal="left" vertical="top" shrinkToFit="1"/>
    </xf>
    <xf numFmtId="43" fontId="1" fillId="13" borderId="5" xfId="1" applyFill="1" applyBorder="1" applyAlignment="1">
      <alignment horizontal="left" vertical="top" shrinkToFit="1"/>
    </xf>
    <xf numFmtId="0" fontId="30" fillId="18" borderId="1" xfId="0" applyFont="1" applyFill="1" applyBorder="1" applyAlignment="1">
      <alignment horizontal="left" vertical="center"/>
    </xf>
    <xf numFmtId="14" fontId="30" fillId="19" borderId="1" xfId="0" applyNumberFormat="1" applyFont="1" applyFill="1" applyBorder="1" applyAlignment="1">
      <alignment horizontal="left" vertical="center"/>
    </xf>
    <xf numFmtId="0" fontId="30" fillId="19" borderId="1" xfId="0" applyFont="1" applyFill="1" applyBorder="1" applyAlignment="1">
      <alignment horizontal="left" vertical="center"/>
    </xf>
    <xf numFmtId="43" fontId="31" fillId="20" borderId="7" xfId="1" applyFont="1" applyFill="1" applyBorder="1" applyAlignment="1">
      <alignment horizontal="left" vertical="top" shrinkToFit="1"/>
    </xf>
    <xf numFmtId="0" fontId="32" fillId="0" borderId="0" xfId="0" applyFont="1"/>
    <xf numFmtId="0" fontId="33" fillId="19" borderId="1" xfId="0" applyFont="1" applyFill="1" applyBorder="1" applyAlignment="1">
      <alignment horizontal="left" vertical="center"/>
    </xf>
    <xf numFmtId="14" fontId="34" fillId="7" borderId="1" xfId="0" applyNumberFormat="1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167" fontId="35" fillId="14" borderId="5" xfId="0" applyNumberFormat="1" applyFont="1" applyFill="1" applyBorder="1" applyAlignment="1">
      <alignment horizontal="left" vertical="top" shrinkToFit="1"/>
    </xf>
    <xf numFmtId="0" fontId="11" fillId="21" borderId="1" xfId="0" applyFont="1" applyFill="1" applyBorder="1" applyAlignment="1">
      <alignment horizontal="left" vertical="center"/>
    </xf>
    <xf numFmtId="14" fontId="11" fillId="22" borderId="1" xfId="0" applyNumberFormat="1" applyFont="1" applyFill="1" applyBorder="1" applyAlignment="1">
      <alignment horizontal="left" vertical="center"/>
    </xf>
    <xf numFmtId="0" fontId="12" fillId="22" borderId="1" xfId="0" applyFont="1" applyFill="1" applyBorder="1" applyAlignment="1">
      <alignment horizontal="left" vertical="center"/>
    </xf>
    <xf numFmtId="0" fontId="11" fillId="22" borderId="1" xfId="0" applyFont="1" applyFill="1" applyBorder="1" applyAlignment="1">
      <alignment horizontal="left" vertical="center"/>
    </xf>
    <xf numFmtId="43" fontId="1" fillId="23" borderId="1" xfId="1" applyFill="1" applyBorder="1" applyAlignment="1">
      <alignment horizontal="right" vertical="center"/>
    </xf>
    <xf numFmtId="164" fontId="11" fillId="22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5" fontId="4" fillId="4" borderId="1" xfId="0" applyNumberFormat="1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24" fillId="9" borderId="2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48"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sz val="7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</xdr:colOff>
      <xdr:row>856</xdr:row>
      <xdr:rowOff>0</xdr:rowOff>
    </xdr:from>
    <xdr:ext cx="0" cy="88900"/>
    <xdr:sp macro="" textlink="">
      <xdr:nvSpPr>
        <xdr:cNvPr id="17" name="Shape 13">
          <a:extLst>
            <a:ext uri="{FF2B5EF4-FFF2-40B4-BE49-F238E27FC236}">
              <a16:creationId xmlns:a16="http://schemas.microsoft.com/office/drawing/2014/main" id="{47A80D0A-EBCF-4300-8227-6D54D88730E9}"/>
            </a:ext>
          </a:extLst>
        </xdr:cNvPr>
        <xdr:cNvSpPr/>
      </xdr:nvSpPr>
      <xdr:spPr>
        <a:xfrm>
          <a:off x="4876863" y="48177450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6</xdr:col>
      <xdr:colOff>63</xdr:colOff>
      <xdr:row>908</xdr:row>
      <xdr:rowOff>-2</xdr:rowOff>
    </xdr:from>
    <xdr:ext cx="0" cy="88900"/>
    <xdr:sp macro="" textlink="">
      <xdr:nvSpPr>
        <xdr:cNvPr id="18" name="Shape 29">
          <a:extLst>
            <a:ext uri="{FF2B5EF4-FFF2-40B4-BE49-F238E27FC236}">
              <a16:creationId xmlns:a16="http://schemas.microsoft.com/office/drawing/2014/main" id="{64D807AB-6946-4F37-9448-9A1F222FE979}"/>
            </a:ext>
          </a:extLst>
        </xdr:cNvPr>
        <xdr:cNvSpPr/>
      </xdr:nvSpPr>
      <xdr:spPr>
        <a:xfrm>
          <a:off x="4876863" y="91954348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6</xdr:col>
      <xdr:colOff>63</xdr:colOff>
      <xdr:row>1046</xdr:row>
      <xdr:rowOff>9</xdr:rowOff>
    </xdr:from>
    <xdr:ext cx="0" cy="88900"/>
    <xdr:sp macro="" textlink="">
      <xdr:nvSpPr>
        <xdr:cNvPr id="19" name="Shape 56">
          <a:extLst>
            <a:ext uri="{FF2B5EF4-FFF2-40B4-BE49-F238E27FC236}">
              <a16:creationId xmlns:a16="http://schemas.microsoft.com/office/drawing/2014/main" id="{6DCD761F-3C3C-4375-8121-80FD67021A78}"/>
            </a:ext>
          </a:extLst>
        </xdr:cNvPr>
        <xdr:cNvSpPr/>
      </xdr:nvSpPr>
      <xdr:spPr>
        <a:xfrm>
          <a:off x="4876863" y="204863709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6</xdr:col>
      <xdr:colOff>63</xdr:colOff>
      <xdr:row>1161</xdr:row>
      <xdr:rowOff>9</xdr:rowOff>
    </xdr:from>
    <xdr:ext cx="0" cy="88900"/>
    <xdr:sp macro="" textlink="">
      <xdr:nvSpPr>
        <xdr:cNvPr id="20" name="Shape 81">
          <a:extLst>
            <a:ext uri="{FF2B5EF4-FFF2-40B4-BE49-F238E27FC236}">
              <a16:creationId xmlns:a16="http://schemas.microsoft.com/office/drawing/2014/main" id="{29A21EB0-2FB8-4B17-B34A-F0EBC4096D63}"/>
            </a:ext>
          </a:extLst>
        </xdr:cNvPr>
        <xdr:cNvSpPr/>
      </xdr:nvSpPr>
      <xdr:spPr>
        <a:xfrm>
          <a:off x="4876863" y="305476284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6</xdr:col>
      <xdr:colOff>63</xdr:colOff>
      <xdr:row>1295</xdr:row>
      <xdr:rowOff>9</xdr:rowOff>
    </xdr:from>
    <xdr:ext cx="0" cy="88900"/>
    <xdr:sp macro="" textlink="">
      <xdr:nvSpPr>
        <xdr:cNvPr id="21" name="Shape 107">
          <a:extLst>
            <a:ext uri="{FF2B5EF4-FFF2-40B4-BE49-F238E27FC236}">
              <a16:creationId xmlns:a16="http://schemas.microsoft.com/office/drawing/2014/main" id="{E04364BE-57FF-438D-9073-0651B05D1980}"/>
            </a:ext>
          </a:extLst>
        </xdr:cNvPr>
        <xdr:cNvSpPr/>
      </xdr:nvSpPr>
      <xdr:spPr>
        <a:xfrm>
          <a:off x="4876863" y="415385259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6</xdr:col>
      <xdr:colOff>63</xdr:colOff>
      <xdr:row>1302</xdr:row>
      <xdr:rowOff>9</xdr:rowOff>
    </xdr:from>
    <xdr:ext cx="0" cy="63500"/>
    <xdr:sp macro="" textlink="">
      <xdr:nvSpPr>
        <xdr:cNvPr id="22" name="Shape 117">
          <a:extLst>
            <a:ext uri="{FF2B5EF4-FFF2-40B4-BE49-F238E27FC236}">
              <a16:creationId xmlns:a16="http://schemas.microsoft.com/office/drawing/2014/main" id="{3C792A03-0E85-4D98-ABC3-082B0EF08172}"/>
            </a:ext>
          </a:extLst>
        </xdr:cNvPr>
        <xdr:cNvSpPr/>
      </xdr:nvSpPr>
      <xdr:spPr>
        <a:xfrm>
          <a:off x="4876863" y="421862259"/>
          <a:ext cx="0" cy="63500"/>
        </a:xfrm>
        <a:custGeom>
          <a:avLst/>
          <a:gdLst/>
          <a:ahLst/>
          <a:cxnLst/>
          <a:rect l="0" t="0" r="0" b="0"/>
          <a:pathLst>
            <a:path h="63500">
              <a:moveTo>
                <a:pt x="0" y="63499"/>
              </a:moveTo>
              <a:lnTo>
                <a:pt x="0" y="0"/>
              </a:lnTo>
            </a:path>
            <a:path h="63500">
              <a:moveTo>
                <a:pt x="0" y="634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6</xdr:col>
      <xdr:colOff>63</xdr:colOff>
      <xdr:row>1339</xdr:row>
      <xdr:rowOff>9</xdr:rowOff>
    </xdr:from>
    <xdr:ext cx="0" cy="88900"/>
    <xdr:sp macro="" textlink="">
      <xdr:nvSpPr>
        <xdr:cNvPr id="23" name="Shape 131">
          <a:extLst>
            <a:ext uri="{FF2B5EF4-FFF2-40B4-BE49-F238E27FC236}">
              <a16:creationId xmlns:a16="http://schemas.microsoft.com/office/drawing/2014/main" id="{3CDB1138-339E-45FD-B913-98181DABAD47}"/>
            </a:ext>
          </a:extLst>
        </xdr:cNvPr>
        <xdr:cNvSpPr/>
      </xdr:nvSpPr>
      <xdr:spPr>
        <a:xfrm>
          <a:off x="4876863" y="452628009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63</xdr:colOff>
      <xdr:row>40</xdr:row>
      <xdr:rowOff>0</xdr:rowOff>
    </xdr:from>
    <xdr:ext cx="0" cy="88900"/>
    <xdr:sp macro="" textlink="">
      <xdr:nvSpPr>
        <xdr:cNvPr id="2" name="Shape 13">
          <a:extLst>
            <a:ext uri="{FF2B5EF4-FFF2-40B4-BE49-F238E27FC236}">
              <a16:creationId xmlns:a16="http://schemas.microsoft.com/office/drawing/2014/main" id="{86730DDD-1659-4503-809A-B95F3A101742}"/>
            </a:ext>
          </a:extLst>
        </xdr:cNvPr>
        <xdr:cNvSpPr/>
      </xdr:nvSpPr>
      <xdr:spPr>
        <a:xfrm>
          <a:off x="6658038" y="23698200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8</xdr:col>
      <xdr:colOff>63</xdr:colOff>
      <xdr:row>26</xdr:row>
      <xdr:rowOff>-2</xdr:rowOff>
    </xdr:from>
    <xdr:ext cx="0" cy="88900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id="{B8BD8254-33D2-4569-988F-11F52DE15F37}"/>
            </a:ext>
          </a:extLst>
        </xdr:cNvPr>
        <xdr:cNvSpPr/>
      </xdr:nvSpPr>
      <xdr:spPr>
        <a:xfrm>
          <a:off x="6658038" y="24269700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8</xdr:col>
      <xdr:colOff>63</xdr:colOff>
      <xdr:row>37</xdr:row>
      <xdr:rowOff>9</xdr:rowOff>
    </xdr:from>
    <xdr:ext cx="0" cy="88900"/>
    <xdr:sp macro="" textlink="">
      <xdr:nvSpPr>
        <xdr:cNvPr id="4" name="Shape 56">
          <a:extLst>
            <a:ext uri="{FF2B5EF4-FFF2-40B4-BE49-F238E27FC236}">
              <a16:creationId xmlns:a16="http://schemas.microsoft.com/office/drawing/2014/main" id="{4FF8F6FC-1015-463D-AA2F-91CC3D8D7862}"/>
            </a:ext>
          </a:extLst>
        </xdr:cNvPr>
        <xdr:cNvSpPr/>
      </xdr:nvSpPr>
      <xdr:spPr>
        <a:xfrm>
          <a:off x="6658038" y="24841200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8</xdr:col>
      <xdr:colOff>63</xdr:colOff>
      <xdr:row>54</xdr:row>
      <xdr:rowOff>9</xdr:rowOff>
    </xdr:from>
    <xdr:ext cx="0" cy="88900"/>
    <xdr:sp macro="" textlink="">
      <xdr:nvSpPr>
        <xdr:cNvPr id="5" name="Shape 81">
          <a:extLst>
            <a:ext uri="{FF2B5EF4-FFF2-40B4-BE49-F238E27FC236}">
              <a16:creationId xmlns:a16="http://schemas.microsoft.com/office/drawing/2014/main" id="{21FC2E33-D37B-4D0C-8C8E-A602B2A3EEB2}"/>
            </a:ext>
          </a:extLst>
        </xdr:cNvPr>
        <xdr:cNvSpPr/>
      </xdr:nvSpPr>
      <xdr:spPr>
        <a:xfrm>
          <a:off x="6658038" y="25031700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8</xdr:col>
      <xdr:colOff>63</xdr:colOff>
      <xdr:row>3</xdr:row>
      <xdr:rowOff>0</xdr:rowOff>
    </xdr:from>
    <xdr:ext cx="0" cy="88900"/>
    <xdr:sp macro="" textlink="">
      <xdr:nvSpPr>
        <xdr:cNvPr id="6" name="Shape 107">
          <a:extLst>
            <a:ext uri="{FF2B5EF4-FFF2-40B4-BE49-F238E27FC236}">
              <a16:creationId xmlns:a16="http://schemas.microsoft.com/office/drawing/2014/main" id="{29C80576-4E12-4307-A706-5A3A2B28D918}"/>
            </a:ext>
          </a:extLst>
        </xdr:cNvPr>
        <xdr:cNvSpPr/>
      </xdr:nvSpPr>
      <xdr:spPr>
        <a:xfrm>
          <a:off x="6658038" y="26365200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8</xdr:col>
      <xdr:colOff>63</xdr:colOff>
      <xdr:row>3</xdr:row>
      <xdr:rowOff>0</xdr:rowOff>
    </xdr:from>
    <xdr:ext cx="0" cy="63500"/>
    <xdr:sp macro="" textlink="">
      <xdr:nvSpPr>
        <xdr:cNvPr id="7" name="Shape 117">
          <a:extLst>
            <a:ext uri="{FF2B5EF4-FFF2-40B4-BE49-F238E27FC236}">
              <a16:creationId xmlns:a16="http://schemas.microsoft.com/office/drawing/2014/main" id="{3DA0A867-3475-4304-BC14-E88EC2BA8D94}"/>
            </a:ext>
          </a:extLst>
        </xdr:cNvPr>
        <xdr:cNvSpPr/>
      </xdr:nvSpPr>
      <xdr:spPr>
        <a:xfrm>
          <a:off x="6658038" y="26365200"/>
          <a:ext cx="0" cy="63500"/>
        </a:xfrm>
        <a:custGeom>
          <a:avLst/>
          <a:gdLst/>
          <a:ahLst/>
          <a:cxnLst/>
          <a:rect l="0" t="0" r="0" b="0"/>
          <a:pathLst>
            <a:path h="63500">
              <a:moveTo>
                <a:pt x="0" y="63499"/>
              </a:moveTo>
              <a:lnTo>
                <a:pt x="0" y="0"/>
              </a:lnTo>
            </a:path>
            <a:path h="63500">
              <a:moveTo>
                <a:pt x="0" y="634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8</xdr:col>
      <xdr:colOff>63</xdr:colOff>
      <xdr:row>28</xdr:row>
      <xdr:rowOff>9</xdr:rowOff>
    </xdr:from>
    <xdr:ext cx="0" cy="88900"/>
    <xdr:sp macro="" textlink="">
      <xdr:nvSpPr>
        <xdr:cNvPr id="8" name="Shape 131">
          <a:extLst>
            <a:ext uri="{FF2B5EF4-FFF2-40B4-BE49-F238E27FC236}">
              <a16:creationId xmlns:a16="http://schemas.microsoft.com/office/drawing/2014/main" id="{24637085-3641-466F-A446-3F50B5F1347C}"/>
            </a:ext>
          </a:extLst>
        </xdr:cNvPr>
        <xdr:cNvSpPr/>
      </xdr:nvSpPr>
      <xdr:spPr>
        <a:xfrm>
          <a:off x="6658038" y="26365200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</xdr:colOff>
      <xdr:row>78</xdr:row>
      <xdr:rowOff>0</xdr:rowOff>
    </xdr:from>
    <xdr:ext cx="0" cy="88900"/>
    <xdr:sp macro="" textlink="">
      <xdr:nvSpPr>
        <xdr:cNvPr id="2" name="Shape 13">
          <a:extLst>
            <a:ext uri="{FF2B5EF4-FFF2-40B4-BE49-F238E27FC236}">
              <a16:creationId xmlns:a16="http://schemas.microsoft.com/office/drawing/2014/main" id="{3CA9345D-5662-41B4-9ADB-9CD1CAF8D3F4}"/>
            </a:ext>
          </a:extLst>
        </xdr:cNvPr>
        <xdr:cNvSpPr/>
      </xdr:nvSpPr>
      <xdr:spPr>
        <a:xfrm>
          <a:off x="7048563" y="1533525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7</xdr:col>
      <xdr:colOff>63</xdr:colOff>
      <xdr:row>100</xdr:row>
      <xdr:rowOff>0</xdr:rowOff>
    </xdr:from>
    <xdr:ext cx="0" cy="88900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id="{A00BBBC9-7DF9-4D0F-BC21-486DCEE9A824}"/>
            </a:ext>
          </a:extLst>
        </xdr:cNvPr>
        <xdr:cNvSpPr/>
      </xdr:nvSpPr>
      <xdr:spPr>
        <a:xfrm>
          <a:off x="7048563" y="1533525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7</xdr:col>
      <xdr:colOff>63</xdr:colOff>
      <xdr:row>106</xdr:row>
      <xdr:rowOff>9</xdr:rowOff>
    </xdr:from>
    <xdr:ext cx="0" cy="88900"/>
    <xdr:sp macro="" textlink="">
      <xdr:nvSpPr>
        <xdr:cNvPr id="4" name="Shape 56">
          <a:extLst>
            <a:ext uri="{FF2B5EF4-FFF2-40B4-BE49-F238E27FC236}">
              <a16:creationId xmlns:a16="http://schemas.microsoft.com/office/drawing/2014/main" id="{2D90EEF0-D244-429A-A212-4BAA677AE71B}"/>
            </a:ext>
          </a:extLst>
        </xdr:cNvPr>
        <xdr:cNvSpPr/>
      </xdr:nvSpPr>
      <xdr:spPr>
        <a:xfrm>
          <a:off x="7048563" y="1724025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  <xdr:oneCellAnchor>
    <xdr:from>
      <xdr:col>7</xdr:col>
      <xdr:colOff>63</xdr:colOff>
      <xdr:row>113</xdr:row>
      <xdr:rowOff>0</xdr:rowOff>
    </xdr:from>
    <xdr:ext cx="0" cy="88900"/>
    <xdr:sp macro="" textlink="">
      <xdr:nvSpPr>
        <xdr:cNvPr id="5" name="Shape 81">
          <a:extLst>
            <a:ext uri="{FF2B5EF4-FFF2-40B4-BE49-F238E27FC236}">
              <a16:creationId xmlns:a16="http://schemas.microsoft.com/office/drawing/2014/main" id="{4942245A-4902-4DBE-8D0E-629D2E42FC8B}"/>
            </a:ext>
          </a:extLst>
        </xdr:cNvPr>
        <xdr:cNvSpPr/>
      </xdr:nvSpPr>
      <xdr:spPr>
        <a:xfrm>
          <a:off x="7048563" y="1914525"/>
          <a:ext cx="0" cy="88900"/>
        </a:xfrm>
        <a:custGeom>
          <a:avLst/>
          <a:gdLst/>
          <a:ahLst/>
          <a:cxnLst/>
          <a:rect l="0" t="0" r="0" b="0"/>
          <a:pathLst>
            <a:path h="88900">
              <a:moveTo>
                <a:pt x="0" y="88899"/>
              </a:moveTo>
              <a:lnTo>
                <a:pt x="0" y="0"/>
              </a:lnTo>
            </a:path>
            <a:path h="88900">
              <a:moveTo>
                <a:pt x="0" y="88899"/>
              </a:moveTo>
              <a:lnTo>
                <a:pt x="0" y="0"/>
              </a:lnTo>
            </a:path>
          </a:pathLst>
        </a:custGeom>
        <a:ln w="6350">
          <a:solidFill>
            <a:srgbClr val="BFBFBF"/>
          </a:solidFill>
        </a:ln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iu Olalekan" refreshedDate="46146.068032291667" createdVersion="8" refreshedVersion="8" minRefreshableVersion="3" recordCount="966" xr:uid="{C2263E9D-27E7-4F45-8DB5-C4560F993F58}">
  <cacheSource type="worksheet">
    <worksheetSource ref="A3:N6" sheet="1-TXN-REG"/>
  </cacheSource>
  <cacheFields count="16">
    <cacheField name="SN" numFmtId="0">
      <sharedItems containsSemiMixedTypes="0" containsString="0" containsNumber="1" containsInteger="1" minValue="1" maxValue="1083"/>
    </cacheField>
    <cacheField name="Date" numFmtId="14">
      <sharedItems containsDate="1" containsMixedTypes="1" minDate="2018-01-01T00:00:00" maxDate="2019-01-01T00:00:00"/>
    </cacheField>
    <cacheField name="Date2" numFmtId="14">
      <sharedItems containsSemiMixedTypes="0" containsNonDate="0" containsDate="1" containsString="0" minDate="2018-01-01T00:00:00" maxDate="2019-01-01T00:00:00" count="220">
        <d v="2018-01-04T00:00:00"/>
        <d v="2018-02-15T00:00:00"/>
        <d v="2018-02-21T00:00:00"/>
        <d v="2018-04-20T00:00:00"/>
        <d v="2018-06-12T00:00:00"/>
        <d v="2018-07-03T00:00:00"/>
        <d v="2018-07-24T00:00:00"/>
        <d v="2018-08-10T00:00:00"/>
        <d v="2018-08-17T00:00:00"/>
        <d v="2018-09-02T00:00:00"/>
        <d v="2018-09-03T00:00:00"/>
        <d v="2018-09-12T00:00:00"/>
        <d v="2018-10-19T00:00:00"/>
        <d v="2018-10-23T00:00:00"/>
        <d v="2018-10-26T00:00:00"/>
        <d v="2018-11-23T00:00:00"/>
        <d v="2018-11-25T00:00:00"/>
        <d v="2018-11-27T00:00:00"/>
        <d v="2018-01-10T00:00:00"/>
        <d v="2018-02-12T00:00:00"/>
        <d v="2018-04-26T00:00:00"/>
        <d v="2018-07-09T00:00:00"/>
        <d v="2018-09-05T00:00:00"/>
        <d v="2018-09-11T00:00:00"/>
        <d v="2018-09-21T00:00:00"/>
        <d v="2018-10-03T00:00:00"/>
        <d v="2018-10-10T00:00:00"/>
        <d v="2018-11-28T00:00:00"/>
        <d v="2018-11-29T00:00:00"/>
        <d v="2018-11-30T00:00:00"/>
        <d v="2018-12-03T00:00:00"/>
        <d v="2018-12-04T00:00:00"/>
        <d v="2018-01-01T00:00:00"/>
        <d v="2018-03-01T00:00:00"/>
        <d v="2018-01-03T00:00:00"/>
        <d v="2018-05-01T00:00:00"/>
        <d v="2018-01-15T00:00:00"/>
        <d v="2018-01-16T00:00:00"/>
        <d v="2018-01-27T00:00:00"/>
        <d v="2018-01-29T00:00:00"/>
        <d v="2018-01-31T00:00:00"/>
        <d v="2018-01-02T00:00:00"/>
        <d v="2018-02-02T00:00:00"/>
        <d v="2018-04-02T00:00:00"/>
        <d v="2018-02-04T00:00:00"/>
        <d v="2018-07-02T00:00:00"/>
        <d v="2018-02-16T00:00:00"/>
        <d v="2018-02-17T00:00:00"/>
        <d v="2018-02-25T00:00:00"/>
        <d v="2018-02-27T00:00:00"/>
        <d v="2018-02-28T00:00:00"/>
        <d v="2018-02-03T00:00:00"/>
        <d v="2018-03-16T00:00:00"/>
        <d v="2018-03-17T00:00:00"/>
        <d v="2018-03-22T00:00:00"/>
        <d v="2018-03-23T00:00:00"/>
        <d v="2018-03-27T00:00:00"/>
        <d v="2018-03-29T00:00:00"/>
        <d v="2018-03-30T00:00:00"/>
        <d v="2018-04-04T00:00:00"/>
        <d v="2018-10-04T00:00:00"/>
        <d v="2018-04-10T00:00:00"/>
        <d v="2018-04-15T00:00:00"/>
        <d v="2018-04-17T00:00:00"/>
        <d v="2018-04-19T00:00:00"/>
        <d v="2018-04-24T00:00:00"/>
        <d v="2018-04-30T00:00:00"/>
        <d v="2018-03-05T00:00:00"/>
        <d v="2018-05-03T00:00:00"/>
        <d v="2018-07-05T00:00:00"/>
        <d v="2018-11-05T00:00:00"/>
        <d v="2018-05-11T00:00:00"/>
        <d v="2018-05-16T00:00:00"/>
        <d v="2018-05-30T00:00:00"/>
        <d v="2018-05-31T00:00:00"/>
        <d v="2018-01-06T00:00:00"/>
        <d v="2018-06-01T00:00:00"/>
        <d v="2018-11-06T00:00:00"/>
        <d v="2018-12-06T00:00:00"/>
        <d v="2018-06-13T00:00:00"/>
        <d v="2018-06-14T00:00:00"/>
        <d v="2018-06-20T00:00:00"/>
        <d v="2018-06-22T00:00:00"/>
        <d v="2018-06-27T00:00:00"/>
        <d v="2018-06-28T00:00:00"/>
        <d v="2018-06-30T00:00:00"/>
        <d v="2018-03-07T00:00:00"/>
        <d v="2018-06-07T00:00:00"/>
        <d v="2018-07-06T00:00:00"/>
        <d v="2018-10-07T00:00:00"/>
        <d v="2018-12-07T00:00:00"/>
        <d v="2018-07-12T00:00:00"/>
        <d v="2018-07-13T00:00:00"/>
        <d v="2018-07-18T00:00:00"/>
        <d v="2018-07-19T00:00:00"/>
        <d v="2018-07-22T00:00:00"/>
        <d v="2018-07-27T00:00:00"/>
        <d v="2018-07-30T00:00:00"/>
        <d v="2018-07-31T00:00:00"/>
        <d v="2018-01-08T00:00:00"/>
        <d v="2018-08-01T00:00:00"/>
        <d v="2018-02-08T00:00:00"/>
        <d v="2018-03-08T00:00:00"/>
        <d v="2018-08-03T00:00:00"/>
        <d v="2018-08-08T00:00:00"/>
        <d v="2018-08-16T00:00:00"/>
        <d v="2018-08-20T00:00:00"/>
        <d v="2018-08-24T00:00:00"/>
        <d v="2018-08-25T00:00:00"/>
        <d v="2018-08-26T00:00:00"/>
        <d v="2018-08-27T00:00:00"/>
        <d v="2018-08-30T00:00:00"/>
        <d v="2018-08-31T00:00:00"/>
        <d v="2018-03-09T00:00:00"/>
        <d v="2018-10-09T00:00:00"/>
        <d v="2018-09-10T00:00:00"/>
        <d v="2018-11-09T00:00:00"/>
        <d v="2018-12-09T00:00:00"/>
        <d v="2018-09-13T00:00:00"/>
        <d v="2018-09-14T00:00:00"/>
        <d v="2018-09-19T00:00:00"/>
        <d v="2018-09-20T00:00:00"/>
        <d v="2018-09-25T00:00:00"/>
        <d v="2018-09-26T00:00:00"/>
        <d v="2018-09-27T00:00:00"/>
        <d v="2018-09-28T00:00:00"/>
        <d v="2018-03-10T00:00:00"/>
        <d v="2018-12-10T00:00:00"/>
        <d v="2018-10-12T00:00:00"/>
        <d v="2018-10-18T00:00:00"/>
        <d v="2018-10-29T00:00:00"/>
        <d v="2018-10-30T00:00:00"/>
        <d v="2018-10-31T00:00:00"/>
        <d v="2018-03-11T00:00:00"/>
        <d v="2018-07-11T00:00:00"/>
        <d v="2018-11-07T00:00:00"/>
        <d v="2018-11-14T00:00:00"/>
        <d v="2018-11-17T00:00:00"/>
        <d v="2018-11-22T00:00:00"/>
        <d v="2018-11-24T00:00:00"/>
        <d v="2018-11-26T00:00:00"/>
        <d v="2018-01-12T00:00:00"/>
        <d v="2018-08-12T00:00:00"/>
        <d v="2018-12-13T00:00:00"/>
        <d v="2018-12-17T00:00:00"/>
        <d v="2018-12-19T00:00:00"/>
        <d v="2018-12-21T00:00:00"/>
        <d v="2018-12-31T00:00:00"/>
        <d v="2018-01-05T00:00:00"/>
        <d v="2018-09-01T00:00:00"/>
        <d v="2018-10-01T00:00:00"/>
        <d v="2018-01-22T00:00:00"/>
        <d v="2018-01-24T00:00:00"/>
        <d v="2018-01-26T00:00:00"/>
        <d v="2018-01-30T00:00:00"/>
        <d v="2018-05-02T00:00:00"/>
        <d v="2018-12-02T00:00:00"/>
        <d v="2018-02-14T00:00:00"/>
        <d v="2018-02-20T00:00:00"/>
        <d v="2018-02-23T00:00:00"/>
        <d v="2018-02-26T00:00:00"/>
        <d v="2018-06-03T00:00:00"/>
        <d v="2018-03-13T00:00:00"/>
        <d v="2018-03-19T00:00:00"/>
        <d v="2018-03-20T00:00:00"/>
        <d v="2018-03-26T00:00:00"/>
        <d v="2018-03-28T00:00:00"/>
        <d v="2018-03-04T00:00:00"/>
        <d v="2018-06-04T00:00:00"/>
        <d v="2018-09-04T00:00:00"/>
        <d v="2018-04-16T00:00:00"/>
        <d v="2018-04-18T00:00:00"/>
        <d v="2018-04-25T00:00:00"/>
        <d v="2018-02-05T00:00:00"/>
        <d v="2018-05-15T00:00:00"/>
        <d v="2018-05-18T00:00:00"/>
        <d v="2018-05-22T00:00:00"/>
        <d v="2018-05-23T00:00:00"/>
        <d v="2018-05-25T00:00:00"/>
        <d v="2018-05-28T00:00:00"/>
        <d v="2018-04-06T00:00:00"/>
        <d v="2018-08-06T00:00:00"/>
        <d v="2018-06-19T00:00:00"/>
        <d v="2018-06-23T00:00:00"/>
        <d v="2018-06-29T00:00:00"/>
        <d v="2018-02-07T00:00:00"/>
        <d v="2018-04-07T00:00:00"/>
        <d v="2018-05-07T00:00:00"/>
        <d v="2018-07-16T00:00:00"/>
        <d v="2018-07-17T00:00:00"/>
        <d v="2018-07-20T00:00:00"/>
        <d v="2018-07-23T00:00:00"/>
        <d v="2018-06-08T00:00:00"/>
        <d v="2018-07-08T00:00:00"/>
        <d v="2018-10-08T00:00:00"/>
        <d v="2018-08-13T00:00:00"/>
        <d v="2018-08-28T00:00:00"/>
        <d v="2018-08-29T00:00:00"/>
        <d v="2018-04-09T00:00:00"/>
        <d v="2018-09-17T00:00:00"/>
        <d v="2018-09-24T00:00:00"/>
        <d v="2018-02-10T00:00:00"/>
        <d v="2018-06-10T00:00:00"/>
        <d v="2018-11-10T00:00:00"/>
        <d v="2018-10-15T00:00:00"/>
        <d v="2018-10-22T00:00:00"/>
        <d v="2018-10-24T00:00:00"/>
        <d v="2018-10-27T00:00:00"/>
        <d v="2018-01-11T00:00:00"/>
        <d v="2018-06-11T00:00:00"/>
        <d v="2018-08-11T00:00:00"/>
        <d v="2018-12-11T00:00:00"/>
        <d v="2018-11-19T00:00:00"/>
        <d v="2018-11-21T00:00:00"/>
        <d v="2018-03-12T00:00:00"/>
        <d v="2018-04-12T00:00:00"/>
        <d v="2018-11-12T00:00:00"/>
        <d v="2018-12-12T00:00:00"/>
        <d v="2018-12-14T00:00:00"/>
        <d v="2018-12-20T00:00:00"/>
      </sharedItems>
      <fieldGroup par="15"/>
    </cacheField>
    <cacheField name="Bank Account" numFmtId="0">
      <sharedItems/>
    </cacheField>
    <cacheField name="Ref / Narration" numFmtId="0">
      <sharedItems containsBlank="1"/>
    </cacheField>
    <cacheField name="Debit (₦)" numFmtId="43">
      <sharedItems containsString="0" containsBlank="1" containsNumber="1" minValue="0" maxValue="35000000"/>
    </cacheField>
    <cacheField name="Credit (₦)" numFmtId="43">
      <sharedItems containsString="0" containsBlank="1" containsNumber="1" minValue="0" maxValue="105000000"/>
    </cacheField>
    <cacheField name="Balance (₦)" numFmtId="0">
      <sharedItems containsString="0" containsBlank="1" containsNumber="1" minValue="-19133068.5" maxValue="109052062"/>
    </cacheField>
    <cacheField name="Category" numFmtId="0">
      <sharedItems/>
    </cacheField>
    <cacheField name="Sub-Category" numFmtId="0">
      <sharedItems count="49">
        <s v="Opening Balance"/>
        <s v="Admin &amp; Office Expenses"/>
        <s v="Finance Charges"/>
        <s v="Inter Account Transfers"/>
        <s v="FX Transactions"/>
        <s v="Grant"/>
        <s v="Subscription"/>
        <s v="Staff Welfare"/>
        <s v="Procurement"/>
        <s v="Online Purchase"/>
        <s v="Printing &amp; Stationery"/>
        <s v="Staff Training Expenses"/>
        <s v="Staff Cost"/>
        <s v="1 PAYMENT FOR ASSET TAGS PRINTING"/>
        <s v="Electricity"/>
        <s v="Taxation"/>
        <s v="Rent"/>
        <s v="Branding Stickers"/>
        <s v="Repair and Maintenance"/>
        <s v="Legal and Consultancy"/>
        <s v="Inventory Stickers"/>
        <s v="Audit Fees"/>
        <s v="Data Entry Clerk"/>
        <s v="Internet Subscription"/>
        <s v="Board Meeting Expenses"/>
        <s v="Computer Equipment"/>
        <s v="Inverter Set up"/>
        <s v="Lighting Installation"/>
        <s v="HMO Plan"/>
        <s v="Telephone &amp; Communication Expenses"/>
        <s v="PAYE"/>
        <s v="Furniture &amp; Fittings"/>
        <s v="Entertainment"/>
        <s v="Computer Accessories"/>
        <s v="Refund by Jummia"/>
        <s v="Sahad Stores"/>
        <s v="Medical Expenses"/>
        <s v="Petty Cash"/>
        <s v="Online Payment"/>
        <s v="Sarumi Temitope"/>
        <s v="Mutual Trust Microfinance Bank"/>
        <s v="Home Banking Account"/>
        <s v="Koliaangel Ltd"/>
        <s v="CUTEMAN RESOURCES LTD"/>
        <s v="DONAROSE CONCEPT LTD"/>
        <s v="Hotel Accomodation"/>
        <s v="Climax Universal Empor"/>
        <s v="Admin and Office Expenses" u="1"/>
        <s v="Sahad Stoes" u="1"/>
      </sharedItems>
    </cacheField>
    <cacheField name="Donor / Project Code" numFmtId="0">
      <sharedItems containsNonDate="0" containsString="0" containsBlank="1"/>
    </cacheField>
    <cacheField name="Restricted?" numFmtId="0">
      <sharedItems containsNonDate="0" containsString="0" containsBlank="1"/>
    </cacheField>
    <cacheField name="Notes" numFmtId="0">
      <sharedItems containsNonDate="0" containsString="0" containsBlank="1"/>
    </cacheField>
    <cacheField name="Flag" numFmtId="0">
      <sharedItems containsNonDate="0" containsString="0" containsBlank="1"/>
    </cacheField>
    <cacheField name="Days (Date2)" numFmtId="0" databaseField="0">
      <fieldGroup base="2">
        <rangePr groupBy="days" startDate="2018-01-01T00:00:00" endDate="2019-01-01T00:00:00"/>
        <groupItems count="368">
          <s v="&lt;01/01/20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19"/>
        </groupItems>
      </fieldGroup>
    </cacheField>
    <cacheField name="Months (Date2)" numFmtId="0" databaseField="0">
      <fieldGroup base="2">
        <rangePr groupBy="months" startDate="2018-01-01T00:00:00" endDate="2019-01-01T00:00:00"/>
        <groupItems count="14">
          <s v="&lt;01/01/2018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n v="1"/>
    <d v="2018-01-04T00:00:00"/>
    <x v="0"/>
    <s v="GTBank USD A/c No 0238127172"/>
    <s v="Opening Balance"/>
    <m/>
    <n v="50295521.500000007"/>
    <m/>
    <s v="Opening Balance"/>
    <x v="0"/>
    <m/>
    <m/>
    <m/>
    <m/>
  </r>
  <r>
    <n v="3"/>
    <d v="2018-02-15T00:00:00"/>
    <x v="1"/>
    <s v="GTBank USD A/c No 0238127172"/>
    <s v="REIMBURSEMENT OF EXPENSES RASPBERRY PI"/>
    <n v="198660"/>
    <m/>
    <n v="-198660"/>
    <s v=" ASANGANSI IME EFFIONG"/>
    <x v="1"/>
    <m/>
    <m/>
    <m/>
    <m/>
  </r>
  <r>
    <n v="4"/>
    <d v="2018-02-15T00:00:00"/>
    <x v="1"/>
    <s v="GTBank USD A/c No 0238127172"/>
    <s v="commission on FX transfer"/>
    <n v="3500"/>
    <n v="0"/>
    <n v="-202160"/>
    <s v="Finance Charges"/>
    <x v="2"/>
    <m/>
    <m/>
    <m/>
    <m/>
  </r>
  <r>
    <n v="5"/>
    <d v="2018-02-15T00:00:00"/>
    <x v="1"/>
    <s v="GTBank USD A/c No 0238127172"/>
    <s v="VAT on FX transfer commission"/>
    <n v="175"/>
    <m/>
    <n v="-202335"/>
    <s v="Finance Charges"/>
    <x v="2"/>
    <m/>
    <m/>
    <m/>
    <m/>
  </r>
  <r>
    <n v="6"/>
    <d v="2018-02-21T00:00:00"/>
    <x v="2"/>
    <s v="GTBank USD A/c No 0238127172"/>
    <s v="OWN ACCOUNT TRANSFER FRM CARD TO DOM"/>
    <n v="0"/>
    <n v="168532"/>
    <n v="-33803"/>
    <s v="Inter Account Transfer"/>
    <x v="3"/>
    <m/>
    <m/>
    <m/>
    <m/>
  </r>
  <r>
    <n v="7"/>
    <d v="2018-04-20T00:00:00"/>
    <x v="3"/>
    <s v="GTBank USD A/c No 0238127172"/>
    <s v="Payment for 1 Year Gravity form subscription for inventory dashboard "/>
    <n v="20650"/>
    <n v="0"/>
    <n v="-54453"/>
    <s v="Subscriptions"/>
    <x v="1"/>
    <m/>
    <m/>
    <m/>
    <m/>
  </r>
  <r>
    <n v="8"/>
    <d v="2018-06-12T00:00:00"/>
    <x v="4"/>
    <s v="GTBank USD A/c No 0238127172"/>
    <s v="DOLLAR EXCHANGE FOR NAIRA"/>
    <n v="17500000"/>
    <n v="0"/>
    <n v="-17554453"/>
    <s v="JAMIYA MULTI EXCHANGE BDC LTD    "/>
    <x v="4"/>
    <m/>
    <m/>
    <m/>
    <m/>
  </r>
  <r>
    <n v="9"/>
    <d v="2018-06-12T00:00:00"/>
    <x v="4"/>
    <s v="GTBank USD A/c No 0238127172"/>
    <s v="commission on FX transfer"/>
    <n v="87500"/>
    <n v="0"/>
    <n v="-17641953"/>
    <s v="Finance Charges"/>
    <x v="2"/>
    <m/>
    <m/>
    <m/>
    <m/>
  </r>
  <r>
    <n v="10"/>
    <d v="2018-06-12T00:00:00"/>
    <x v="4"/>
    <s v="GTBank USD A/c No 0238127172"/>
    <s v="VAT on FX transfer"/>
    <n v="4375"/>
    <n v="0"/>
    <n v="-17646328"/>
    <s v="Finance Charges"/>
    <x v="2"/>
    <m/>
    <m/>
    <m/>
    <m/>
  </r>
  <r>
    <n v="11"/>
    <d v="2018-07-03T00:00:00"/>
    <x v="5"/>
    <s v="GTBank USD A/c No 0238127172"/>
    <s v="Payment for site hosting"/>
    <n v="52500"/>
    <n v="0"/>
    <n v="-17698828"/>
    <s v="Subscriptions"/>
    <x v="1"/>
    <m/>
    <m/>
    <m/>
    <m/>
  </r>
  <r>
    <n v="12"/>
    <d v="2018-07-24T00:00:00"/>
    <x v="6"/>
    <s v="GTBank USD A/c No 0238127172"/>
    <s v="REIMBURSEMENT FOR FOUR DIGITAL TIMER SOCKET PLUGINS PURCHASED "/>
    <n v="14710.5"/>
    <n v="0"/>
    <n v="-17713538.5"/>
    <s v=" ASANGANSI IME EFFIONG"/>
    <x v="1"/>
    <m/>
    <m/>
    <m/>
    <m/>
  </r>
  <r>
    <n v="13"/>
    <d v="2018-07-24T00:00:00"/>
    <x v="6"/>
    <s v="GTBank USD A/c No 0238127172"/>
    <s v="commission on FX transfer"/>
    <n v="3500"/>
    <n v="0"/>
    <n v="-17717038.5"/>
    <s v="Finance Charges"/>
    <x v="2"/>
    <m/>
    <m/>
    <m/>
    <m/>
  </r>
  <r>
    <n v="14"/>
    <d v="2018-07-24T00:00:00"/>
    <x v="6"/>
    <s v="GTBank USD A/c No 0238127172"/>
    <s v="VAT on FX transfer"/>
    <n v="175"/>
    <n v="0"/>
    <n v="-17717213.5"/>
    <s v="Finance Charges"/>
    <x v="2"/>
    <m/>
    <m/>
    <m/>
    <m/>
  </r>
  <r>
    <n v="15"/>
    <d v="2018-08-10T00:00:00"/>
    <x v="7"/>
    <s v="GTBank USD A/c No 0238127172"/>
    <s v="SWIFT TRANSFER FX - Acceptance o"/>
    <n v="1393735"/>
    <n v="0"/>
    <n v="-19110948.5"/>
    <s v="IMA INTERNATIONAL"/>
    <x v="4"/>
    <m/>
    <m/>
    <m/>
    <m/>
  </r>
  <r>
    <n v="16"/>
    <d v="2018-08-10T00:00:00"/>
    <x v="7"/>
    <s v="GTBank USD A/c No 0238127172"/>
    <s v="COMMISSION/OUTWARD TRANSFERS FX -Acceptance o"/>
    <n v="6968.5"/>
    <n v="0"/>
    <n v="-19117917"/>
    <s v="Finance Charges"/>
    <x v="2"/>
    <m/>
    <m/>
    <m/>
    <m/>
  </r>
  <r>
    <n v="17"/>
    <d v="2018-08-10T00:00:00"/>
    <x v="7"/>
    <s v="GTBank USD A/c No 0238127172"/>
    <s v="VAT/OUTWARD TRANSFER FX - Acceptance o"/>
    <n v="350"/>
    <n v="0"/>
    <n v="-19118267"/>
    <s v="Finance Charges"/>
    <x v="2"/>
    <m/>
    <m/>
    <m/>
    <m/>
  </r>
  <r>
    <n v="18"/>
    <d v="2018-08-10T00:00:00"/>
    <x v="7"/>
    <s v="GTBank USD A/c No 0238127172"/>
    <s v="SWIFT CHARGE/OUTWARD TRANSFER FX - Acceptance o"/>
    <n v="6051.5"/>
    <n v="0"/>
    <n v="-19124318.5"/>
    <s v="Finance Charges"/>
    <x v="2"/>
    <m/>
    <m/>
    <m/>
    <m/>
  </r>
  <r>
    <n v="19"/>
    <d v="2018-08-10T00:00:00"/>
    <x v="7"/>
    <s v="GTBank USD A/c No 0238127172"/>
    <s v="OVERSEAS Finance Charges OFFSHORE CHARGE"/>
    <n v="8750"/>
    <n v="0"/>
    <n v="-19133068.5"/>
    <s v="Finance Charges"/>
    <x v="2"/>
    <m/>
    <m/>
    <m/>
    <m/>
  </r>
  <r>
    <n v="20"/>
    <d v="2018-08-17T00:00:00"/>
    <x v="8"/>
    <s v="GTBank USD A/c No 0238127172"/>
    <s v="APPROVE INWARD TRF - SWIFT trBP 205 F0182280780601 INFLOW "/>
    <n v="0"/>
    <n v="58724400"/>
    <n v="39591331.5"/>
    <s v="BILL + MELINDA GATES FOUNDATION"/>
    <x v="5"/>
    <m/>
    <m/>
    <m/>
    <m/>
  </r>
  <r>
    <n v="21"/>
    <d v="2018-09-02T00:00:00"/>
    <x v="9"/>
    <s v="GTBank USD A/c No 0238127172"/>
    <s v="LinkedIn payment"/>
    <n v="87500"/>
    <n v="0"/>
    <n v="39503831.5"/>
    <s v="LinkedIn Subscription"/>
    <x v="6"/>
    <m/>
    <m/>
    <m/>
    <m/>
  </r>
  <r>
    <n v="22"/>
    <d v="2018-09-03T00:00:00"/>
    <x v="10"/>
    <s v="GTBank USD A/c No 0238127172"/>
    <s v="DOLLAR EXCHANGE FOR NAIRA"/>
    <n v="35000000"/>
    <n v="0"/>
    <n v="4503831.5"/>
    <s v="JAMIYA MULTI EXCHANGE BDC LTD    "/>
    <x v="4"/>
    <m/>
    <m/>
    <m/>
    <m/>
  </r>
  <r>
    <n v="23"/>
    <d v="2018-09-03T00:00:00"/>
    <x v="10"/>
    <s v="GTBank USD A/c No 0238127172"/>
    <s v="commission on FX transfer"/>
    <n v="175000"/>
    <n v="0"/>
    <n v="4328831.5"/>
    <s v="Finance Charges"/>
    <x v="2"/>
    <m/>
    <m/>
    <m/>
    <m/>
  </r>
  <r>
    <n v="24"/>
    <d v="2018-09-03T00:00:00"/>
    <x v="10"/>
    <s v="GTBank USD A/c No 0238127172"/>
    <s v="VAT on FX transfer"/>
    <n v="8750"/>
    <n v="0"/>
    <n v="4320081.5"/>
    <s v="Finance Charges"/>
    <x v="2"/>
    <m/>
    <m/>
    <m/>
    <m/>
  </r>
  <r>
    <n v="25"/>
    <d v="2018-09-12T00:00:00"/>
    <x v="11"/>
    <s v="GTBank USD A/c No 0238127172"/>
    <s v="SUNDRY ENTRIES MASTERCARD MAINTENANCE  FEE"/>
    <n v="7000"/>
    <n v="0"/>
    <n v="4313081.5"/>
    <s v="Finance Charges"/>
    <x v="2"/>
    <m/>
    <m/>
    <m/>
    <m/>
  </r>
  <r>
    <n v="26"/>
    <d v="2018-10-19T00:00:00"/>
    <x v="12"/>
    <s v="GTBank USD A/c No 0238127172"/>
    <s v="REIMBURSEMENT FOR PAYMENT OF SMARTSHEET SUBSCRIPTION"/>
    <n v="50750"/>
    <n v="0"/>
    <n v="4262331.5"/>
    <s v="Subscriptions"/>
    <x v="1"/>
    <m/>
    <m/>
    <m/>
    <m/>
  </r>
  <r>
    <n v="27"/>
    <d v="2018-10-19T00:00:00"/>
    <x v="12"/>
    <s v="GTBank USD A/c No 0238127172"/>
    <s v="commission on FX transfer"/>
    <n v="255.5"/>
    <n v="0"/>
    <n v="4262076"/>
    <s v="Finance Charges"/>
    <x v="2"/>
    <m/>
    <m/>
    <m/>
    <m/>
  </r>
  <r>
    <n v="28"/>
    <d v="2018-10-19T00:00:00"/>
    <x v="12"/>
    <s v="GTBank USD A/c No 0238127172"/>
    <s v="VAT on FX transfer"/>
    <n v="14"/>
    <n v="0"/>
    <n v="4262062"/>
    <s v="Finance Charges"/>
    <x v="2"/>
    <m/>
    <m/>
    <m/>
    <m/>
  </r>
  <r>
    <n v="29"/>
    <d v="2018-10-23T00:00:00"/>
    <x v="13"/>
    <s v="GTBank USD A/c No 0238127172"/>
    <s v="Welfare-Purchase of Signature stamp and Office Shirts "/>
    <n v="210000"/>
    <n v="0"/>
    <n v="4052062"/>
    <s v="Purchase of Signature stamp and Office Shirts "/>
    <x v="7"/>
    <m/>
    <m/>
    <m/>
    <m/>
  </r>
  <r>
    <n v="30"/>
    <d v="2018-10-26T00:00:00"/>
    <x v="14"/>
    <s v="GTBank USD A/c No 0238127172"/>
    <s v="APPROVE INWARD TRF - SWIFT trBP 205 F0182280780601 INFLOW "/>
    <n v="0"/>
    <n v="105000000"/>
    <n v="109052062"/>
    <s v="BILL + MELINDA GATES FOUNDATION"/>
    <x v="5"/>
    <m/>
    <m/>
    <m/>
    <m/>
  </r>
  <r>
    <n v="31"/>
    <d v="2018-11-23T00:00:00"/>
    <x v="15"/>
    <s v="GTBank USD A/c No 0238127172"/>
    <s v="Procurement"/>
    <n v="525000"/>
    <n v="0"/>
    <n v="108527062"/>
    <s v="Procurement"/>
    <x v="8"/>
    <m/>
    <m/>
    <m/>
    <m/>
  </r>
  <r>
    <n v="32"/>
    <d v="2018-11-25T00:00:00"/>
    <x v="16"/>
    <s v="GTBank USD A/c No 0238127172"/>
    <s v="Online Procurement"/>
    <n v="350000"/>
    <n v="0"/>
    <n v="108177062"/>
    <s v="Online Procurement"/>
    <x v="8"/>
    <m/>
    <m/>
    <m/>
    <m/>
  </r>
  <r>
    <n v="34"/>
    <d v="2018-11-27T00:00:00"/>
    <x v="17"/>
    <s v="GTBank USD A/c No 0238127172"/>
    <s v="Online Procurement"/>
    <n v="525000"/>
    <n v="0"/>
    <n v="107652062"/>
    <s v="Online Procurement"/>
    <x v="8"/>
    <m/>
    <m/>
    <m/>
    <m/>
  </r>
  <r>
    <n v="36"/>
    <d v="2018-01-04T00:00:00"/>
    <x v="0"/>
    <s v="GTBank USD A/c No 0254410676"/>
    <s v="Opening Balance"/>
    <m/>
    <n v="176571.5"/>
    <m/>
    <s v="Opening Balance"/>
    <x v="0"/>
    <m/>
    <m/>
    <m/>
    <m/>
  </r>
  <r>
    <n v="37"/>
    <d v="2018-01-10T00:00:00"/>
    <x v="18"/>
    <s v="GTBank USD A/c No 0254410676"/>
    <s v="MASTERCARD SETTLEMENT Sales Draft - Amazon"/>
    <n v="3951.4999999999995"/>
    <n v="0"/>
    <m/>
    <s v="Amazon - Subscription"/>
    <x v="9"/>
    <m/>
    <m/>
    <m/>
    <m/>
  </r>
  <r>
    <n v="38"/>
    <d v="2018-02-12T00:00:00"/>
    <x v="19"/>
    <s v="GTBank USD A/c No 0254410676"/>
    <s v="MASTERCARD SETTLEMENT Sales Draft - Amazon"/>
    <n v="4088"/>
    <m/>
    <m/>
    <s v="Amazon - Subscription"/>
    <x v="9"/>
    <m/>
    <m/>
    <m/>
    <m/>
  </r>
  <r>
    <n v="39"/>
    <d v="2018-02-21T00:00:00"/>
    <x v="2"/>
    <s v="GTBank USD A/c No 0254410676"/>
    <s v="OWN ACCOUNT TRANSFER FRM CARD TO DOM"/>
    <n v="168532"/>
    <n v="0"/>
    <m/>
    <s v="Inter Account Transfer"/>
    <x v="3"/>
    <m/>
    <m/>
    <m/>
    <m/>
  </r>
  <r>
    <n v="41"/>
    <d v="2018-04-20T00:00:00"/>
    <x v="3"/>
    <s v="GTBank USD A/c No 0254410676"/>
    <s v="Payment for 1 Year Gravity form subscription for inventory dashboard"/>
    <n v="0"/>
    <n v="20650"/>
    <m/>
    <s v="Subscriptions"/>
    <x v="6"/>
    <m/>
    <m/>
    <m/>
    <m/>
  </r>
  <r>
    <n v="42"/>
    <d v="2018-04-26T00:00:00"/>
    <x v="20"/>
    <s v="GTBank USD A/c No 0254410676"/>
    <s v="MASTERCARD SETTLEMENT Sales Draft - ROCKETGENIUS,, USA"/>
    <n v="20650"/>
    <n v="0"/>
    <m/>
    <s v="Subscriptions"/>
    <x v="9"/>
    <m/>
    <m/>
    <m/>
    <m/>
  </r>
  <r>
    <n v="44"/>
    <d v="2018-07-03T00:00:00"/>
    <x v="5"/>
    <s v="GTBank USD A/c No 0254410676"/>
    <s v="Payment for site hosting 47521398"/>
    <n v="0"/>
    <n v="52500"/>
    <m/>
    <s v="Subscriptions"/>
    <x v="6"/>
    <m/>
    <m/>
    <m/>
    <m/>
  </r>
  <r>
    <n v="45"/>
    <d v="2018-07-09T00:00:00"/>
    <x v="21"/>
    <s v="GTBank USD A/c No 0254410676"/>
    <s v="MASTERCARD SETTLEMENT Sales Draft - STRASMORE SSD, USA"/>
    <n v="41996.5"/>
    <n v="0"/>
    <m/>
    <s v="Subscriptions"/>
    <x v="9"/>
    <m/>
    <m/>
    <m/>
    <m/>
  </r>
  <r>
    <n v="48"/>
    <d v="2018-09-02T00:00:00"/>
    <x v="9"/>
    <s v="GTBank USD A/c No 0254410676"/>
    <s v="LinkedIn payment"/>
    <n v="0"/>
    <n v="87500"/>
    <m/>
    <s v="LinkedIn Subscription"/>
    <x v="6"/>
    <m/>
    <m/>
    <m/>
    <m/>
  </r>
  <r>
    <n v="50"/>
    <d v="2018-09-05T00:00:00"/>
    <x v="22"/>
    <s v="GTBank USD A/c No 0254410676"/>
    <s v="MASTERCARD SETTLEMENT Sales Draft - LINKEDIN-422*, IRL"/>
    <n v="3549"/>
    <n v="0"/>
    <m/>
    <s v="LinkedIn Subscription"/>
    <x v="6"/>
    <m/>
    <m/>
    <m/>
    <m/>
  </r>
  <r>
    <n v="51"/>
    <d v="2018-09-05T00:00:00"/>
    <x v="22"/>
    <s v="GTBank USD A/c No 0254410676"/>
    <s v="MASTERCARD SETTLEMENT Sales Draft - LINKEDIN-421*, IRL"/>
    <n v="7948.5"/>
    <n v="0"/>
    <m/>
    <s v="LinkedIn Subscription"/>
    <x v="6"/>
    <m/>
    <m/>
    <m/>
    <m/>
  </r>
  <r>
    <n v="52"/>
    <d v="2018-09-11T00:00:00"/>
    <x v="23"/>
    <s v="GTBank USD A/c No 0254410676"/>
    <s v="MASTERCARD SETTLEMENT Sales Draft -LinkedIn 4230"/>
    <n v="10454.5"/>
    <n v="0"/>
    <m/>
    <s v="LinkedIn Subscription"/>
    <x v="6"/>
    <m/>
    <m/>
    <m/>
    <m/>
  </r>
  <r>
    <n v="53"/>
    <d v="2018-09-21T00:00:00"/>
    <x v="24"/>
    <s v="GTBank USD A/c No 0254410676"/>
    <s v="MASTERCARD SETTLEMENT Sales Draft - LINKEDIN-425*, IRL"/>
    <n v="21602"/>
    <n v="0"/>
    <m/>
    <s v="LinkedIn Subscription"/>
    <x v="6"/>
    <m/>
    <m/>
    <m/>
    <m/>
  </r>
  <r>
    <n v="54"/>
    <d v="2018-10-03T00:00:00"/>
    <x v="25"/>
    <s v="GTBank USD A/c No 0254410676"/>
    <s v="MASTERCARD SETTLEMENT Sales Draft - LINKEDIN-427*, IRL"/>
    <n v="4879"/>
    <n v="0"/>
    <m/>
    <s v="LinkedIn Subscription"/>
    <x v="6"/>
    <m/>
    <m/>
    <m/>
    <m/>
  </r>
  <r>
    <n v="55"/>
    <d v="2018-10-10T00:00:00"/>
    <x v="26"/>
    <s v="GTBank USD A/c No 0254410676"/>
    <s v="MASTERCARD SETTLEMENT Sales Draft - APPSUMO.COM, , USA"/>
    <n v="30450"/>
    <n v="0"/>
    <m/>
    <s v="Subscriptions"/>
    <x v="9"/>
    <m/>
    <m/>
    <m/>
    <m/>
  </r>
  <r>
    <n v="56"/>
    <d v="2018-10-19T00:00:00"/>
    <x v="12"/>
    <s v="GTBank USD A/c No 0254410676"/>
    <s v="MASTERCARD SETTLEMENT Sales Draft - LINKEDIN-424*, IRL"/>
    <n v="21567"/>
    <n v="0"/>
    <m/>
    <s v="LinkedIn Subscription"/>
    <x v="6"/>
    <m/>
    <m/>
    <m/>
    <m/>
  </r>
  <r>
    <n v="57"/>
    <d v="2018-10-23T00:00:00"/>
    <x v="13"/>
    <s v="GTBank USD A/c No 0254410676"/>
    <s v="Welfare-Purchase of Signature stamp and Office Shirts "/>
    <n v="0"/>
    <n v="210000"/>
    <m/>
    <s v="Welfare-Purchase of Signature stamp and Office Shirts "/>
    <x v="7"/>
    <m/>
    <m/>
    <m/>
    <m/>
  </r>
  <r>
    <n v="58"/>
    <d v="2018-10-26T00:00:00"/>
    <x v="14"/>
    <s v="GTBank USD A/c No 0254410676"/>
    <s v="MASTERCARD SETTLEMENT Sales Draft - VISTAPRINT, H, NLD"/>
    <n v="10773"/>
    <n v="0"/>
    <m/>
    <s v="Subscriptions"/>
    <x v="9"/>
    <m/>
    <m/>
    <m/>
    <m/>
  </r>
  <r>
    <n v="59"/>
    <d v="2018-10-26T00:00:00"/>
    <x v="14"/>
    <s v="GTBank USD A/c No 0254410676"/>
    <s v="MASTERCARD SETTLEMENT Sales Draft - APPSUMO.COM, , USA"/>
    <n v="17150"/>
    <n v="0"/>
    <m/>
    <s v="Subscriptions"/>
    <x v="9"/>
    <m/>
    <m/>
    <m/>
    <m/>
  </r>
  <r>
    <n v="60"/>
    <d v="2018-10-26T00:00:00"/>
    <x v="14"/>
    <s v="GTBank USD A/c No 0254410676"/>
    <s v="MASTERCARD SETTLEMENT Sales Draft - NEEDEN WORDAN, FRA"/>
    <n v="102294.5"/>
    <n v="0"/>
    <m/>
    <s v="Subscriptions"/>
    <x v="9"/>
    <m/>
    <m/>
    <m/>
    <m/>
  </r>
  <r>
    <n v="61"/>
    <d v="2018-11-23T00:00:00"/>
    <x v="15"/>
    <s v="GTBank USD A/c No 0254410676"/>
    <s v="Procurement "/>
    <n v="0"/>
    <n v="525000"/>
    <m/>
    <s v="Procurement "/>
    <x v="8"/>
    <m/>
    <m/>
    <m/>
    <m/>
  </r>
  <r>
    <n v="62"/>
    <d v="2018-11-25T00:00:00"/>
    <x v="16"/>
    <s v="GTBank USD A/c No 0254410676"/>
    <s v="Online Procurement"/>
    <n v="0"/>
    <n v="350000"/>
    <m/>
    <s v="Online Procurement"/>
    <x v="8"/>
    <m/>
    <m/>
    <m/>
    <m/>
  </r>
  <r>
    <n v="64"/>
    <d v="2018-11-27T00:00:00"/>
    <x v="17"/>
    <s v="GTBank USD A/c No 0254410676"/>
    <s v="MASTERCARD SETTLEMENT Sales Draft - ENVATOMARKET4, USA"/>
    <n v="5250"/>
    <n v="0"/>
    <m/>
    <s v="Subscriptions"/>
    <x v="9"/>
    <m/>
    <m/>
    <m/>
    <m/>
  </r>
  <r>
    <n v="65"/>
    <d v="2018-11-27T00:00:00"/>
    <x v="17"/>
    <s v="GTBank USD A/c No 0254410676"/>
    <s v="MASTERCARD SETTLEMENT Sales Draft - 2CO.COM*ABBYY, NLD"/>
    <n v="23659.999999999996"/>
    <n v="0"/>
    <m/>
    <s v="Subscriptions"/>
    <x v="9"/>
    <m/>
    <m/>
    <m/>
    <m/>
  </r>
  <r>
    <n v="66"/>
    <d v="2018-11-27T00:00:00"/>
    <x v="17"/>
    <s v="GTBank USD A/c No 0254410676"/>
    <s v="MASTERCARD SETTLEMENT Sales Draft - 2CO.COM*BITDE, NLD"/>
    <n v="27989.5"/>
    <n v="0"/>
    <m/>
    <s v="Subscriptions"/>
    <x v="9"/>
    <m/>
    <m/>
    <m/>
    <m/>
  </r>
  <r>
    <n v="67"/>
    <d v="2018-11-27T00:00:00"/>
    <x v="17"/>
    <s v="GTBank USD A/c No 0254410676"/>
    <s v="MASTERCARD MERCHANT SETTLEMENT Sales Draft - PP*3037CODE, , LUX"/>
    <n v="682.5"/>
    <n v="0"/>
    <m/>
    <s v="Subscriptions"/>
    <x v="9"/>
    <m/>
    <m/>
    <m/>
    <m/>
  </r>
  <r>
    <n v="68"/>
    <d v="2018-11-27T00:00:00"/>
    <x v="17"/>
    <s v="GTBank USD A/c No 0254410676"/>
    <s v="MASTERCARD MERCHANT SETTLEMENT Sales Draft - HOSTINGER INT, CYP"/>
    <n v="24843"/>
    <n v="0"/>
    <m/>
    <s v="Subscriptions"/>
    <x v="9"/>
    <m/>
    <m/>
    <m/>
    <m/>
  </r>
  <r>
    <n v="69"/>
    <d v="2018-11-27T00:00:00"/>
    <x v="17"/>
    <s v="GTBank USD A/c No 0254410676"/>
    <s v="MASTERCARD MERCHANT SETTLEMENT Sales Draft - PP*FASTSPRING, USA"/>
    <n v="41650"/>
    <n v="0"/>
    <m/>
    <s v="Subscriptions"/>
    <x v="9"/>
    <m/>
    <m/>
    <m/>
    <m/>
  </r>
  <r>
    <n v="70"/>
    <d v="2018-11-27T00:00:00"/>
    <x v="17"/>
    <s v="GTBank USD A/c No 0254410676"/>
    <s v="MASTERCARD MERCHANT SETTLEMENT Credit Voucher - PP*3037CODE, , LUX"/>
    <n v="0"/>
    <n v="682.5"/>
    <m/>
    <s v="Subscriptions"/>
    <x v="9"/>
    <m/>
    <m/>
    <m/>
    <m/>
  </r>
  <r>
    <n v="71"/>
    <d v="2018-11-27T00:00:00"/>
    <x v="17"/>
    <s v="GTBank USD A/c No 0254410676"/>
    <s v="Online Procurement"/>
    <n v="0"/>
    <n v="525000"/>
    <m/>
    <s v="Online Procurement"/>
    <x v="8"/>
    <m/>
    <m/>
    <m/>
    <m/>
  </r>
  <r>
    <n v="72"/>
    <d v="2018-11-28T00:00:00"/>
    <x v="27"/>
    <s v="GTBank USD A/c No 0254410676"/>
    <s v="MASTERCARD SETTLEMENT Sales Draft - PP*SC* STACKS, USA"/>
    <n v="17496.5"/>
    <n v="0"/>
    <m/>
    <s v="Paystack - Subscription"/>
    <x v="9"/>
    <m/>
    <m/>
    <m/>
    <m/>
  </r>
  <r>
    <n v="73"/>
    <d v="2018-11-28T00:00:00"/>
    <x v="27"/>
    <s v="GTBank USD A/c No 0254410676"/>
    <s v="MASTERCARD SETTLEMENT Sales Draft - PAYPAL *WPROB, LUX"/>
    <n v="25200"/>
    <n v="0"/>
    <m/>
    <s v="Paypal - Subscription "/>
    <x v="9"/>
    <m/>
    <m/>
    <m/>
    <m/>
  </r>
  <r>
    <n v="74"/>
    <d v="2018-11-28T00:00:00"/>
    <x v="27"/>
    <s v="GTBank USD A/c No 0254410676"/>
    <s v="MASTERCARD SETTLEMENT Sales Draft - PAYPAL *PROWR, LUX"/>
    <n v="30625"/>
    <n v="0"/>
    <m/>
    <s v="Paypal - Subscription "/>
    <x v="9"/>
    <m/>
    <m/>
    <m/>
    <m/>
  </r>
  <r>
    <n v="75"/>
    <d v="2018-11-28T00:00:00"/>
    <x v="27"/>
    <s v="GTBank USD A/c No 0254410676"/>
    <s v="MASTERCARD SETTLEMENT Sales Draft - PAYPAL *NORDV, LUX"/>
    <n v="37642.5"/>
    <n v="0"/>
    <m/>
    <s v="Paypal - Subscription "/>
    <x v="9"/>
    <m/>
    <m/>
    <m/>
    <m/>
  </r>
  <r>
    <n v="76"/>
    <d v="2018-11-28T00:00:00"/>
    <x v="27"/>
    <s v="GTBank USD A/c No 0254410676"/>
    <s v="MASTERCARD SETTLEMENT Sales Draft - PAYPAL *OVH, , FRA"/>
    <n v="39707.5"/>
    <n v="0"/>
    <m/>
    <s v="Paypal - Subscription "/>
    <x v="9"/>
    <m/>
    <m/>
    <m/>
    <m/>
  </r>
  <r>
    <n v="77"/>
    <d v="2018-11-28T00:00:00"/>
    <x v="27"/>
    <s v="GTBank USD A/c No 0254410676"/>
    <s v="MASTERCARD SETTLEMENT Sales Draft - PAYPAL *A2 HO, USA"/>
    <n v="41538"/>
    <n v="0"/>
    <m/>
    <s v="Paypal - Subscription "/>
    <x v="9"/>
    <m/>
    <m/>
    <m/>
    <m/>
  </r>
  <r>
    <n v="78"/>
    <d v="2018-11-28T00:00:00"/>
    <x v="27"/>
    <s v="GTBank USD A/c No 0254410676"/>
    <s v="MASTERCARD SETTLEMENT Sales Draft - PAYPAL *SSD N, LUX"/>
    <n v="41996.5"/>
    <n v="0"/>
    <m/>
    <s v="Paypal - Subscription "/>
    <x v="9"/>
    <m/>
    <m/>
    <m/>
    <m/>
  </r>
  <r>
    <n v="79"/>
    <d v="2018-11-28T00:00:00"/>
    <x v="27"/>
    <s v="GTBank USD A/c No 0254410676"/>
    <s v="MASTERCARD SETTLEMENT Sales Draft - GITSCRUM, rua, PRT"/>
    <n v="69650"/>
    <n v="0"/>
    <m/>
    <s v="Subscriptions"/>
    <x v="9"/>
    <m/>
    <m/>
    <m/>
    <m/>
  </r>
  <r>
    <n v="81"/>
    <d v="2018-11-28T00:00:00"/>
    <x v="27"/>
    <s v="GTBank USD A/c No 0254410676"/>
    <s v="MASTERCARD SETTLEMENT Sales Draft - PAYPAL *SSD N, LUX"/>
    <n v="100796.5"/>
    <n v="0"/>
    <m/>
    <s v="Paypal - Subscription "/>
    <x v="9"/>
    <m/>
    <m/>
    <m/>
    <m/>
  </r>
  <r>
    <n v="82"/>
    <d v="2018-11-28T00:00:00"/>
    <x v="27"/>
    <s v="GTBank USD A/c No 0254410676"/>
    <s v="MASTERCARD SETTLEMENT Sales Draft - PP*SC* STACKS, USA"/>
    <n v="105336"/>
    <n v="0"/>
    <m/>
    <s v="Paystack - Subscription"/>
    <x v="9"/>
    <m/>
    <m/>
    <m/>
    <m/>
  </r>
  <r>
    <n v="83"/>
    <d v="2018-11-28T00:00:00"/>
    <x v="27"/>
    <s v="GTBank USD A/c No 0254410676"/>
    <s v="MASTERCARD SETTLEMENT Sales Draft - PP*SC* STACKS, USA"/>
    <n v="116119.5"/>
    <n v="0"/>
    <m/>
    <s v="Paystack - Subscription"/>
    <x v="9"/>
    <m/>
    <m/>
    <m/>
    <m/>
  </r>
  <r>
    <n v="84"/>
    <d v="2018-11-29T00:00:00"/>
    <x v="28"/>
    <s v="GTBank USD A/c No 0254410676"/>
    <s v="MASTERCARD SETTLEMENT Sales Draft - PAYPAL *HOSTW, USA"/>
    <n v="179627"/>
    <n v="0"/>
    <m/>
    <s v="Paypal - Subscription "/>
    <x v="9"/>
    <m/>
    <m/>
    <m/>
    <m/>
  </r>
  <r>
    <n v="85"/>
    <d v="2018-11-30T00:00:00"/>
    <x v="29"/>
    <s v="GTBank USD A/c No 0254410676"/>
    <s v="MASTERCARD SETTLEMENT Sales Draft - PAYPAL *UDEMY, USA"/>
    <n v="17482.5"/>
    <n v="0"/>
    <m/>
    <s v="Paypal - Subscription "/>
    <x v="9"/>
    <m/>
    <m/>
    <m/>
    <m/>
  </r>
  <r>
    <n v="86"/>
    <d v="2018-12-03T00:00:00"/>
    <x v="30"/>
    <s v="GTBank USD A/c No 0254410676"/>
    <s v="MASTERCARD SETTLEMENT Sales Draft - PAYPAL *HBWEB, USA"/>
    <n v="13996.5"/>
    <n v="0"/>
    <m/>
    <s v="Paypal - Subscription "/>
    <x v="9"/>
    <m/>
    <m/>
    <m/>
    <m/>
  </r>
  <r>
    <n v="87"/>
    <d v="2018-12-03T00:00:00"/>
    <x v="30"/>
    <s v="GTBank USD A/c No 0254410676"/>
    <s v="MASTERCARD SETTLEMENT Sales Draft - PAYPAL *HBWEB, USA"/>
    <n v="34650"/>
    <n v="0"/>
    <m/>
    <s v="Paypal - Subscription "/>
    <x v="9"/>
    <m/>
    <m/>
    <m/>
    <m/>
  </r>
  <r>
    <n v="88"/>
    <d v="2018-12-03T00:00:00"/>
    <x v="30"/>
    <s v="GTBank USD A/c No 0254410676"/>
    <s v="MASTERCARD SETTLEMENT Sales Draft - HELPNINJA, 68, USA"/>
    <n v="69650"/>
    <n v="0"/>
    <m/>
    <s v="Subscriptions"/>
    <x v="9"/>
    <m/>
    <m/>
    <m/>
    <m/>
  </r>
  <r>
    <n v="89"/>
    <d v="2018-12-04T00:00:00"/>
    <x v="31"/>
    <s v="GTBank USD A/c No 0254410676"/>
    <s v="MASTERCARD SETTLEMENT Sales Draft - PAYPAL *HOSTW, USA"/>
    <n v="10.5"/>
    <n v="0"/>
    <m/>
    <s v="Paypal - Subscription "/>
    <x v="9"/>
    <m/>
    <m/>
    <m/>
    <m/>
  </r>
  <r>
    <n v="90"/>
    <d v="2018-12-04T00:00:00"/>
    <x v="31"/>
    <s v="GTBank USD A/c No 0254410676"/>
    <s v="MASTERCARD SETTLEMENT Sales Draft - PAYPAL *REBEL, LUX"/>
    <n v="17150"/>
    <n v="0"/>
    <m/>
    <s v="Paypal - Subscription "/>
    <x v="9"/>
    <m/>
    <m/>
    <m/>
    <m/>
  </r>
  <r>
    <n v="91"/>
    <d v="2018-12-04T00:00:00"/>
    <x v="31"/>
    <s v="GTBank USD A/c No 0254410676"/>
    <s v="MASTERCARD SETTLEMENT Sales Draft - PAYPAL *REBEL, LUX"/>
    <n v="44450"/>
    <n v="0"/>
    <m/>
    <s v="Paypal - Subscription "/>
    <x v="9"/>
    <m/>
    <m/>
    <m/>
    <m/>
  </r>
  <r>
    <n v="94"/>
    <d v="2018-01-01T00:00:00"/>
    <x v="32"/>
    <s v="GTBank Naira A/c No 0238127165"/>
    <s v="Opening Balance"/>
    <m/>
    <n v="20766156.27"/>
    <m/>
    <s v="Opening Balance"/>
    <x v="0"/>
    <m/>
    <m/>
    <m/>
    <m/>
  </r>
  <r>
    <n v="95"/>
    <d v="2018-03-01T00:00:00"/>
    <x v="33"/>
    <s v="GTBank Naira A/c No 0238127165"/>
    <m/>
    <n v="70000"/>
    <m/>
    <m/>
    <s v="Subscriptions"/>
    <x v="1"/>
    <m/>
    <m/>
    <m/>
    <m/>
  </r>
  <r>
    <n v="96"/>
    <d v="2018-01-03T00:00:00"/>
    <x v="34"/>
    <s v="GTBank Naira A/c No 0238127165"/>
    <m/>
    <n v="50"/>
    <m/>
    <m/>
    <s v="Finance Charges"/>
    <x v="2"/>
    <m/>
    <m/>
    <m/>
    <m/>
  </r>
  <r>
    <n v="97"/>
    <d v="2018-01-03T00:00:00"/>
    <x v="34"/>
    <s v="GTBank Naira A/c No 0238127165"/>
    <m/>
    <n v="2.5"/>
    <m/>
    <m/>
    <s v="Finance Charges"/>
    <x v="2"/>
    <m/>
    <m/>
    <m/>
    <m/>
  </r>
  <r>
    <n v="98"/>
    <d v="2018-05-01T00:00:00"/>
    <x v="35"/>
    <s v="GTBank Naira A/c No 0238127165"/>
    <m/>
    <n v="238000"/>
    <m/>
    <m/>
    <s v="Inter Account Transfer"/>
    <x v="3"/>
    <m/>
    <m/>
    <m/>
    <m/>
  </r>
  <r>
    <n v="99"/>
    <s v="1/15/2018"/>
    <x v="36"/>
    <s v="GTBank Naira A/c No 0238127165"/>
    <m/>
    <n v="20000"/>
    <m/>
    <m/>
    <s v="Office Electricity Bill"/>
    <x v="1"/>
    <m/>
    <m/>
    <m/>
    <m/>
  </r>
  <r>
    <n v="100"/>
    <d v="2018-01-15T00:00:00"/>
    <x v="36"/>
    <s v="GTBank Naira A/c No 0238127165"/>
    <m/>
    <n v="50"/>
    <m/>
    <m/>
    <s v="Finance Charges"/>
    <x v="2"/>
    <m/>
    <m/>
    <m/>
    <m/>
  </r>
  <r>
    <n v="101"/>
    <d v="2018-01-15T00:00:00"/>
    <x v="36"/>
    <s v="GTBank Naira A/c No 0238127165"/>
    <m/>
    <n v="2.5"/>
    <m/>
    <m/>
    <s v="Finance Charges"/>
    <x v="2"/>
    <m/>
    <m/>
    <m/>
    <m/>
  </r>
  <r>
    <n v="102"/>
    <s v="1/16/2018"/>
    <x v="37"/>
    <s v="GTBank Naira A/c No 0238127165"/>
    <m/>
    <n v="5000"/>
    <m/>
    <m/>
    <s v="Office Cleaning Expenses"/>
    <x v="1"/>
    <m/>
    <m/>
    <m/>
    <m/>
  </r>
  <r>
    <n v="103"/>
    <d v="2018-01-16T00:00:00"/>
    <x v="37"/>
    <s v="GTBank Naira A/c No 0238127165"/>
    <m/>
    <n v="50"/>
    <m/>
    <m/>
    <s v="Finance Charges"/>
    <x v="2"/>
    <m/>
    <m/>
    <m/>
    <m/>
  </r>
  <r>
    <n v="105"/>
    <d v="2018-01-16T00:00:00"/>
    <x v="37"/>
    <s v="GTBank Naira A/c No 0238127165"/>
    <m/>
    <n v="2.5"/>
    <m/>
    <m/>
    <s v="Finance Charges"/>
    <x v="2"/>
    <m/>
    <m/>
    <m/>
    <m/>
  </r>
  <r>
    <n v="106"/>
    <s v="1/16/2018"/>
    <x v="37"/>
    <s v="GTBank Naira A/c No 0238127165"/>
    <m/>
    <n v="232000"/>
    <m/>
    <m/>
    <s v="Printing &amp; Stationery"/>
    <x v="10"/>
    <m/>
    <m/>
    <m/>
    <m/>
  </r>
  <r>
    <n v="107"/>
    <s v="1/27/2018"/>
    <x v="38"/>
    <s v="GTBank Naira A/c No 0238127165"/>
    <m/>
    <n v="40000"/>
    <m/>
    <m/>
    <s v="Inter Account Transfer"/>
    <x v="3"/>
    <m/>
    <m/>
    <m/>
    <m/>
  </r>
  <r>
    <n v="108"/>
    <s v="1/27/2018"/>
    <x v="38"/>
    <s v="GTBank Naira A/c No 0238127165"/>
    <m/>
    <n v="13000"/>
    <m/>
    <m/>
    <s v="Inter Account Transfer"/>
    <x v="3"/>
    <m/>
    <m/>
    <m/>
    <m/>
  </r>
  <r>
    <n v="109"/>
    <s v="1/27/2018"/>
    <x v="38"/>
    <s v="GTBank Naira A/c No 0238127165"/>
    <m/>
    <n v="6500"/>
    <m/>
    <m/>
    <s v="Staff Training Expenses"/>
    <x v="11"/>
    <m/>
    <m/>
    <m/>
    <m/>
  </r>
  <r>
    <n v="110"/>
    <d v="2018-01-27T00:00:00"/>
    <x v="38"/>
    <s v="GTBank Naira A/c No 0238127165"/>
    <m/>
    <n v="50"/>
    <m/>
    <m/>
    <s v="Finance Charges"/>
    <x v="2"/>
    <m/>
    <m/>
    <m/>
    <m/>
  </r>
  <r>
    <n v="111"/>
    <d v="2018-01-27T00:00:00"/>
    <x v="38"/>
    <s v="GTBank Naira A/c No 0238127165"/>
    <m/>
    <n v="2.5"/>
    <m/>
    <m/>
    <s v="Finance Charges"/>
    <x v="2"/>
    <m/>
    <m/>
    <m/>
    <m/>
  </r>
  <r>
    <n v="114"/>
    <d v="2018-01-29T00:00:00"/>
    <x v="39"/>
    <s v="GTBank Naira A/c No 0238127165"/>
    <m/>
    <n v="104"/>
    <m/>
    <m/>
    <s v="SMS CHARGE"/>
    <x v="2"/>
    <m/>
    <m/>
    <m/>
    <m/>
  </r>
  <r>
    <n v="115"/>
    <s v="1/31/2018"/>
    <x v="40"/>
    <s v="GTBank Naira A/c No 0238127165"/>
    <m/>
    <n v="42000"/>
    <m/>
    <m/>
    <s v="Printing &amp; Stationery"/>
    <x v="10"/>
    <m/>
    <m/>
    <m/>
    <m/>
  </r>
  <r>
    <n v="116"/>
    <d v="2018-01-31T00:00:00"/>
    <x v="40"/>
    <s v="GTBank Naira A/c No 0238127165"/>
    <m/>
    <n v="50"/>
    <m/>
    <m/>
    <s v="Finance Charges"/>
    <x v="2"/>
    <m/>
    <m/>
    <m/>
    <m/>
  </r>
  <r>
    <n v="117"/>
    <d v="2018-01-31T00:00:00"/>
    <x v="40"/>
    <s v="GTBank Naira A/c No 0238127165"/>
    <m/>
    <n v="2.5"/>
    <m/>
    <m/>
    <s v="Finance Charges"/>
    <x v="2"/>
    <m/>
    <m/>
    <m/>
    <m/>
  </r>
  <r>
    <n v="118"/>
    <s v="1/31/2018"/>
    <x v="40"/>
    <s v="GTBank Naira A/c No 0238127165"/>
    <s v="MTHLY SALARY 2018 January"/>
    <n v="2433595.2200000002"/>
    <m/>
    <m/>
    <s v="Salaries &amp; Wages"/>
    <x v="12"/>
    <m/>
    <m/>
    <m/>
    <m/>
  </r>
  <r>
    <n v="119"/>
    <d v="2018-01-31T00:00:00"/>
    <x v="40"/>
    <s v="GTBank Naira A/c No 0238127165"/>
    <m/>
    <n v="105"/>
    <m/>
    <m/>
    <s v="VAT"/>
    <x v="2"/>
    <m/>
    <m/>
    <m/>
    <m/>
  </r>
  <r>
    <n v="120"/>
    <d v="2018-01-31T00:00:00"/>
    <x v="40"/>
    <s v="GTBank Naira A/c No 0238127165"/>
    <m/>
    <n v="800"/>
    <m/>
    <m/>
    <s v="COMMISSION Bulk Payment Charge"/>
    <x v="2"/>
    <m/>
    <m/>
    <m/>
    <m/>
  </r>
  <r>
    <n v="121"/>
    <d v="2018-01-31T00:00:00"/>
    <x v="40"/>
    <s v="GTBank Naira A/c No 0238127165"/>
    <m/>
    <n v="40"/>
    <m/>
    <m/>
    <s v="VAT"/>
    <x v="2"/>
    <m/>
    <m/>
    <m/>
    <m/>
  </r>
  <r>
    <n v="122"/>
    <s v="1/31/2018"/>
    <x v="40"/>
    <s v="GTBank Naira A/c No 0238127165"/>
    <m/>
    <n v="3500"/>
    <m/>
    <m/>
    <s v="5D IMAGERY LIMITED"/>
    <x v="13"/>
    <m/>
    <m/>
    <m/>
    <m/>
  </r>
  <r>
    <n v="124"/>
    <d v="2018-01-31T00:00:00"/>
    <x v="40"/>
    <s v="GTBank Naira A/c No 0238127165"/>
    <m/>
    <n v="50"/>
    <m/>
    <m/>
    <s v="Finance Charges"/>
    <x v="2"/>
    <m/>
    <m/>
    <m/>
    <m/>
  </r>
  <r>
    <n v="125"/>
    <d v="2018-01-31T00:00:00"/>
    <x v="40"/>
    <s v="GTBank Naira A/c No 0238127165"/>
    <m/>
    <n v="2.5"/>
    <m/>
    <m/>
    <s v="Finance Charges"/>
    <x v="2"/>
    <m/>
    <m/>
    <m/>
    <m/>
  </r>
  <r>
    <n v="126"/>
    <d v="2018-01-31T00:00:00"/>
    <x v="40"/>
    <s v="GTBank Naira A/c No 0238127165"/>
    <m/>
    <n v="2812.6"/>
    <m/>
    <m/>
    <s v="Finance Charges"/>
    <x v="2"/>
    <m/>
    <m/>
    <m/>
    <m/>
  </r>
  <r>
    <n v="127"/>
    <d v="2018-01-31T00:00:00"/>
    <x v="40"/>
    <s v="GTBank Naira A/c No 0238127165"/>
    <m/>
    <n v="140.63"/>
    <m/>
    <m/>
    <s v="Finance Charges"/>
    <x v="2"/>
    <m/>
    <m/>
    <m/>
    <m/>
  </r>
  <r>
    <n v="128"/>
    <d v="2018-01-02T00:00:00"/>
    <x v="41"/>
    <s v="GTBank Naira A/c No 0238127165"/>
    <m/>
    <n v="1865356.46"/>
    <m/>
    <m/>
    <s v="Staff Pension Remittances"/>
    <x v="12"/>
    <m/>
    <m/>
    <m/>
    <m/>
  </r>
  <r>
    <n v="129"/>
    <d v="2018-02-02T00:00:00"/>
    <x v="42"/>
    <s v="GTBank Naira A/c No 0238127165"/>
    <m/>
    <n v="63797.760000000002"/>
    <m/>
    <m/>
    <s v="Staff Pension Remittances"/>
    <x v="12"/>
    <m/>
    <m/>
    <m/>
    <m/>
  </r>
  <r>
    <n v="130"/>
    <d v="2018-04-02T00:00:00"/>
    <x v="43"/>
    <s v="GTBank Naira A/c No 0238127165"/>
    <m/>
    <n v="12000"/>
    <m/>
    <m/>
    <s v="1 CLEANERS PAY FOR THE MONTH OF JAN 2018"/>
    <x v="1"/>
    <m/>
    <m/>
    <m/>
    <m/>
  </r>
  <r>
    <n v="131"/>
    <d v="2018-02-04T00:00:00"/>
    <x v="44"/>
    <s v="GTBank Naira A/c No 0238127165"/>
    <m/>
    <n v="50"/>
    <m/>
    <m/>
    <s v="Finance Charges"/>
    <x v="2"/>
    <m/>
    <m/>
    <m/>
    <m/>
  </r>
  <r>
    <n v="132"/>
    <d v="2018-02-04T00:00:00"/>
    <x v="44"/>
    <s v="GTBank Naira A/c No 0238127165"/>
    <m/>
    <n v="2.5"/>
    <m/>
    <m/>
    <s v="Finance Charges"/>
    <x v="2"/>
    <m/>
    <m/>
    <m/>
    <m/>
  </r>
  <r>
    <n v="135"/>
    <d v="2018-07-02T00:00:00"/>
    <x v="45"/>
    <s v="GTBank Naira A/c No 0238127165"/>
    <m/>
    <n v="46400"/>
    <m/>
    <m/>
    <s v="Inter Account Transfer"/>
    <x v="3"/>
    <m/>
    <m/>
    <m/>
    <m/>
  </r>
  <r>
    <n v="136"/>
    <s v="2/16/2018"/>
    <x v="46"/>
    <s v="GTBank Naira A/c No 0238127165"/>
    <m/>
    <n v="30000"/>
    <m/>
    <m/>
    <s v="Office Electricity Bill"/>
    <x v="1"/>
    <m/>
    <m/>
    <m/>
    <m/>
  </r>
  <r>
    <n v="137"/>
    <d v="2018-02-16T00:00:00"/>
    <x v="46"/>
    <s v="GTBank Naira A/c No 0238127165"/>
    <m/>
    <n v="50"/>
    <m/>
    <m/>
    <s v="Finance Charges"/>
    <x v="2"/>
    <m/>
    <m/>
    <m/>
    <m/>
  </r>
  <r>
    <n v="138"/>
    <d v="2018-02-16T00:00:00"/>
    <x v="46"/>
    <s v="GTBank Naira A/c No 0238127165"/>
    <m/>
    <n v="2.5"/>
    <m/>
    <m/>
    <s v="Finance Charges"/>
    <x v="2"/>
    <m/>
    <m/>
    <m/>
    <m/>
  </r>
  <r>
    <n v="139"/>
    <s v="2/16/2018"/>
    <x v="46"/>
    <s v="GTBank Naira A/c No 0238127165"/>
    <m/>
    <n v="32000"/>
    <m/>
    <m/>
    <s v="Inter Account Transfer"/>
    <x v="3"/>
    <m/>
    <m/>
    <m/>
    <m/>
  </r>
  <r>
    <n v="140"/>
    <s v="2/17/2018"/>
    <x v="47"/>
    <s v="GTBank Naira A/c No 0238127165"/>
    <m/>
    <n v="6500"/>
    <m/>
    <m/>
    <s v="Staff Training Expenses"/>
    <x v="11"/>
    <m/>
    <m/>
    <m/>
    <m/>
  </r>
  <r>
    <n v="141"/>
    <d v="2018-02-17T00:00:00"/>
    <x v="47"/>
    <s v="GTBank Naira A/c No 0238127165"/>
    <m/>
    <n v="50"/>
    <m/>
    <m/>
    <s v="Finance Charges"/>
    <x v="2"/>
    <m/>
    <m/>
    <m/>
    <m/>
  </r>
  <r>
    <n v="144"/>
    <d v="2018-02-17T00:00:00"/>
    <x v="47"/>
    <s v="GTBank Naira A/c No 0238127165"/>
    <m/>
    <n v="2.5"/>
    <m/>
    <m/>
    <s v="Finance Charges"/>
    <x v="2"/>
    <m/>
    <m/>
    <m/>
    <m/>
  </r>
  <r>
    <n v="145"/>
    <s v="2/25/2018"/>
    <x v="48"/>
    <s v="GTBank Naira A/c No 0238127165"/>
    <m/>
    <n v="24800"/>
    <m/>
    <m/>
    <s v="Inter Account Transfer"/>
    <x v="3"/>
    <m/>
    <m/>
    <m/>
    <m/>
  </r>
  <r>
    <n v="146"/>
    <s v="2/25/2018"/>
    <x v="48"/>
    <s v="GTBank Naira A/c No 0238127165"/>
    <m/>
    <n v="5500"/>
    <m/>
    <m/>
    <s v="PURCHASE OF OFFICE TOILETRIES FOR MARCH 2018"/>
    <x v="1"/>
    <m/>
    <m/>
    <m/>
    <m/>
  </r>
  <r>
    <n v="147"/>
    <d v="2018-02-25T00:00:00"/>
    <x v="48"/>
    <s v="GTBank Naira A/c No 0238127165"/>
    <m/>
    <n v="50"/>
    <m/>
    <m/>
    <s v="Finance Charges"/>
    <x v="2"/>
    <m/>
    <m/>
    <m/>
    <m/>
  </r>
  <r>
    <n v="148"/>
    <d v="2018-02-25T00:00:00"/>
    <x v="48"/>
    <s v="GTBank Naira A/c No 0238127165"/>
    <m/>
    <n v="2.5"/>
    <m/>
    <m/>
    <s v="Finance Charges"/>
    <x v="2"/>
    <m/>
    <m/>
    <m/>
    <m/>
  </r>
  <r>
    <n v="149"/>
    <d v="2018-02-27T00:00:00"/>
    <x v="49"/>
    <s v="GTBank Naira A/c No 0238127165"/>
    <m/>
    <n v="116"/>
    <m/>
    <m/>
    <s v="SMS CHARGE"/>
    <x v="2"/>
    <m/>
    <m/>
    <m/>
    <m/>
  </r>
  <r>
    <n v="150"/>
    <s v="2/28/2018"/>
    <x v="50"/>
    <s v="GTBank Naira A/c No 0238127165"/>
    <m/>
    <n v="30000"/>
    <m/>
    <m/>
    <s v="Inter Account Transfer"/>
    <x v="3"/>
    <m/>
    <m/>
    <m/>
    <m/>
  </r>
  <r>
    <n v="152"/>
    <s v="2/28/2018"/>
    <x v="50"/>
    <s v="GTBank Naira A/c No 0238127165"/>
    <m/>
    <n v="10500"/>
    <m/>
    <m/>
    <s v="Printing &amp; Stationery"/>
    <x v="10"/>
    <m/>
    <m/>
    <m/>
    <m/>
  </r>
  <r>
    <n v="153"/>
    <s v="2/28/2018"/>
    <x v="50"/>
    <s v="GTBank Naira A/c No 0238127165"/>
    <m/>
    <n v="12000"/>
    <m/>
    <m/>
    <s v="Office Cleaning Expenses"/>
    <x v="1"/>
    <m/>
    <m/>
    <m/>
    <m/>
  </r>
  <r>
    <n v="154"/>
    <d v="2018-02-28T00:00:00"/>
    <x v="50"/>
    <s v="GTBank Naira A/c No 0238127165"/>
    <m/>
    <n v="50"/>
    <m/>
    <m/>
    <s v="Finance Charges"/>
    <x v="2"/>
    <m/>
    <m/>
    <m/>
    <m/>
  </r>
  <r>
    <n v="155"/>
    <d v="2018-02-28T00:00:00"/>
    <x v="50"/>
    <s v="GTBank Naira A/c No 0238127165"/>
    <m/>
    <n v="2.5"/>
    <m/>
    <m/>
    <s v="Finance Charges"/>
    <x v="2"/>
    <m/>
    <m/>
    <m/>
    <m/>
  </r>
  <r>
    <n v="156"/>
    <d v="2018-02-28T00:00:00"/>
    <x v="50"/>
    <s v="GTBank Naira A/c No 0238127165"/>
    <m/>
    <n v="50"/>
    <m/>
    <m/>
    <s v="Finance Charges"/>
    <x v="2"/>
    <m/>
    <m/>
    <m/>
    <m/>
  </r>
  <r>
    <n v="157"/>
    <d v="2018-02-28T00:00:00"/>
    <x v="50"/>
    <s v="GTBank Naira A/c No 0238127165"/>
    <m/>
    <n v="2.5"/>
    <m/>
    <m/>
    <s v="Finance Charges"/>
    <x v="2"/>
    <m/>
    <m/>
    <m/>
    <m/>
  </r>
  <r>
    <n v="158"/>
    <s v="2/28/2018"/>
    <x v="50"/>
    <s v="GTBank Naira A/c No 0238127165"/>
    <s v="MTHLY SALARY 2018 February"/>
    <n v="2404347.14"/>
    <m/>
    <m/>
    <s v="Salaries &amp; Wages"/>
    <x v="12"/>
    <m/>
    <m/>
    <m/>
    <m/>
  </r>
  <r>
    <n v="159"/>
    <d v="2018-02-28T00:00:00"/>
    <x v="50"/>
    <s v="GTBank Naira A/c No 0238127165"/>
    <m/>
    <n v="105"/>
    <m/>
    <m/>
    <s v="VAT"/>
    <x v="2"/>
    <m/>
    <m/>
    <m/>
    <m/>
  </r>
  <r>
    <n v="162"/>
    <d v="2018-02-28T00:00:00"/>
    <x v="50"/>
    <s v="GTBank Naira A/c No 0238127165"/>
    <m/>
    <n v="850"/>
    <m/>
    <m/>
    <s v="COMMISSION Bulk Payment Charge"/>
    <x v="2"/>
    <m/>
    <m/>
    <m/>
    <m/>
  </r>
  <r>
    <n v="163"/>
    <d v="2018-02-28T00:00:00"/>
    <x v="50"/>
    <s v="GTBank Naira A/c No 0238127165"/>
    <m/>
    <n v="42.5"/>
    <m/>
    <m/>
    <s v="VAT"/>
    <x v="2"/>
    <m/>
    <m/>
    <m/>
    <m/>
  </r>
  <r>
    <n v="164"/>
    <s v="2/28/2018"/>
    <x v="50"/>
    <s v="GTBank Naira A/c No 0238127165"/>
    <m/>
    <n v="4410"/>
    <m/>
    <m/>
    <s v="Finance Charges"/>
    <x v="2"/>
    <m/>
    <m/>
    <m/>
    <m/>
  </r>
  <r>
    <n v="165"/>
    <d v="2018-02-28T00:00:00"/>
    <x v="50"/>
    <s v="GTBank Naira A/c No 0238127165"/>
    <m/>
    <n v="220.5"/>
    <m/>
    <m/>
    <s v="Finance Charges"/>
    <x v="2"/>
    <m/>
    <m/>
    <m/>
    <m/>
  </r>
  <r>
    <n v="166"/>
    <d v="2018-02-03T00:00:00"/>
    <x v="51"/>
    <s v="GTBank Naira A/c No 0238127165"/>
    <m/>
    <n v="32716.799999999999"/>
    <m/>
    <m/>
    <s v="Staff Pension Remittances"/>
    <x v="12"/>
    <m/>
    <m/>
    <m/>
    <m/>
  </r>
  <r>
    <n v="167"/>
    <d v="2018-02-03T00:00:00"/>
    <x v="51"/>
    <s v="GTBank Naira A/c No 0238127165"/>
    <m/>
    <n v="915212.97"/>
    <m/>
    <m/>
    <s v="Staff Pension Remittances"/>
    <x v="12"/>
    <m/>
    <m/>
    <m/>
    <m/>
  </r>
  <r>
    <n v="168"/>
    <s v="3/16/2018"/>
    <x v="52"/>
    <s v="GTBank Naira A/c No 0238127165"/>
    <m/>
    <n v="30000"/>
    <m/>
    <m/>
    <s v="Office Electricity Bill"/>
    <x v="1"/>
    <m/>
    <m/>
    <m/>
    <m/>
  </r>
  <r>
    <n v="169"/>
    <d v="2018-03-16T00:00:00"/>
    <x v="52"/>
    <s v="GTBank Naira A/c No 0238127165"/>
    <m/>
    <n v="50"/>
    <m/>
    <m/>
    <s v="Finance Charges"/>
    <x v="2"/>
    <m/>
    <m/>
    <m/>
    <m/>
  </r>
  <r>
    <n v="170"/>
    <d v="2018-03-16T00:00:00"/>
    <x v="52"/>
    <s v="GTBank Naira A/c No 0238127165"/>
    <m/>
    <n v="2.5"/>
    <m/>
    <m/>
    <s v="Finance Charges"/>
    <x v="2"/>
    <m/>
    <m/>
    <m/>
    <m/>
  </r>
  <r>
    <n v="171"/>
    <s v="3/16/2018"/>
    <x v="52"/>
    <s v="GTBank Naira A/c No 0238127165"/>
    <m/>
    <n v="54900"/>
    <m/>
    <m/>
    <s v="Inter Account Transfer"/>
    <x v="3"/>
    <m/>
    <m/>
    <m/>
    <m/>
  </r>
  <r>
    <n v="174"/>
    <s v="3/17/2018"/>
    <x v="53"/>
    <s v="GTBank Naira A/c No 0238127165"/>
    <m/>
    <n v="6500"/>
    <m/>
    <m/>
    <s v="GENERATOR RENTAL PAYMENT"/>
    <x v="14"/>
    <m/>
    <m/>
    <m/>
    <m/>
  </r>
  <r>
    <n v="175"/>
    <d v="2018-03-17T00:00:00"/>
    <x v="53"/>
    <s v="GTBank Naira A/c No 0238127165"/>
    <m/>
    <n v="50"/>
    <m/>
    <m/>
    <s v="Finance Charges"/>
    <x v="2"/>
    <m/>
    <m/>
    <m/>
    <m/>
  </r>
  <r>
    <n v="176"/>
    <d v="2018-03-17T00:00:00"/>
    <x v="53"/>
    <s v="GTBank Naira A/c No 0238127165"/>
    <m/>
    <n v="2.5"/>
    <m/>
    <m/>
    <s v="Finance Charges"/>
    <x v="2"/>
    <m/>
    <m/>
    <m/>
    <m/>
  </r>
  <r>
    <n v="177"/>
    <s v="3/22/2018"/>
    <x v="54"/>
    <s v="GTBank Naira A/c No 0238127165"/>
    <s v="DPRS 1 year subscription Domain regsitration"/>
    <n v="10000"/>
    <m/>
    <m/>
    <s v="Subscriptions"/>
    <x v="1"/>
    <m/>
    <m/>
    <m/>
    <m/>
  </r>
  <r>
    <n v="178"/>
    <s v="3/22/2018"/>
    <x v="54"/>
    <s v="GTBank Naira A/c No 0238127165"/>
    <s v="Domain registration "/>
    <n v="150892.20000000001"/>
    <m/>
    <m/>
    <s v="Subscriptions"/>
    <x v="1"/>
    <m/>
    <m/>
    <m/>
    <m/>
  </r>
  <r>
    <n v="179"/>
    <s v="3/23/2018"/>
    <x v="55"/>
    <s v="GTBank Naira A/c No 0238127165"/>
    <m/>
    <n v="20000"/>
    <m/>
    <m/>
    <s v="Inter Account Transfer"/>
    <x v="3"/>
    <m/>
    <m/>
    <m/>
    <m/>
  </r>
  <r>
    <n v="180"/>
    <s v="3/27/2018"/>
    <x v="56"/>
    <s v="GTBank Naira A/c No 0238127165"/>
    <s v="MTHLY SALARY 2018 March"/>
    <n v="2521298.19"/>
    <m/>
    <m/>
    <s v="Salaries &amp; Wages"/>
    <x v="12"/>
    <m/>
    <m/>
    <m/>
    <m/>
  </r>
  <r>
    <n v="181"/>
    <d v="2018-03-27T00:00:00"/>
    <x v="56"/>
    <s v="GTBank Naira A/c No 0238127165"/>
    <m/>
    <n v="105"/>
    <m/>
    <m/>
    <s v="VAT"/>
    <x v="2"/>
    <m/>
    <m/>
    <m/>
    <m/>
  </r>
  <r>
    <n v="183"/>
    <d v="2018-03-27T00:00:00"/>
    <x v="56"/>
    <s v="GTBank Naira A/c No 0238127165"/>
    <m/>
    <n v="850"/>
    <m/>
    <m/>
    <s v="COMMISSION Bulk Payment Charge"/>
    <x v="2"/>
    <m/>
    <m/>
    <m/>
    <m/>
  </r>
  <r>
    <n v="184"/>
    <d v="2018-03-27T00:00:00"/>
    <x v="56"/>
    <s v="GTBank Naira A/c No 0238127165"/>
    <m/>
    <n v="42.5"/>
    <m/>
    <m/>
    <s v="VAT"/>
    <x v="2"/>
    <m/>
    <m/>
    <m/>
    <m/>
  </r>
  <r>
    <n v="185"/>
    <d v="2018-03-27T00:00:00"/>
    <x v="56"/>
    <s v="GTBank Naira A/c No 0238127165"/>
    <m/>
    <n v="92"/>
    <m/>
    <m/>
    <s v="SMS CHARGE"/>
    <x v="2"/>
    <m/>
    <m/>
    <m/>
    <m/>
  </r>
  <r>
    <n v="186"/>
    <s v="3/29/2018"/>
    <x v="57"/>
    <s v="GTBank Naira A/c No 0238127165"/>
    <m/>
    <n v="386400"/>
    <m/>
    <m/>
    <s v="FEDERAL INLAND REVENUE SERVICE"/>
    <x v="15"/>
    <m/>
    <m/>
    <m/>
    <m/>
  </r>
  <r>
    <n v="187"/>
    <s v="3/29/2018"/>
    <x v="57"/>
    <s v="GTBank Naira A/c No 0238127165"/>
    <m/>
    <n v="4043.02"/>
    <m/>
    <m/>
    <s v="Finance Charges"/>
    <x v="2"/>
    <m/>
    <m/>
    <m/>
    <m/>
  </r>
  <r>
    <n v="188"/>
    <d v="2018-03-29T00:00:00"/>
    <x v="57"/>
    <s v="GTBank Naira A/c No 0238127165"/>
    <m/>
    <n v="202.15"/>
    <m/>
    <m/>
    <s v="Finance Charges"/>
    <x v="2"/>
    <m/>
    <m/>
    <m/>
    <m/>
  </r>
  <r>
    <n v="189"/>
    <s v="3/30/2018"/>
    <x v="58"/>
    <s v="GTBank Naira A/c No 0238127165"/>
    <m/>
    <n v="12000"/>
    <m/>
    <m/>
    <s v="Office Cleaning Expenses"/>
    <x v="1"/>
    <m/>
    <m/>
    <m/>
    <m/>
  </r>
  <r>
    <n v="190"/>
    <d v="2018-03-30T00:00:00"/>
    <x v="58"/>
    <s v="GTBank Naira A/c No 0238127165"/>
    <m/>
    <n v="50"/>
    <m/>
    <m/>
    <s v="Finance Charges"/>
    <x v="2"/>
    <m/>
    <m/>
    <m/>
    <m/>
  </r>
  <r>
    <n v="191"/>
    <d v="2018-03-30T00:00:00"/>
    <x v="58"/>
    <s v="GTBank Naira A/c No 0238127165"/>
    <m/>
    <n v="2.5"/>
    <m/>
    <m/>
    <s v="Finance Charges"/>
    <x v="2"/>
    <m/>
    <m/>
    <m/>
    <m/>
  </r>
  <r>
    <n v="192"/>
    <d v="2018-04-04T00:00:00"/>
    <x v="59"/>
    <s v="GTBank Naira A/c No 0238127165"/>
    <m/>
    <n v="23500"/>
    <m/>
    <m/>
    <s v="Inter Account Transfer"/>
    <x v="3"/>
    <m/>
    <m/>
    <m/>
    <m/>
  </r>
  <r>
    <n v="193"/>
    <d v="2018-10-04T00:00:00"/>
    <x v="60"/>
    <s v="GTBank Naira A/c No 0238127165"/>
    <m/>
    <n v="45200"/>
    <m/>
    <m/>
    <s v="1 PAYMENT FOR PRINTER TONERS AND BATTERIES"/>
    <x v="1"/>
    <m/>
    <m/>
    <m/>
    <m/>
  </r>
  <r>
    <n v="195"/>
    <d v="2018-04-10T00:00:00"/>
    <x v="61"/>
    <s v="GTBank Naira A/c No 0238127165"/>
    <m/>
    <n v="50"/>
    <m/>
    <m/>
    <s v="Finance Charges"/>
    <x v="2"/>
    <m/>
    <m/>
    <m/>
    <m/>
  </r>
  <r>
    <n v="196"/>
    <d v="2018-04-10T00:00:00"/>
    <x v="61"/>
    <s v="GTBank Naira A/c No 0238127165"/>
    <m/>
    <n v="2.5"/>
    <m/>
    <m/>
    <s v="Finance Charges"/>
    <x v="2"/>
    <m/>
    <m/>
    <m/>
    <m/>
  </r>
  <r>
    <n v="197"/>
    <d v="2018-10-04T00:00:00"/>
    <x v="60"/>
    <s v="GTBank Naira A/c No 0238127165"/>
    <m/>
    <n v="932678.23"/>
    <m/>
    <m/>
    <s v="Staff Pension Remittances"/>
    <x v="12"/>
    <m/>
    <m/>
    <m/>
    <m/>
  </r>
  <r>
    <n v="198"/>
    <s v="4/15/2018"/>
    <x v="62"/>
    <s v="GTBank Naira A/c No 0238127165"/>
    <m/>
    <n v="5000"/>
    <m/>
    <m/>
    <s v="Inter Account Transfer"/>
    <x v="3"/>
    <m/>
    <m/>
    <m/>
    <m/>
  </r>
  <r>
    <n v="199"/>
    <s v="4/17/2018"/>
    <x v="63"/>
    <s v="GTBank Naira A/c No 0238127165"/>
    <m/>
    <n v="60000"/>
    <m/>
    <m/>
    <s v="1 HALF PAYMENT FOR CHANGE OF BOARD OF TRUSTEES AND CAC ANNUAL RETURNS FILLING "/>
    <x v="1"/>
    <m/>
    <m/>
    <m/>
    <m/>
  </r>
  <r>
    <n v="200"/>
    <d v="2018-04-17T00:00:00"/>
    <x v="63"/>
    <s v="GTBank Naira A/c No 0238127165"/>
    <m/>
    <n v="50"/>
    <m/>
    <m/>
    <s v="Finance Charges"/>
    <x v="2"/>
    <m/>
    <m/>
    <m/>
    <m/>
  </r>
  <r>
    <n v="201"/>
    <d v="2018-04-17T00:00:00"/>
    <x v="63"/>
    <s v="GTBank Naira A/c No 0238127165"/>
    <m/>
    <n v="2.5"/>
    <m/>
    <m/>
    <s v="Finance Charges"/>
    <x v="2"/>
    <m/>
    <m/>
    <m/>
    <m/>
  </r>
  <r>
    <n v="203"/>
    <s v="4/17/2018"/>
    <x v="63"/>
    <s v="GTBank Naira A/c No 0238127165"/>
    <m/>
    <n v="39400"/>
    <m/>
    <m/>
    <s v="Inter Account Transfer"/>
    <x v="3"/>
    <m/>
    <m/>
    <m/>
    <m/>
  </r>
  <r>
    <n v="204"/>
    <s v="4/17/2018"/>
    <x v="63"/>
    <s v="GTBank Naira A/c No 0238127165"/>
    <m/>
    <n v="30000"/>
    <m/>
    <m/>
    <s v="Office Electricity Bill"/>
    <x v="1"/>
    <m/>
    <m/>
    <m/>
    <m/>
  </r>
  <r>
    <n v="205"/>
    <d v="2018-04-17T00:00:00"/>
    <x v="63"/>
    <s v="GTBank Naira A/c No 0238127165"/>
    <m/>
    <n v="50"/>
    <m/>
    <m/>
    <s v="NIP Transfer Commission"/>
    <x v="2"/>
    <m/>
    <m/>
    <m/>
    <m/>
  </r>
  <r>
    <n v="206"/>
    <d v="2018-04-17T00:00:00"/>
    <x v="63"/>
    <s v="GTBank Naira A/c No 0238127165"/>
    <m/>
    <n v="2.5"/>
    <m/>
    <m/>
    <s v="Finance Charges"/>
    <x v="2"/>
    <m/>
    <m/>
    <m/>
    <m/>
  </r>
  <r>
    <n v="207"/>
    <s v="4/19/2018"/>
    <x v="64"/>
    <s v="GTBank Naira A/c No 0238127165"/>
    <s v="Payment for 1 Year Gravity form subscription for inventory dashboard"/>
    <n v="25000"/>
    <m/>
    <m/>
    <s v="Subscriptions"/>
    <x v="1"/>
    <m/>
    <m/>
    <m/>
    <m/>
  </r>
  <r>
    <n v="208"/>
    <d v="2018-04-24T00:00:00"/>
    <x v="65"/>
    <s v="GTBank Naira A/c No 0238127165"/>
    <m/>
    <n v="96"/>
    <m/>
    <m/>
    <s v="SMS CHARGE"/>
    <x v="2"/>
    <m/>
    <m/>
    <m/>
    <m/>
  </r>
  <r>
    <n v="209"/>
    <s v="4/26/2018"/>
    <x v="20"/>
    <s v="GTBank Naira A/c No 0238127165"/>
    <m/>
    <n v="1500000"/>
    <m/>
    <m/>
    <s v="VICTORY TRUST PROPERTIES LIMITED"/>
    <x v="16"/>
    <m/>
    <m/>
    <m/>
    <m/>
  </r>
  <r>
    <n v="210"/>
    <d v="2018-04-26T00:00:00"/>
    <x v="20"/>
    <s v="GTBank Naira A/c No 0238127165"/>
    <m/>
    <n v="50"/>
    <m/>
    <m/>
    <s v="Finance Charges"/>
    <x v="2"/>
    <m/>
    <m/>
    <m/>
    <m/>
  </r>
  <r>
    <n v="211"/>
    <d v="2018-04-26T00:00:00"/>
    <x v="20"/>
    <s v="GTBank Naira A/c No 0238127165"/>
    <m/>
    <n v="2.5"/>
    <m/>
    <m/>
    <s v="VAT"/>
    <x v="2"/>
    <m/>
    <m/>
    <m/>
    <m/>
  </r>
  <r>
    <n v="212"/>
    <s v="4/26/2018"/>
    <x v="20"/>
    <s v="GTBank Naira A/c No 0238127165"/>
    <m/>
    <n v="9000"/>
    <m/>
    <m/>
    <s v="Printing &amp; Stationery"/>
    <x v="10"/>
    <m/>
    <m/>
    <m/>
    <m/>
  </r>
  <r>
    <n v="213"/>
    <d v="2018-04-26T00:00:00"/>
    <x v="20"/>
    <s v="GTBank Naira A/c No 0238127165"/>
    <m/>
    <n v="50"/>
    <m/>
    <m/>
    <s v="Finance Charges"/>
    <x v="2"/>
    <m/>
    <m/>
    <m/>
    <m/>
  </r>
  <r>
    <n v="214"/>
    <d v="2018-04-26T00:00:00"/>
    <x v="20"/>
    <s v="GTBank Naira A/c No 0238127165"/>
    <m/>
    <n v="2.5"/>
    <m/>
    <m/>
    <s v="VAT"/>
    <x v="2"/>
    <m/>
    <m/>
    <m/>
    <m/>
  </r>
  <r>
    <n v="215"/>
    <s v="4/30/2018"/>
    <x v="66"/>
    <s v="GTBank Naira A/c No 0238127165"/>
    <s v="MTHLY SALARY 2018 April"/>
    <n v="1961438.6"/>
    <m/>
    <m/>
    <s v="Salaries &amp; Wages"/>
    <x v="12"/>
    <m/>
    <m/>
    <m/>
    <m/>
  </r>
  <r>
    <n v="216"/>
    <d v="2018-04-30T00:00:00"/>
    <x v="66"/>
    <s v="GTBank Naira A/c No 0238127165"/>
    <m/>
    <n v="52.5"/>
    <m/>
    <m/>
    <s v="VAT"/>
    <x v="2"/>
    <m/>
    <m/>
    <m/>
    <m/>
  </r>
  <r>
    <n v="217"/>
    <d v="2018-04-30T00:00:00"/>
    <x v="66"/>
    <s v="GTBank Naira A/c No 0238127165"/>
    <m/>
    <n v="700"/>
    <m/>
    <m/>
    <s v="COMMISSION Bulk Payment Charge"/>
    <x v="2"/>
    <m/>
    <m/>
    <m/>
    <m/>
  </r>
  <r>
    <n v="218"/>
    <d v="2018-04-30T00:00:00"/>
    <x v="66"/>
    <s v="GTBank Naira A/c No 0238127165"/>
    <m/>
    <n v="35"/>
    <m/>
    <m/>
    <s v="VAT"/>
    <x v="2"/>
    <m/>
    <m/>
    <m/>
    <m/>
  </r>
  <r>
    <n v="219"/>
    <s v="4/30/2018"/>
    <x v="66"/>
    <s v="GTBank Naira A/c No 0238127165"/>
    <m/>
    <n v="51450"/>
    <m/>
    <m/>
    <s v="Inter Account Transfer"/>
    <x v="3"/>
    <m/>
    <m/>
    <m/>
    <m/>
  </r>
  <r>
    <n v="220"/>
    <s v="4/30/2018"/>
    <x v="66"/>
    <s v="GTBank Naira A/c No 0238127165"/>
    <m/>
    <n v="4550.32"/>
    <m/>
    <m/>
    <s v="Finance Charges"/>
    <x v="2"/>
    <m/>
    <m/>
    <m/>
    <m/>
  </r>
  <r>
    <n v="221"/>
    <d v="2018-04-30T00:00:00"/>
    <x v="66"/>
    <s v="GTBank Naira A/c No 0238127165"/>
    <m/>
    <n v="227.52"/>
    <m/>
    <m/>
    <s v="Finance Charges"/>
    <x v="2"/>
    <m/>
    <m/>
    <m/>
    <m/>
  </r>
  <r>
    <n v="222"/>
    <d v="2018-03-05T00:00:00"/>
    <x v="67"/>
    <s v="GTBank Naira A/c No 0238127165"/>
    <m/>
    <n v="12000"/>
    <m/>
    <m/>
    <s v="Office Cleaning Expenses"/>
    <x v="1"/>
    <m/>
    <m/>
    <m/>
    <m/>
  </r>
  <r>
    <n v="223"/>
    <d v="2018-05-03T00:00:00"/>
    <x v="68"/>
    <s v="GTBank Naira A/c No 0238127165"/>
    <m/>
    <n v="50"/>
    <m/>
    <m/>
    <s v="Finance Charges"/>
    <x v="2"/>
    <m/>
    <m/>
    <m/>
    <m/>
  </r>
  <r>
    <n v="224"/>
    <d v="2018-05-03T00:00:00"/>
    <x v="68"/>
    <s v="GTBank Naira A/c No 0238127165"/>
    <m/>
    <n v="2.5"/>
    <m/>
    <m/>
    <s v="Finance Charges"/>
    <x v="2"/>
    <m/>
    <m/>
    <m/>
    <m/>
  </r>
  <r>
    <n v="225"/>
    <d v="2018-03-05T00:00:00"/>
    <x v="67"/>
    <s v="GTBank Naira A/c No 0238127165"/>
    <m/>
    <n v="6100"/>
    <m/>
    <m/>
    <s v="Office Cleaning Expenses"/>
    <x v="1"/>
    <m/>
    <m/>
    <m/>
    <m/>
  </r>
  <r>
    <n v="226"/>
    <d v="2018-05-03T00:00:00"/>
    <x v="68"/>
    <s v="GTBank Naira A/c No 0238127165"/>
    <m/>
    <n v="50"/>
    <m/>
    <m/>
    <s v="Finance Charges"/>
    <x v="2"/>
    <m/>
    <m/>
    <m/>
    <m/>
  </r>
  <r>
    <n v="229"/>
    <d v="2018-05-03T00:00:00"/>
    <x v="68"/>
    <s v="GTBank Naira A/c No 0238127165"/>
    <m/>
    <n v="2.5"/>
    <m/>
    <m/>
    <s v="Finance Charges"/>
    <x v="2"/>
    <m/>
    <m/>
    <m/>
    <m/>
  </r>
  <r>
    <n v="230"/>
    <d v="2018-03-05T00:00:00"/>
    <x v="67"/>
    <s v="GTBank Naira A/c No 0238127165"/>
    <m/>
    <n v="8700"/>
    <m/>
    <m/>
    <s v="Printing &amp; Stationery"/>
    <x v="10"/>
    <m/>
    <m/>
    <m/>
    <m/>
  </r>
  <r>
    <n v="231"/>
    <d v="2018-05-03T00:00:00"/>
    <x v="68"/>
    <s v="GTBank Naira A/c No 0238127165"/>
    <m/>
    <n v="50"/>
    <m/>
    <m/>
    <s v="Finance Charges"/>
    <x v="2"/>
    <m/>
    <m/>
    <m/>
    <m/>
  </r>
  <r>
    <n v="232"/>
    <d v="2018-05-03T00:00:00"/>
    <x v="68"/>
    <s v="GTBank Naira A/c No 0238127165"/>
    <m/>
    <n v="2.5"/>
    <m/>
    <m/>
    <s v="Finance Charges"/>
    <x v="2"/>
    <m/>
    <m/>
    <m/>
    <m/>
  </r>
  <r>
    <n v="233"/>
    <d v="2018-07-05T00:00:00"/>
    <x v="69"/>
    <s v="GTBank Naira A/c No 0238127165"/>
    <m/>
    <n v="576468.05000000005"/>
    <m/>
    <m/>
    <s v="Staff Pension Remittances"/>
    <x v="12"/>
    <m/>
    <m/>
    <m/>
    <m/>
  </r>
  <r>
    <n v="234"/>
    <d v="2018-11-05T00:00:00"/>
    <x v="70"/>
    <s v="GTBank Naira A/c No 0238127165"/>
    <m/>
    <n v="20100"/>
    <m/>
    <m/>
    <s v="Inter Account Transfer"/>
    <x v="3"/>
    <m/>
    <m/>
    <m/>
    <m/>
  </r>
  <r>
    <n v="235"/>
    <d v="2018-11-05T00:00:00"/>
    <x v="70"/>
    <s v="GTBank Naira A/c No 0238127165"/>
    <m/>
    <n v="10500"/>
    <m/>
    <m/>
    <s v="Printing &amp; Stationery"/>
    <x v="10"/>
    <m/>
    <m/>
    <m/>
    <m/>
  </r>
  <r>
    <n v="238"/>
    <d v="2018-05-11T00:00:00"/>
    <x v="71"/>
    <s v="GTBank Naira A/c No 0238127165"/>
    <m/>
    <n v="50"/>
    <m/>
    <m/>
    <s v="Finance Charges"/>
    <x v="2"/>
    <m/>
    <m/>
    <m/>
    <m/>
  </r>
  <r>
    <n v="239"/>
    <d v="2018-05-11T00:00:00"/>
    <x v="71"/>
    <s v="GTBank Naira A/c No 0238127165"/>
    <m/>
    <n v="2.5"/>
    <m/>
    <m/>
    <s v="VAT"/>
    <x v="2"/>
    <m/>
    <m/>
    <m/>
    <m/>
  </r>
  <r>
    <n v="240"/>
    <s v="5/16/2018"/>
    <x v="72"/>
    <s v="GTBank Naira A/c No 0238127165"/>
    <m/>
    <n v="5000"/>
    <m/>
    <m/>
    <s v="Inter Account Transfer"/>
    <x v="3"/>
    <m/>
    <m/>
    <m/>
    <m/>
  </r>
  <r>
    <n v="241"/>
    <s v="5/16/2018"/>
    <x v="72"/>
    <s v="GTBank Naira A/c No 0238127165"/>
    <m/>
    <n v="10800"/>
    <m/>
    <m/>
    <s v="Inter Account Transfer"/>
    <x v="3"/>
    <m/>
    <m/>
    <m/>
    <m/>
  </r>
  <r>
    <n v="242"/>
    <s v="5/16/2018"/>
    <x v="72"/>
    <s v="GTBank Naira A/c No 0238127165"/>
    <m/>
    <n v="3500"/>
    <m/>
    <m/>
    <s v="GALLERY INDUSTRIES LIMITED"/>
    <x v="17"/>
    <m/>
    <m/>
    <m/>
    <m/>
  </r>
  <r>
    <n v="243"/>
    <d v="2018-05-16T00:00:00"/>
    <x v="72"/>
    <s v="GTBank Naira A/c No 0238127165"/>
    <m/>
    <n v="50"/>
    <m/>
    <m/>
    <s v="Finance Charges"/>
    <x v="2"/>
    <m/>
    <m/>
    <m/>
    <m/>
  </r>
  <r>
    <n v="244"/>
    <d v="2018-05-16T00:00:00"/>
    <x v="72"/>
    <s v="GTBank Naira A/c No 0238127165"/>
    <m/>
    <n v="2.5"/>
    <m/>
    <m/>
    <s v="VAT"/>
    <x v="2"/>
    <m/>
    <m/>
    <m/>
    <m/>
  </r>
  <r>
    <n v="247"/>
    <s v="5/16/2018"/>
    <x v="72"/>
    <s v="GTBank Naira A/c No 0238127165"/>
    <m/>
    <n v="30000"/>
    <m/>
    <m/>
    <s v="Office Electricity Bill"/>
    <x v="1"/>
    <m/>
    <m/>
    <m/>
    <m/>
  </r>
  <r>
    <n v="248"/>
    <d v="2018-05-16T00:00:00"/>
    <x v="72"/>
    <s v="GTBank Naira A/c No 0238127165"/>
    <m/>
    <n v="50"/>
    <m/>
    <m/>
    <s v="Finance Charges"/>
    <x v="2"/>
    <m/>
    <m/>
    <m/>
    <m/>
  </r>
  <r>
    <n v="249"/>
    <d v="2018-05-16T00:00:00"/>
    <x v="72"/>
    <s v="GTBank Naira A/c No 0238127165"/>
    <m/>
    <n v="2.5"/>
    <m/>
    <m/>
    <s v="VAT"/>
    <x v="2"/>
    <m/>
    <m/>
    <m/>
    <m/>
  </r>
  <r>
    <n v="250"/>
    <s v="5/30/2018"/>
    <x v="73"/>
    <s v="GTBank Naira A/c No 0238127165"/>
    <s v="MTHLY SALARY 2018 May"/>
    <n v="2268338.6"/>
    <m/>
    <m/>
    <s v="Salaries &amp; Wages"/>
    <x v="12"/>
    <m/>
    <m/>
    <m/>
    <m/>
  </r>
  <r>
    <n v="251"/>
    <d v="2018-05-30T00:00:00"/>
    <x v="73"/>
    <s v="GTBank Naira A/c No 0238127165"/>
    <m/>
    <n v="157.5"/>
    <m/>
    <m/>
    <s v="VAT"/>
    <x v="2"/>
    <m/>
    <m/>
    <m/>
    <m/>
  </r>
  <r>
    <n v="252"/>
    <d v="2018-05-30T00:00:00"/>
    <x v="73"/>
    <s v="GTBank Naira A/c No 0238127165"/>
    <m/>
    <n v="900"/>
    <m/>
    <m/>
    <s v="COMMISSION Bulk Payment Charge"/>
    <x v="2"/>
    <m/>
    <m/>
    <m/>
    <m/>
  </r>
  <r>
    <n v="253"/>
    <d v="2018-05-30T00:00:00"/>
    <x v="73"/>
    <s v="GTBank Naira A/c No 0238127165"/>
    <m/>
    <n v="45"/>
    <m/>
    <m/>
    <s v="VAT"/>
    <x v="2"/>
    <m/>
    <m/>
    <m/>
    <m/>
  </r>
  <r>
    <n v="254"/>
    <d v="2018-05-31T00:00:00"/>
    <x v="74"/>
    <s v="GTBank Naira A/c No 0238127165"/>
    <m/>
    <n v="124"/>
    <m/>
    <m/>
    <s v="SMS CHARGE"/>
    <x v="2"/>
    <m/>
    <m/>
    <m/>
    <m/>
  </r>
  <r>
    <n v="255"/>
    <s v="5/31/2018"/>
    <x v="74"/>
    <s v="GTBank Naira A/c No 0238127165"/>
    <m/>
    <n v="2915.61"/>
    <m/>
    <m/>
    <s v="Finance Charges"/>
    <x v="2"/>
    <m/>
    <m/>
    <m/>
    <m/>
  </r>
  <r>
    <n v="256"/>
    <d v="2018-05-31T00:00:00"/>
    <x v="74"/>
    <s v="GTBank Naira A/c No 0238127165"/>
    <m/>
    <n v="145.78"/>
    <m/>
    <m/>
    <s v="Finance Charges"/>
    <x v="2"/>
    <m/>
    <m/>
    <m/>
    <m/>
  </r>
  <r>
    <n v="257"/>
    <d v="2018-01-06T00:00:00"/>
    <x v="75"/>
    <s v="GTBank Naira A/c No 0238127165"/>
    <m/>
    <n v="35000"/>
    <m/>
    <m/>
    <s v="Inter Account Transfer"/>
    <x v="3"/>
    <m/>
    <m/>
    <m/>
    <m/>
  </r>
  <r>
    <n v="258"/>
    <d v="2018-01-06T00:00:00"/>
    <x v="75"/>
    <s v="GTBank Naira A/c No 0238127165"/>
    <m/>
    <n v="12000"/>
    <m/>
    <m/>
    <s v="Office Cleaning Expenses"/>
    <x v="1"/>
    <m/>
    <m/>
    <m/>
    <m/>
  </r>
  <r>
    <n v="259"/>
    <d v="2018-06-01T00:00:00"/>
    <x v="76"/>
    <s v="GTBank Naira A/c No 0238127165"/>
    <m/>
    <n v="50"/>
    <m/>
    <m/>
    <s v="Finance Charges"/>
    <x v="2"/>
    <m/>
    <m/>
    <m/>
    <m/>
  </r>
  <r>
    <n v="260"/>
    <d v="2018-06-01T00:00:00"/>
    <x v="76"/>
    <s v="GTBank Naira A/c No 0238127165"/>
    <m/>
    <n v="2.5"/>
    <m/>
    <m/>
    <s v="VAT"/>
    <x v="2"/>
    <m/>
    <m/>
    <m/>
    <m/>
  </r>
  <r>
    <n v="261"/>
    <d v="2018-01-06T00:00:00"/>
    <x v="75"/>
    <s v="GTBank Naira A/c No 0238127165"/>
    <m/>
    <n v="7000"/>
    <m/>
    <m/>
    <s v="Inter Account Transfer"/>
    <x v="3"/>
    <m/>
    <m/>
    <m/>
    <m/>
  </r>
  <r>
    <n v="262"/>
    <d v="2018-01-06T00:00:00"/>
    <x v="75"/>
    <s v="GTBank Naira A/c No 0238127165"/>
    <m/>
    <n v="3000"/>
    <m/>
    <m/>
    <s v="Inter Account Transfer"/>
    <x v="3"/>
    <m/>
    <m/>
    <m/>
    <m/>
  </r>
  <r>
    <n v="263"/>
    <d v="2018-11-06T00:00:00"/>
    <x v="77"/>
    <s v="GTBank Naira A/c No 0238127165"/>
    <m/>
    <n v="576468.05000000005"/>
    <m/>
    <m/>
    <s v="Staff Pension Remittances"/>
    <x v="12"/>
    <m/>
    <m/>
    <m/>
    <m/>
  </r>
  <r>
    <n v="264"/>
    <d v="2018-12-06T00:00:00"/>
    <x v="78"/>
    <s v="GTBank Naira A/c No 0238127165"/>
    <m/>
    <n v="42000"/>
    <m/>
    <m/>
    <s v="Printing &amp; Stationery"/>
    <x v="10"/>
    <m/>
    <m/>
    <m/>
    <m/>
  </r>
  <r>
    <n v="265"/>
    <d v="2018-12-06T00:00:00"/>
    <x v="78"/>
    <s v="GTBank Naira A/c No 0238127165"/>
    <m/>
    <n v="5000"/>
    <m/>
    <m/>
    <s v="Inter Account Transfer"/>
    <x v="3"/>
    <m/>
    <m/>
    <m/>
    <m/>
  </r>
  <r>
    <n v="266"/>
    <d v="2018-06-12T00:00:00"/>
    <x v="4"/>
    <s v="GTBank Naira A/c No 0238127165"/>
    <m/>
    <n v="50"/>
    <m/>
    <m/>
    <s v="Finance Charges"/>
    <x v="2"/>
    <m/>
    <m/>
    <m/>
    <m/>
  </r>
  <r>
    <n v="267"/>
    <d v="2018-06-12T00:00:00"/>
    <x v="4"/>
    <s v="GTBank Naira A/c No 0238127165"/>
    <m/>
    <n v="2.5"/>
    <m/>
    <m/>
    <s v="VAT"/>
    <x v="2"/>
    <m/>
    <m/>
    <m/>
    <m/>
  </r>
  <r>
    <n v="268"/>
    <d v="2018-12-06T00:00:00"/>
    <x v="78"/>
    <s v="GTBank Naira A/c No 0238127165"/>
    <m/>
    <n v="9000"/>
    <m/>
    <m/>
    <s v="Inter Account Transfer"/>
    <x v="3"/>
    <m/>
    <m/>
    <m/>
    <m/>
  </r>
  <r>
    <n v="269"/>
    <d v="2018-12-06T00:00:00"/>
    <x v="78"/>
    <s v="GTBank Naira A/c No 0238127165"/>
    <m/>
    <m/>
    <n v="10000000"/>
    <m/>
    <s v="JAMIYA MULTI INVESTMENT LTD"/>
    <x v="4"/>
    <m/>
    <m/>
    <m/>
    <m/>
  </r>
  <r>
    <n v="270"/>
    <d v="2018-12-06T00:00:00"/>
    <x v="78"/>
    <s v="GTBank Naira A/c No 0238127165"/>
    <m/>
    <m/>
    <n v="7850000"/>
    <m/>
    <s v="JAMIYA MULTI INVESTMENT LTD"/>
    <x v="4"/>
    <m/>
    <m/>
    <m/>
    <m/>
  </r>
  <r>
    <n v="271"/>
    <d v="2018-12-06T00:00:00"/>
    <x v="78"/>
    <s v="GTBank Naira A/c No 0238127165"/>
    <m/>
    <n v="100"/>
    <m/>
    <m/>
    <s v="STAMP DUTY CHARGE"/>
    <x v="2"/>
    <m/>
    <m/>
    <m/>
    <m/>
  </r>
  <r>
    <n v="272"/>
    <s v="6/13/2018"/>
    <x v="79"/>
    <s v="GTBank Naira A/c No 0238127165"/>
    <m/>
    <n v="60000"/>
    <m/>
    <m/>
    <s v="Printing &amp; Stationery"/>
    <x v="10"/>
    <m/>
    <m/>
    <m/>
    <m/>
  </r>
  <r>
    <n v="273"/>
    <d v="2018-06-13T00:00:00"/>
    <x v="79"/>
    <s v="GTBank Naira A/c No 0238127165"/>
    <m/>
    <n v="50"/>
    <m/>
    <m/>
    <s v="Finance Charges"/>
    <x v="2"/>
    <m/>
    <m/>
    <m/>
    <m/>
  </r>
  <r>
    <n v="276"/>
    <d v="2018-06-13T00:00:00"/>
    <x v="79"/>
    <s v="GTBank Naira A/c No 0238127165"/>
    <m/>
    <n v="2.5"/>
    <m/>
    <m/>
    <s v="VAT"/>
    <x v="2"/>
    <m/>
    <m/>
    <m/>
    <m/>
  </r>
  <r>
    <n v="277"/>
    <s v="6/14/2018"/>
    <x v="80"/>
    <s v="GTBank Naira A/c No 0238127165"/>
    <m/>
    <n v="150000"/>
    <m/>
    <m/>
    <s v="FEDERAL INLAND REVENUE SERVICE"/>
    <x v="15"/>
    <m/>
    <m/>
    <m/>
    <m/>
  </r>
  <r>
    <n v="278"/>
    <s v="6/20/2018"/>
    <x v="81"/>
    <s v="GTBank Naira A/c No 0238127165"/>
    <m/>
    <n v="30000"/>
    <m/>
    <m/>
    <s v="Office Electricity Bill"/>
    <x v="1"/>
    <m/>
    <m/>
    <m/>
    <m/>
  </r>
  <r>
    <n v="279"/>
    <d v="2018-06-20T00:00:00"/>
    <x v="81"/>
    <s v="GTBank Naira A/c No 0238127165"/>
    <m/>
    <n v="50"/>
    <m/>
    <m/>
    <s v="Finance Charges"/>
    <x v="2"/>
    <m/>
    <m/>
    <m/>
    <m/>
  </r>
  <r>
    <n v="280"/>
    <d v="2018-06-20T00:00:00"/>
    <x v="81"/>
    <s v="GTBank Naira A/c No 0238127165"/>
    <m/>
    <n v="2.5"/>
    <m/>
    <m/>
    <s v="VAT"/>
    <x v="2"/>
    <m/>
    <m/>
    <m/>
    <m/>
  </r>
  <r>
    <n v="281"/>
    <s v="6/20/2018"/>
    <x v="81"/>
    <s v="GTBank Naira A/c No 0238127165"/>
    <m/>
    <n v="18750"/>
    <m/>
    <m/>
    <s v="Inter Account Transfer"/>
    <x v="3"/>
    <m/>
    <m/>
    <m/>
    <m/>
  </r>
  <r>
    <n v="282"/>
    <s v="6/20/2018"/>
    <x v="81"/>
    <s v="GTBank Naira A/c No 0238127165"/>
    <m/>
    <n v="1500"/>
    <m/>
    <m/>
    <s v="Inter Account Transfer"/>
    <x v="3"/>
    <m/>
    <m/>
    <m/>
    <m/>
  </r>
  <r>
    <n v="283"/>
    <s v="6/20/2018"/>
    <x v="81"/>
    <s v="GTBank Naira A/c No 0238127165"/>
    <m/>
    <n v="9700"/>
    <m/>
    <m/>
    <s v="Inter Account Transfer"/>
    <x v="3"/>
    <m/>
    <m/>
    <m/>
    <m/>
  </r>
  <r>
    <n v="286"/>
    <s v="6/22/2018"/>
    <x v="82"/>
    <s v="GTBank Naira A/c No 0238127165"/>
    <m/>
    <n v="2500"/>
    <m/>
    <m/>
    <s v="Repair &amp; Maintenance Expenses"/>
    <x v="18"/>
    <m/>
    <m/>
    <m/>
    <m/>
  </r>
  <r>
    <n v="287"/>
    <d v="2018-06-22T00:00:00"/>
    <x v="82"/>
    <s v="GTBank Naira A/c No 0238127165"/>
    <m/>
    <n v="50"/>
    <m/>
    <m/>
    <s v="Finance Charges"/>
    <x v="2"/>
    <m/>
    <m/>
    <m/>
    <m/>
  </r>
  <r>
    <n v="288"/>
    <d v="2018-06-22T00:00:00"/>
    <x v="82"/>
    <s v="GTBank Naira A/c No 0238127165"/>
    <m/>
    <n v="2.5"/>
    <m/>
    <m/>
    <s v="VAT"/>
    <x v="2"/>
    <m/>
    <m/>
    <m/>
    <m/>
  </r>
  <r>
    <n v="289"/>
    <s v="6/22/2018"/>
    <x v="82"/>
    <s v="GTBank Naira A/c No 0238127165"/>
    <m/>
    <n v="3300"/>
    <m/>
    <m/>
    <s v="Inter Account Transfer"/>
    <x v="3"/>
    <m/>
    <m/>
    <m/>
    <m/>
  </r>
  <r>
    <n v="290"/>
    <s v="6/22/2018"/>
    <x v="82"/>
    <s v="GTBank Naira A/c No 0238127165"/>
    <m/>
    <n v="6400"/>
    <m/>
    <m/>
    <s v="Inter Account Transfer"/>
    <x v="3"/>
    <m/>
    <m/>
    <m/>
    <m/>
  </r>
  <r>
    <n v="291"/>
    <d v="2018-06-27T00:00:00"/>
    <x v="83"/>
    <s v="GTBank Naira A/c No 0238127165"/>
    <m/>
    <n v="104"/>
    <m/>
    <m/>
    <s v="SMS CHARGE"/>
    <x v="2"/>
    <m/>
    <m/>
    <m/>
    <m/>
  </r>
  <r>
    <n v="292"/>
    <s v="6/28/2018"/>
    <x v="84"/>
    <s v="GTBank Naira A/c No 0238127165"/>
    <m/>
    <n v="9300"/>
    <m/>
    <m/>
    <s v="Printing &amp; Stationery"/>
    <x v="10"/>
    <m/>
    <m/>
    <m/>
    <m/>
  </r>
  <r>
    <n v="293"/>
    <d v="2018-06-28T00:00:00"/>
    <x v="84"/>
    <s v="GTBank Naira A/c No 0238127165"/>
    <m/>
    <n v="50"/>
    <m/>
    <m/>
    <s v="Finance Charges"/>
    <x v="2"/>
    <m/>
    <m/>
    <m/>
    <m/>
  </r>
  <r>
    <n v="294"/>
    <d v="2018-06-28T00:00:00"/>
    <x v="84"/>
    <s v="GTBank Naira A/c No 0238127165"/>
    <m/>
    <n v="2.5"/>
    <m/>
    <m/>
    <s v="VAT"/>
    <x v="2"/>
    <m/>
    <m/>
    <m/>
    <m/>
  </r>
  <r>
    <n v="295"/>
    <s v="6/28/2018"/>
    <x v="84"/>
    <s v="GTBank Naira A/c No 0238127165"/>
    <m/>
    <n v="12800"/>
    <m/>
    <m/>
    <s v="Inter Account Transfer"/>
    <x v="3"/>
    <m/>
    <m/>
    <m/>
    <m/>
  </r>
  <r>
    <n v="296"/>
    <s v="6/28/2018"/>
    <x v="84"/>
    <s v="GTBank Naira A/c No 0238127165"/>
    <m/>
    <n v="2000"/>
    <m/>
    <m/>
    <s v="Inter Account Transfer"/>
    <x v="3"/>
    <m/>
    <m/>
    <m/>
    <m/>
  </r>
  <r>
    <n v="297"/>
    <s v="6/28/2018"/>
    <x v="84"/>
    <s v="GTBank Naira A/c No 0238127165"/>
    <s v="MTHLY SALARY 2018 June"/>
    <n v="2073791.61"/>
    <m/>
    <m/>
    <s v="Salaries &amp; Wages"/>
    <x v="12"/>
    <m/>
    <m/>
    <m/>
    <m/>
  </r>
  <r>
    <n v="298"/>
    <d v="2018-06-28T00:00:00"/>
    <x v="84"/>
    <s v="GTBank Naira A/c No 0238127165"/>
    <m/>
    <n v="210"/>
    <m/>
    <m/>
    <s v="VAT"/>
    <x v="2"/>
    <m/>
    <m/>
    <m/>
    <m/>
  </r>
  <r>
    <n v="299"/>
    <s v="6/28/2018"/>
    <x v="84"/>
    <s v="GTBank Naira A/c No 0238127165"/>
    <m/>
    <n v="57500"/>
    <m/>
    <m/>
    <s v="ISLA &amp; RAYES LEGAL"/>
    <x v="19"/>
    <m/>
    <m/>
    <m/>
    <m/>
  </r>
  <r>
    <n v="300"/>
    <d v="2018-06-28T00:00:00"/>
    <x v="84"/>
    <s v="GTBank Naira A/c No 0238127165"/>
    <m/>
    <n v="50"/>
    <m/>
    <m/>
    <s v="Finance Charges"/>
    <x v="2"/>
    <m/>
    <m/>
    <m/>
    <m/>
  </r>
  <r>
    <n v="301"/>
    <d v="2018-06-28T00:00:00"/>
    <x v="84"/>
    <s v="GTBank Naira A/c No 0238127165"/>
    <m/>
    <n v="2.5"/>
    <m/>
    <m/>
    <s v="VAT"/>
    <x v="2"/>
    <m/>
    <m/>
    <m/>
    <m/>
  </r>
  <r>
    <n v="303"/>
    <d v="2018-06-28T00:00:00"/>
    <x v="84"/>
    <s v="GTBank Naira A/c No 0238127165"/>
    <m/>
    <n v="650"/>
    <m/>
    <m/>
    <s v="COMMISSION Bulk Payment Charge"/>
    <x v="2"/>
    <m/>
    <m/>
    <m/>
    <m/>
  </r>
  <r>
    <n v="304"/>
    <d v="2018-06-28T00:00:00"/>
    <x v="84"/>
    <s v="GTBank Naira A/c No 0238127165"/>
    <m/>
    <n v="32.5"/>
    <m/>
    <m/>
    <s v="VAT"/>
    <x v="2"/>
    <m/>
    <m/>
    <m/>
    <m/>
  </r>
  <r>
    <n v="305"/>
    <s v="6/28/2018"/>
    <x v="84"/>
    <s v="GTBank Naira A/c No 0238127165"/>
    <m/>
    <n v="14300"/>
    <m/>
    <m/>
    <s v="Inter Account Transfer"/>
    <x v="3"/>
    <m/>
    <m/>
    <m/>
    <m/>
  </r>
  <r>
    <n v="306"/>
    <s v="6/30/2018"/>
    <x v="85"/>
    <s v="GTBank Naira A/c No 0238127165"/>
    <m/>
    <n v="3013.56"/>
    <m/>
    <m/>
    <s v="Finance Charges"/>
    <x v="2"/>
    <m/>
    <m/>
    <m/>
    <m/>
  </r>
  <r>
    <n v="307"/>
    <d v="2018-06-30T00:00:00"/>
    <x v="85"/>
    <s v="GTBank Naira A/c No 0238127165"/>
    <m/>
    <n v="150.68"/>
    <m/>
    <m/>
    <s v="Finance Charges"/>
    <x v="2"/>
    <m/>
    <m/>
    <m/>
    <m/>
  </r>
  <r>
    <n v="308"/>
    <s v="6/30/2018"/>
    <x v="85"/>
    <s v="GTBank Naira A/c No 0238127165"/>
    <m/>
    <n v="35000"/>
    <m/>
    <m/>
    <s v="Inter Account Transfer"/>
    <x v="3"/>
    <m/>
    <m/>
    <m/>
    <m/>
  </r>
  <r>
    <n v="309"/>
    <s v="6/30/2018"/>
    <x v="85"/>
    <s v="GTBank Naira A/c No 0238127165"/>
    <m/>
    <n v="21000"/>
    <m/>
    <m/>
    <s v="Printing &amp; Stationery"/>
    <x v="10"/>
    <m/>
    <m/>
    <m/>
    <m/>
  </r>
  <r>
    <n v="310"/>
    <s v="6/30/2018"/>
    <x v="85"/>
    <s v="GTBank Naira A/c No 0238127165"/>
    <m/>
    <n v="12000"/>
    <m/>
    <m/>
    <s v="Office Cleaning Expenses"/>
    <x v="1"/>
    <m/>
    <m/>
    <m/>
    <m/>
  </r>
  <r>
    <n v="311"/>
    <d v="2018-06-30T00:00:00"/>
    <x v="85"/>
    <s v="GTBank Naira A/c No 0238127165"/>
    <m/>
    <n v="50"/>
    <m/>
    <m/>
    <s v="Finance Charges"/>
    <x v="2"/>
    <m/>
    <m/>
    <m/>
    <m/>
  </r>
  <r>
    <n v="312"/>
    <d v="2018-06-30T00:00:00"/>
    <x v="85"/>
    <s v="GTBank Naira A/c No 0238127165"/>
    <m/>
    <n v="2.5"/>
    <m/>
    <m/>
    <s v="VAT"/>
    <x v="2"/>
    <m/>
    <m/>
    <m/>
    <m/>
  </r>
  <r>
    <n v="313"/>
    <d v="2018-06-30T00:00:00"/>
    <x v="85"/>
    <s v="GTBank Naira A/c No 0238127165"/>
    <m/>
    <n v="50"/>
    <m/>
    <m/>
    <s v="Finance Charges"/>
    <x v="2"/>
    <m/>
    <m/>
    <m/>
    <m/>
  </r>
  <r>
    <n v="314"/>
    <d v="2018-06-30T00:00:00"/>
    <x v="85"/>
    <s v="GTBank Naira A/c No 0238127165"/>
    <m/>
    <n v="2.5"/>
    <m/>
    <m/>
    <s v="VAT"/>
    <x v="2"/>
    <m/>
    <m/>
    <m/>
    <m/>
  </r>
  <r>
    <n v="315"/>
    <d v="2018-03-07T00:00:00"/>
    <x v="86"/>
    <s v="GTBank Naira A/c No 0238127165"/>
    <m/>
    <n v="5000"/>
    <m/>
    <m/>
    <s v="Inter Account Transfer"/>
    <x v="3"/>
    <m/>
    <m/>
    <m/>
    <m/>
  </r>
  <r>
    <n v="316"/>
    <d v="2018-03-07T00:00:00"/>
    <x v="86"/>
    <s v="GTBank Naira A/c No 0238127165"/>
    <s v="DPRS- Six months internet subscription "/>
    <n v="96000"/>
    <m/>
    <m/>
    <s v="Internet subscription"/>
    <x v="1"/>
    <m/>
    <m/>
    <m/>
    <m/>
  </r>
  <r>
    <n v="317"/>
    <d v="2018-03-07T00:00:00"/>
    <x v="86"/>
    <s v="GTBank Naira A/c No 0238127165"/>
    <m/>
    <n v="5000"/>
    <m/>
    <m/>
    <s v="Inter Account Transfer"/>
    <x v="3"/>
    <m/>
    <m/>
    <m/>
    <m/>
  </r>
  <r>
    <n v="320"/>
    <d v="2018-03-07T00:00:00"/>
    <x v="86"/>
    <s v="GTBank Naira A/c No 0238127165"/>
    <m/>
    <n v="12000"/>
    <m/>
    <m/>
    <s v="Inter Account Transfer"/>
    <x v="3"/>
    <m/>
    <m/>
    <m/>
    <m/>
  </r>
  <r>
    <n v="321"/>
    <d v="2018-03-07T00:00:00"/>
    <x v="86"/>
    <s v="GTBank Naira A/c No 0238127165"/>
    <s v="Internet"/>
    <n v="25000"/>
    <m/>
    <m/>
    <s v="Internet subscription"/>
    <x v="1"/>
    <m/>
    <m/>
    <m/>
    <m/>
  </r>
  <r>
    <n v="322"/>
    <d v="2018-07-03T00:00:00"/>
    <x v="5"/>
    <s v="GTBank Naira A/c No 0238127165"/>
    <m/>
    <n v="50"/>
    <m/>
    <m/>
    <s v="Finance Charges"/>
    <x v="2"/>
    <m/>
    <m/>
    <m/>
    <m/>
  </r>
  <r>
    <n v="323"/>
    <d v="2018-03-07T00:00:00"/>
    <x v="86"/>
    <s v="GTBank Naira A/c No 0238127165"/>
    <m/>
    <n v="3000"/>
    <m/>
    <m/>
    <s v="EMREALITIES GLOBAL SERVICES"/>
    <x v="20"/>
    <m/>
    <m/>
    <m/>
    <m/>
  </r>
  <r>
    <n v="324"/>
    <d v="2018-07-03T00:00:00"/>
    <x v="5"/>
    <s v="GTBank Naira A/c No 0238127165"/>
    <m/>
    <n v="2.5"/>
    <m/>
    <m/>
    <s v="VAT"/>
    <x v="2"/>
    <m/>
    <m/>
    <m/>
    <m/>
  </r>
  <r>
    <n v="325"/>
    <d v="2018-03-07T00:00:00"/>
    <x v="86"/>
    <s v="GTBank Naira A/c No 0238127165"/>
    <s v="DPRS- SIX MONTHS INTERNET SUBSCRIPTION AT FMOH"/>
    <n v="97000"/>
    <m/>
    <m/>
    <s v="Internet subscription"/>
    <x v="1"/>
    <m/>
    <m/>
    <m/>
    <m/>
  </r>
  <r>
    <n v="326"/>
    <d v="2018-07-03T00:00:00"/>
    <x v="5"/>
    <s v="GTBank Naira A/c No 0238127165"/>
    <m/>
    <n v="50"/>
    <m/>
    <m/>
    <s v="Finance Charges"/>
    <x v="2"/>
    <m/>
    <m/>
    <m/>
    <m/>
  </r>
  <r>
    <n v="329"/>
    <d v="2018-07-03T00:00:00"/>
    <x v="5"/>
    <s v="GTBank Naira A/c No 0238127165"/>
    <m/>
    <n v="2.5"/>
    <m/>
    <m/>
    <s v="VAT"/>
    <x v="2"/>
    <m/>
    <m/>
    <m/>
    <m/>
  </r>
  <r>
    <n v="330"/>
    <d v="2018-07-03T00:00:00"/>
    <x v="5"/>
    <s v="GTBank Naira A/c No 0238127165"/>
    <s v="DPRS- SIX MONTHS INTERNET SUBSCRIPTION "/>
    <n v="50"/>
    <m/>
    <m/>
    <s v="Finance Charges"/>
    <x v="2"/>
    <m/>
    <m/>
    <m/>
    <m/>
  </r>
  <r>
    <n v="331"/>
    <d v="2018-07-03T00:00:00"/>
    <x v="5"/>
    <s v="GTBank Naira A/c No 0238127165"/>
    <s v="DPRS- SIX MONTHS INTERNET SUBSCRIPTION "/>
    <n v="2.5"/>
    <m/>
    <m/>
    <s v="VAT"/>
    <x v="2"/>
    <m/>
    <m/>
    <m/>
    <m/>
  </r>
  <r>
    <n v="332"/>
    <d v="2018-03-07T00:00:00"/>
    <x v="86"/>
    <s v="GTBank Naira A/c No 0238127165"/>
    <m/>
    <n v="1500"/>
    <m/>
    <m/>
    <s v="Inter Account Transfer"/>
    <x v="3"/>
    <m/>
    <m/>
    <m/>
    <m/>
  </r>
  <r>
    <n v="333"/>
    <d v="2018-06-07T00:00:00"/>
    <x v="87"/>
    <s v="GTBank Naira A/c No 0238127165"/>
    <m/>
    <n v="1500000"/>
    <m/>
    <m/>
    <s v="VICTORY TRUST PROPERTIES LIMITED"/>
    <x v="16"/>
    <m/>
    <m/>
    <m/>
    <m/>
  </r>
  <r>
    <n v="334"/>
    <d v="2018-07-06T00:00:00"/>
    <x v="88"/>
    <s v="GTBank Naira A/c No 0238127165"/>
    <m/>
    <n v="50"/>
    <m/>
    <m/>
    <s v="NIP Transfer Commission"/>
    <x v="2"/>
    <m/>
    <m/>
    <m/>
    <m/>
  </r>
  <r>
    <n v="335"/>
    <d v="2018-07-06T00:00:00"/>
    <x v="88"/>
    <s v="GTBank Naira A/c No 0238127165"/>
    <m/>
    <n v="2.5"/>
    <m/>
    <m/>
    <s v="VAT"/>
    <x v="2"/>
    <m/>
    <m/>
    <m/>
    <m/>
  </r>
  <r>
    <n v="337"/>
    <d v="2018-06-07T00:00:00"/>
    <x v="87"/>
    <s v="GTBank Naira A/c No 0238127165"/>
    <m/>
    <n v="5000"/>
    <m/>
    <m/>
    <s v="Inter Account Transfer"/>
    <x v="3"/>
    <m/>
    <m/>
    <m/>
    <m/>
  </r>
  <r>
    <n v="338"/>
    <d v="2018-06-07T00:00:00"/>
    <x v="87"/>
    <s v="GTBank Naira A/c No 0238127165"/>
    <s v="DPRS- SIX MONTHS INTERNET SUBSCRIPTION "/>
    <n v="96000"/>
    <m/>
    <m/>
    <s v="Internet subscription"/>
    <x v="1"/>
    <m/>
    <m/>
    <m/>
    <m/>
  </r>
  <r>
    <n v="339"/>
    <d v="2018-06-07T00:00:00"/>
    <x v="87"/>
    <s v="GTBank Naira A/c No 0238127165"/>
    <s v="INTERNET SUBSCRIPTION FOR THE OFFICE"/>
    <n v="97000"/>
    <m/>
    <m/>
    <s v="Internet subscription"/>
    <x v="1"/>
    <m/>
    <m/>
    <m/>
    <m/>
  </r>
  <r>
    <n v="340"/>
    <d v="2018-07-06T00:00:00"/>
    <x v="88"/>
    <s v="GTBank Naira A/c No 0238127165"/>
    <m/>
    <n v="50"/>
    <m/>
    <m/>
    <s v="Finance Charges"/>
    <x v="2"/>
    <m/>
    <m/>
    <m/>
    <m/>
  </r>
  <r>
    <n v="341"/>
    <d v="2018-07-06T00:00:00"/>
    <x v="88"/>
    <s v="GTBank Naira A/c No 0238127165"/>
    <m/>
    <n v="2.5"/>
    <m/>
    <m/>
    <s v="VAT"/>
    <x v="2"/>
    <m/>
    <m/>
    <m/>
    <m/>
  </r>
  <r>
    <n v="342"/>
    <d v="2018-06-07T00:00:00"/>
    <x v="87"/>
    <s v="GTBank Naira A/c No 0238127165"/>
    <s v="MTHLY SALARY 2018 June"/>
    <n v="319740"/>
    <m/>
    <m/>
    <s v="Salaries &amp; Wages"/>
    <x v="12"/>
    <m/>
    <m/>
    <m/>
    <m/>
  </r>
  <r>
    <n v="343"/>
    <d v="2018-07-06T00:00:00"/>
    <x v="88"/>
    <s v="GTBank Naira A/c No 0238127165"/>
    <m/>
    <n v="400"/>
    <m/>
    <m/>
    <s v="COMMISSION Bulk Payment Charge"/>
    <x v="2"/>
    <m/>
    <m/>
    <m/>
    <m/>
  </r>
  <r>
    <n v="344"/>
    <d v="2018-07-06T00:00:00"/>
    <x v="88"/>
    <s v="GTBank Naira A/c No 0238127165"/>
    <m/>
    <n v="20"/>
    <m/>
    <m/>
    <s v="VAT"/>
    <x v="2"/>
    <m/>
    <m/>
    <m/>
    <m/>
  </r>
  <r>
    <n v="345"/>
    <d v="2018-10-07T00:00:00"/>
    <x v="89"/>
    <s v="GTBank Naira A/c No 0238127165"/>
    <m/>
    <n v="584058.29"/>
    <m/>
    <m/>
    <s v="Staff Pension Remittances"/>
    <x v="12"/>
    <m/>
    <m/>
    <m/>
    <m/>
  </r>
  <r>
    <n v="346"/>
    <d v="2018-12-07T00:00:00"/>
    <x v="90"/>
    <s v="GTBank Naira A/c No 0238127165"/>
    <m/>
    <n v="30000"/>
    <m/>
    <m/>
    <s v="Office Electricity Bill"/>
    <x v="1"/>
    <m/>
    <m/>
    <m/>
    <m/>
  </r>
  <r>
    <n v="347"/>
    <d v="2018-07-12T00:00:00"/>
    <x v="91"/>
    <s v="GTBank Naira A/c No 0238127165"/>
    <m/>
    <n v="50"/>
    <m/>
    <m/>
    <s v="Finance Charges"/>
    <x v="2"/>
    <m/>
    <m/>
    <m/>
    <m/>
  </r>
  <r>
    <n v="348"/>
    <d v="2018-07-12T00:00:00"/>
    <x v="91"/>
    <s v="GTBank Naira A/c No 0238127165"/>
    <m/>
    <n v="2.5"/>
    <m/>
    <m/>
    <s v="VAT"/>
    <x v="2"/>
    <m/>
    <m/>
    <m/>
    <m/>
  </r>
  <r>
    <n v="349"/>
    <d v="2018-12-07T00:00:00"/>
    <x v="90"/>
    <s v="GTBank Naira A/c No 0238127165"/>
    <m/>
    <n v="5000"/>
    <m/>
    <m/>
    <s v="Inter Account Transfer"/>
    <x v="3"/>
    <m/>
    <m/>
    <m/>
    <m/>
  </r>
  <r>
    <n v="350"/>
    <d v="2018-12-07T00:00:00"/>
    <x v="90"/>
    <s v="GTBank Naira A/c No 0238127165"/>
    <m/>
    <n v="11400"/>
    <m/>
    <m/>
    <s v="Inter Account Transfer"/>
    <x v="3"/>
    <m/>
    <m/>
    <m/>
    <m/>
  </r>
  <r>
    <n v="351"/>
    <d v="2018-12-07T00:00:00"/>
    <x v="90"/>
    <s v="GTBank Naira A/c No 0238127165"/>
    <m/>
    <n v="14450"/>
    <m/>
    <m/>
    <s v="Inter Account Transfer"/>
    <x v="3"/>
    <m/>
    <m/>
    <m/>
    <m/>
  </r>
  <r>
    <n v="352"/>
    <d v="2018-07-12T00:00:00"/>
    <x v="91"/>
    <s v="GTBank Naira A/c No 0238127165"/>
    <m/>
    <n v="2000"/>
    <m/>
    <m/>
    <s v="Finance Charges"/>
    <x v="2"/>
    <m/>
    <m/>
    <m/>
    <m/>
  </r>
  <r>
    <n v="353"/>
    <d v="2018-07-12T00:00:00"/>
    <x v="91"/>
    <s v="GTBank Naira A/c No 0238127165"/>
    <m/>
    <n v="100"/>
    <m/>
    <m/>
    <s v="VAT"/>
    <x v="2"/>
    <m/>
    <m/>
    <m/>
    <m/>
  </r>
  <r>
    <n v="354"/>
    <s v="7/13/2018"/>
    <x v="92"/>
    <s v="GTBank Naira A/c No 0238127165"/>
    <m/>
    <n v="140000"/>
    <m/>
    <m/>
    <s v="ABDULGANIYU ABDULFATAI A"/>
    <x v="21"/>
    <m/>
    <m/>
    <m/>
    <m/>
  </r>
  <r>
    <n v="355"/>
    <s v="7/13/2018"/>
    <x v="92"/>
    <s v="GTBank Naira A/c No 0238127165"/>
    <m/>
    <n v="6300"/>
    <m/>
    <m/>
    <s v="Inter Account Transfer"/>
    <x v="3"/>
    <m/>
    <m/>
    <m/>
    <m/>
  </r>
  <r>
    <n v="356"/>
    <s v="7/13/2018"/>
    <x v="92"/>
    <s v="GTBank Naira A/c No 0238127165"/>
    <m/>
    <n v="6800"/>
    <m/>
    <m/>
    <s v="JUDE REJOICE"/>
    <x v="22"/>
    <m/>
    <m/>
    <m/>
    <m/>
  </r>
  <r>
    <n v="357"/>
    <s v="7/18/2018"/>
    <x v="93"/>
    <s v="GTBank Naira A/c No 0238127165"/>
    <m/>
    <n v="4650"/>
    <m/>
    <m/>
    <s v="Inter Account Transfer"/>
    <x v="3"/>
    <m/>
    <m/>
    <m/>
    <m/>
  </r>
  <r>
    <n v="358"/>
    <s v="7/18/2018"/>
    <x v="93"/>
    <s v="GTBank Naira A/c No 0238127165"/>
    <m/>
    <n v="83000"/>
    <m/>
    <m/>
    <s v="ADANU ISAIAH OMAFU"/>
    <x v="23"/>
    <m/>
    <m/>
    <m/>
    <m/>
  </r>
  <r>
    <n v="359"/>
    <d v="2018-07-18T00:00:00"/>
    <x v="93"/>
    <s v="GTBank Naira A/c No 0238127165"/>
    <m/>
    <n v="50"/>
    <m/>
    <m/>
    <s v="Finance Charges"/>
    <x v="2"/>
    <m/>
    <m/>
    <m/>
    <m/>
  </r>
  <r>
    <n v="360"/>
    <d v="2018-07-18T00:00:00"/>
    <x v="93"/>
    <s v="GTBank Naira A/c No 0238127165"/>
    <m/>
    <n v="2.5"/>
    <m/>
    <m/>
    <s v="VAT"/>
    <x v="2"/>
    <m/>
    <m/>
    <m/>
    <m/>
  </r>
  <r>
    <n v="363"/>
    <s v="7/19/2018"/>
    <x v="94"/>
    <s v="GTBank Naira A/c No 0238127165"/>
    <m/>
    <n v="30000"/>
    <m/>
    <m/>
    <s v="Staff Welfare"/>
    <x v="7"/>
    <m/>
    <m/>
    <m/>
    <m/>
  </r>
  <r>
    <n v="364"/>
    <d v="2018-07-19T00:00:00"/>
    <x v="94"/>
    <s v="GTBank Naira A/c No 0238127165"/>
    <m/>
    <n v="50"/>
    <m/>
    <m/>
    <s v="Finance Charges"/>
    <x v="2"/>
    <m/>
    <m/>
    <m/>
    <m/>
  </r>
  <r>
    <n v="365"/>
    <d v="2018-07-19T00:00:00"/>
    <x v="94"/>
    <s v="GTBank Naira A/c No 0238127165"/>
    <m/>
    <n v="2.5"/>
    <m/>
    <m/>
    <s v="VAT"/>
    <x v="2"/>
    <m/>
    <m/>
    <m/>
    <m/>
  </r>
  <r>
    <n v="366"/>
    <s v="7/19/2018"/>
    <x v="94"/>
    <s v="GTBank Naira A/c No 0238127165"/>
    <m/>
    <n v="10000"/>
    <m/>
    <m/>
    <s v="Inter Account Transfer"/>
    <x v="3"/>
    <m/>
    <m/>
    <m/>
    <m/>
  </r>
  <r>
    <n v="367"/>
    <s v="7/22/2018"/>
    <x v="95"/>
    <s v="GTBank Naira A/c No 0238127165"/>
    <m/>
    <n v="20000"/>
    <m/>
    <m/>
    <s v="Honorarium for attending Board meeting"/>
    <x v="24"/>
    <m/>
    <m/>
    <m/>
    <m/>
  </r>
  <r>
    <n v="368"/>
    <d v="2018-07-22T00:00:00"/>
    <x v="95"/>
    <s v="GTBank Naira A/c No 0238127165"/>
    <m/>
    <n v="100"/>
    <m/>
    <m/>
    <s v="COMMISSION Bulk Payment Charge"/>
    <x v="2"/>
    <m/>
    <m/>
    <m/>
    <m/>
  </r>
  <r>
    <n v="369"/>
    <d v="2018-07-22T00:00:00"/>
    <x v="95"/>
    <s v="GTBank Naira A/c No 0238127165"/>
    <m/>
    <n v="5"/>
    <m/>
    <m/>
    <s v="VAT"/>
    <x v="2"/>
    <m/>
    <m/>
    <m/>
    <m/>
  </r>
  <r>
    <n v="370"/>
    <s v="7/24/2018"/>
    <x v="6"/>
    <s v="GTBank Naira A/c No 0238127165"/>
    <m/>
    <n v="10000"/>
    <m/>
    <m/>
    <s v="Honorarium for attending Board meeting"/>
    <x v="24"/>
    <m/>
    <m/>
    <m/>
    <m/>
  </r>
  <r>
    <n v="373"/>
    <s v="7/24/2018"/>
    <x v="6"/>
    <s v="GTBank Naira A/c No 0238127165"/>
    <m/>
    <n v="11900"/>
    <m/>
    <m/>
    <s v="OJO  SYLVESTER TOLULOPE"/>
    <x v="22"/>
    <m/>
    <m/>
    <m/>
    <m/>
  </r>
  <r>
    <n v="374"/>
    <s v="7/24/2018"/>
    <x v="6"/>
    <s v="GTBank Naira A/c No 0238127165"/>
    <m/>
    <n v="87000"/>
    <m/>
    <m/>
    <s v="HERI/CHIDI  NWANNE"/>
    <x v="25"/>
    <m/>
    <m/>
    <m/>
    <m/>
  </r>
  <r>
    <n v="375"/>
    <d v="2018-07-24T00:00:00"/>
    <x v="6"/>
    <s v="GTBank Naira A/c No 0238127165"/>
    <m/>
    <n v="50"/>
    <m/>
    <m/>
    <s v="Finance Charges"/>
    <x v="2"/>
    <m/>
    <m/>
    <m/>
    <m/>
  </r>
  <r>
    <n v="376"/>
    <d v="2018-07-24T00:00:00"/>
    <x v="6"/>
    <s v="GTBank Naira A/c No 0238127165"/>
    <m/>
    <n v="2.5"/>
    <m/>
    <m/>
    <s v="VAT"/>
    <x v="2"/>
    <m/>
    <m/>
    <m/>
    <m/>
  </r>
  <r>
    <n v="377"/>
    <s v="7/27/2018"/>
    <x v="96"/>
    <s v="GTBank Naira A/c No 0238127165"/>
    <m/>
    <n v="35150"/>
    <m/>
    <m/>
    <s v="AKATA MONDAY AKAMA"/>
    <x v="26"/>
    <m/>
    <m/>
    <m/>
    <m/>
  </r>
  <r>
    <n v="378"/>
    <d v="2018-07-27T00:00:00"/>
    <x v="96"/>
    <s v="GTBank Naira A/c No 0238127165"/>
    <m/>
    <n v="50"/>
    <m/>
    <m/>
    <s v="Finance Charges"/>
    <x v="2"/>
    <m/>
    <m/>
    <m/>
    <m/>
  </r>
  <r>
    <n v="379"/>
    <d v="2018-07-27T00:00:00"/>
    <x v="96"/>
    <s v="GTBank Naira A/c No 0238127165"/>
    <m/>
    <n v="2.5"/>
    <m/>
    <m/>
    <s v="Finance Charges"/>
    <x v="2"/>
    <m/>
    <m/>
    <m/>
    <m/>
  </r>
  <r>
    <n v="382"/>
    <s v="7/27/2018"/>
    <x v="96"/>
    <s v="GTBank Naira A/c No 0238127165"/>
    <m/>
    <n v="42500"/>
    <m/>
    <m/>
    <s v="AKATA MONDAY AKAMA"/>
    <x v="27"/>
    <m/>
    <m/>
    <m/>
    <m/>
  </r>
  <r>
    <n v="383"/>
    <d v="2018-07-27T00:00:00"/>
    <x v="96"/>
    <s v="GTBank Naira A/c No 0238127165"/>
    <m/>
    <n v="50"/>
    <m/>
    <m/>
    <s v="Finance Charges"/>
    <x v="2"/>
    <m/>
    <m/>
    <m/>
    <m/>
  </r>
  <r>
    <n v="384"/>
    <d v="2018-07-27T00:00:00"/>
    <x v="96"/>
    <s v="GTBank Naira A/c No 0238127165"/>
    <m/>
    <n v="2.5"/>
    <m/>
    <m/>
    <s v="VAT"/>
    <x v="2"/>
    <m/>
    <m/>
    <m/>
    <m/>
  </r>
  <r>
    <n v="385"/>
    <s v="7/27/2018"/>
    <x v="96"/>
    <s v="GTBank Naira A/c No 0238127165"/>
    <m/>
    <n v="9000"/>
    <m/>
    <m/>
    <s v="Printing &amp; Stationery"/>
    <x v="10"/>
    <m/>
    <m/>
    <m/>
    <m/>
  </r>
  <r>
    <n v="386"/>
    <d v="2018-07-27T00:00:00"/>
    <x v="96"/>
    <s v="GTBank Naira A/c No 0238127165"/>
    <m/>
    <n v="50"/>
    <m/>
    <m/>
    <s v="Finance Charges"/>
    <x v="2"/>
    <m/>
    <m/>
    <m/>
    <m/>
  </r>
  <r>
    <n v="387"/>
    <d v="2018-07-27T00:00:00"/>
    <x v="96"/>
    <s v="GTBank Naira A/c No 0238127165"/>
    <m/>
    <n v="2.5"/>
    <m/>
    <m/>
    <s v="VAT"/>
    <x v="2"/>
    <m/>
    <m/>
    <m/>
    <m/>
  </r>
  <r>
    <n v="388"/>
    <s v="7/27/2018"/>
    <x v="96"/>
    <s v="GTBank Naira A/c No 0238127165"/>
    <s v="MTHLY SALARY 2018 July"/>
    <n v="2247605.61"/>
    <m/>
    <m/>
    <s v="Salaries &amp; Wages"/>
    <x v="12"/>
    <m/>
    <m/>
    <m/>
    <m/>
  </r>
  <r>
    <n v="391"/>
    <d v="2018-07-27T00:00:00"/>
    <x v="96"/>
    <s v="GTBank Naira A/c No 0238127165"/>
    <m/>
    <n v="157.5"/>
    <m/>
    <m/>
    <s v="VAT"/>
    <x v="2"/>
    <m/>
    <m/>
    <m/>
    <m/>
  </r>
  <r>
    <n v="392"/>
    <d v="2018-07-27T00:00:00"/>
    <x v="96"/>
    <s v="GTBank Naira A/c No 0238127165"/>
    <m/>
    <n v="900"/>
    <m/>
    <m/>
    <s v="COMMISSION Bulk Payment Charge"/>
    <x v="2"/>
    <m/>
    <m/>
    <m/>
    <m/>
  </r>
  <r>
    <n v="393"/>
    <d v="2018-07-27T00:00:00"/>
    <x v="96"/>
    <s v="GTBank Naira A/c No 0238127165"/>
    <m/>
    <n v="45"/>
    <m/>
    <m/>
    <s v="VAT"/>
    <x v="2"/>
    <m/>
    <m/>
    <m/>
    <m/>
  </r>
  <r>
    <n v="394"/>
    <d v="2018-07-30T00:00:00"/>
    <x v="97"/>
    <s v="GTBank Naira A/c No 0238127165"/>
    <m/>
    <n v="328"/>
    <m/>
    <m/>
    <s v="SMS CHARGE"/>
    <x v="2"/>
    <m/>
    <m/>
    <m/>
    <m/>
  </r>
  <r>
    <n v="395"/>
    <s v="7/31/2018"/>
    <x v="98"/>
    <s v="GTBank Naira A/c No 0238127165"/>
    <m/>
    <n v="5411.75"/>
    <m/>
    <m/>
    <s v="Finance Charges"/>
    <x v="2"/>
    <m/>
    <m/>
    <m/>
    <m/>
  </r>
  <r>
    <n v="396"/>
    <d v="2018-07-31T00:00:00"/>
    <x v="98"/>
    <s v="GTBank Naira A/c No 0238127165"/>
    <m/>
    <n v="270.58999999999997"/>
    <m/>
    <m/>
    <s v="Finance Charges"/>
    <x v="2"/>
    <m/>
    <m/>
    <m/>
    <m/>
  </r>
  <r>
    <n v="397"/>
    <d v="2018-01-08T00:00:00"/>
    <x v="99"/>
    <s v="GTBank Naira A/c No 0238127165"/>
    <m/>
    <n v="12000"/>
    <m/>
    <m/>
    <s v="ONMIKPA FELICIA"/>
    <x v="1"/>
    <m/>
    <m/>
    <m/>
    <m/>
  </r>
  <r>
    <n v="398"/>
    <d v="2018-08-01T00:00:00"/>
    <x v="100"/>
    <s v="GTBank Naira A/c No 0238127165"/>
    <m/>
    <n v="50"/>
    <m/>
    <m/>
    <s v="Finance Charges"/>
    <x v="2"/>
    <m/>
    <m/>
    <m/>
    <m/>
  </r>
  <r>
    <n v="399"/>
    <d v="2018-08-01T00:00:00"/>
    <x v="100"/>
    <s v="GTBank Naira A/c No 0238127165"/>
    <m/>
    <n v="2.5"/>
    <m/>
    <m/>
    <s v="VAT"/>
    <x v="2"/>
    <m/>
    <m/>
    <m/>
    <m/>
  </r>
  <r>
    <n v="400"/>
    <d v="2018-01-08T00:00:00"/>
    <x v="99"/>
    <s v="GTBank Naira A/c No 0238127165"/>
    <m/>
    <n v="4000"/>
    <m/>
    <m/>
    <s v="AKATA MONDAY AKAMA"/>
    <x v="27"/>
    <m/>
    <m/>
    <m/>
    <m/>
  </r>
  <r>
    <n v="403"/>
    <d v="2018-08-01T00:00:00"/>
    <x v="100"/>
    <s v="GTBank Naira A/c No 0238127165"/>
    <m/>
    <n v="50"/>
    <m/>
    <m/>
    <s v="Finance Charges"/>
    <x v="2"/>
    <m/>
    <m/>
    <m/>
    <m/>
  </r>
  <r>
    <n v="404"/>
    <d v="2018-08-01T00:00:00"/>
    <x v="100"/>
    <s v="GTBank Naira A/c No 0238127165"/>
    <m/>
    <n v="2.5"/>
    <m/>
    <m/>
    <s v="VAT"/>
    <x v="2"/>
    <m/>
    <m/>
    <m/>
    <m/>
  </r>
  <r>
    <n v="405"/>
    <d v="2018-01-08T00:00:00"/>
    <x v="99"/>
    <s v="GTBank Naira A/c No 0238127165"/>
    <m/>
    <n v="14150"/>
    <m/>
    <m/>
    <s v="Inter Account Transfer"/>
    <x v="3"/>
    <m/>
    <m/>
    <m/>
    <m/>
  </r>
  <r>
    <n v="406"/>
    <d v="2018-01-08T00:00:00"/>
    <x v="99"/>
    <s v="GTBank Naira A/c No 0238127165"/>
    <m/>
    <n v="13350"/>
    <m/>
    <m/>
    <s v="Inter Account Transfer"/>
    <x v="3"/>
    <m/>
    <m/>
    <m/>
    <m/>
  </r>
  <r>
    <n v="407"/>
    <d v="2018-01-08T00:00:00"/>
    <x v="99"/>
    <s v="GTBank Naira A/c No 0238127165"/>
    <s v="PAYMENT FOR TABLEAU DESKTOP PROFESSIONAL 2-YEAR SUBSCRIPTION"/>
    <n v="20648"/>
    <m/>
    <m/>
    <s v="Subscriptions"/>
    <x v="1"/>
    <m/>
    <m/>
    <m/>
    <m/>
  </r>
  <r>
    <n v="408"/>
    <d v="2018-08-01T00:00:00"/>
    <x v="100"/>
    <s v="GTBank Naira A/c No 0238127165"/>
    <m/>
    <n v="50"/>
    <m/>
    <m/>
    <s v="Finance Charges"/>
    <x v="2"/>
    <m/>
    <m/>
    <m/>
    <m/>
  </r>
  <r>
    <n v="409"/>
    <d v="2018-08-01T00:00:00"/>
    <x v="100"/>
    <s v="GTBank Naira A/c No 0238127165"/>
    <m/>
    <n v="2.5"/>
    <m/>
    <m/>
    <s v="VAT"/>
    <x v="2"/>
    <m/>
    <m/>
    <m/>
    <m/>
  </r>
  <r>
    <n v="412"/>
    <d v="2018-01-08T00:00:00"/>
    <x v="99"/>
    <s v="GTBank Naira A/c No 0238127165"/>
    <m/>
    <n v="21000"/>
    <m/>
    <m/>
    <s v="Printing &amp; Stationery"/>
    <x v="10"/>
    <m/>
    <m/>
    <m/>
    <m/>
  </r>
  <r>
    <n v="413"/>
    <d v="2018-08-01T00:00:00"/>
    <x v="100"/>
    <s v="GTBank Naira A/c No 0238127165"/>
    <m/>
    <n v="50"/>
    <m/>
    <m/>
    <s v="Finance Charges"/>
    <x v="2"/>
    <m/>
    <m/>
    <m/>
    <m/>
  </r>
  <r>
    <n v="414"/>
    <d v="2018-08-01T00:00:00"/>
    <x v="100"/>
    <s v="GTBank Naira A/c No 0238127165"/>
    <m/>
    <n v="2.5"/>
    <m/>
    <m/>
    <s v="VAT"/>
    <x v="2"/>
    <m/>
    <m/>
    <m/>
    <m/>
  </r>
  <r>
    <n v="415"/>
    <d v="2018-02-08T00:00:00"/>
    <x v="101"/>
    <s v="GTBank Naira A/c No 0238127165"/>
    <m/>
    <n v="584058.29"/>
    <m/>
    <m/>
    <s v="Staff Pension Remittances"/>
    <x v="12"/>
    <m/>
    <m/>
    <m/>
    <m/>
  </r>
  <r>
    <n v="416"/>
    <d v="2018-02-08T00:00:00"/>
    <x v="101"/>
    <s v="GTBank Naira A/c No 0238127165"/>
    <m/>
    <n v="16800"/>
    <m/>
    <m/>
    <s v="Inter Account Transfer"/>
    <x v="3"/>
    <m/>
    <m/>
    <m/>
    <m/>
  </r>
  <r>
    <n v="417"/>
    <d v="2018-03-08T00:00:00"/>
    <x v="102"/>
    <s v="GTBank Naira A/c No 0238127165"/>
    <s v="Office internet subscription for 6months"/>
    <n v="108000"/>
    <m/>
    <m/>
    <s v="Internet subscription"/>
    <x v="1"/>
    <m/>
    <m/>
    <m/>
    <m/>
  </r>
  <r>
    <n v="418"/>
    <d v="2018-03-08T00:00:00"/>
    <x v="102"/>
    <s v="GTBank Naira A/c No 0238127165"/>
    <m/>
    <n v="10000"/>
    <m/>
    <m/>
    <s v="Inter Account Transfer"/>
    <x v="3"/>
    <m/>
    <m/>
    <m/>
    <m/>
  </r>
  <r>
    <n v="419"/>
    <d v="2018-03-08T00:00:00"/>
    <x v="102"/>
    <s v="GTBank Naira A/c No 0238127165"/>
    <m/>
    <n v="18800"/>
    <m/>
    <m/>
    <s v="DANIEL   ADEYEMO"/>
    <x v="12"/>
    <m/>
    <m/>
    <m/>
    <m/>
  </r>
  <r>
    <n v="421"/>
    <d v="2018-08-03T00:00:00"/>
    <x v="103"/>
    <s v="GTBank Naira A/c No 0238127165"/>
    <m/>
    <n v="50"/>
    <m/>
    <m/>
    <s v="Finance Charges"/>
    <x v="2"/>
    <m/>
    <m/>
    <m/>
    <m/>
  </r>
  <r>
    <n v="422"/>
    <d v="2018-08-03T00:00:00"/>
    <x v="103"/>
    <s v="GTBank Naira A/c No 0238127165"/>
    <m/>
    <n v="2.5"/>
    <m/>
    <m/>
    <s v="VAT"/>
    <x v="2"/>
    <m/>
    <m/>
    <m/>
    <m/>
  </r>
  <r>
    <n v="423"/>
    <d v="2018-03-08T00:00:00"/>
    <x v="102"/>
    <s v="GTBank Naira A/c No 0238127165"/>
    <m/>
    <n v="10000"/>
    <m/>
    <m/>
    <s v="AKATA MONDAY AKAMA"/>
    <x v="27"/>
    <m/>
    <m/>
    <m/>
    <m/>
  </r>
  <r>
    <n v="424"/>
    <d v="2018-08-03T00:00:00"/>
    <x v="103"/>
    <s v="GTBank Naira A/c No 0238127165"/>
    <m/>
    <n v="50"/>
    <m/>
    <m/>
    <s v="Finance Charges"/>
    <x v="2"/>
    <m/>
    <m/>
    <m/>
    <m/>
  </r>
  <r>
    <n v="425"/>
    <d v="2018-08-03T00:00:00"/>
    <x v="103"/>
    <s v="GTBank Naira A/c No 0238127165"/>
    <m/>
    <n v="2.5"/>
    <m/>
    <m/>
    <s v="VAT"/>
    <x v="2"/>
    <m/>
    <m/>
    <m/>
    <m/>
  </r>
  <r>
    <n v="426"/>
    <d v="2018-03-08T00:00:00"/>
    <x v="102"/>
    <s v="GTBank Naira A/c No 0238127165"/>
    <m/>
    <n v="54000"/>
    <m/>
    <m/>
    <s v="ASANGANSI IME EFFIONG"/>
    <x v="12"/>
    <m/>
    <m/>
    <m/>
    <m/>
  </r>
  <r>
    <n v="427"/>
    <d v="2018-08-08T00:00:00"/>
    <x v="104"/>
    <s v="GTBank Naira A/c No 0238127165"/>
    <m/>
    <n v="35000"/>
    <m/>
    <m/>
    <s v="Inter Account Transfer"/>
    <x v="3"/>
    <m/>
    <m/>
    <m/>
    <m/>
  </r>
  <r>
    <n v="428"/>
    <d v="2018-08-08T00:00:00"/>
    <x v="104"/>
    <s v="GTBank Naira A/c No 0238127165"/>
    <m/>
    <n v="2950"/>
    <m/>
    <m/>
    <s v="Inter Account Transfer"/>
    <x v="3"/>
    <m/>
    <m/>
    <m/>
    <m/>
  </r>
  <r>
    <n v="429"/>
    <d v="2018-08-08T00:00:00"/>
    <x v="104"/>
    <s v="GTBank Naira A/c No 0238127165"/>
    <m/>
    <n v="10000"/>
    <m/>
    <m/>
    <s v="Office Electricity Bill"/>
    <x v="1"/>
    <m/>
    <m/>
    <m/>
    <m/>
  </r>
  <r>
    <n v="430"/>
    <d v="2018-08-08T00:00:00"/>
    <x v="104"/>
    <s v="GTBank Naira A/c No 0238127165"/>
    <m/>
    <n v="50"/>
    <m/>
    <m/>
    <s v="Finance Charges"/>
    <x v="2"/>
    <m/>
    <m/>
    <m/>
    <m/>
  </r>
  <r>
    <n v="431"/>
    <d v="2018-08-08T00:00:00"/>
    <x v="104"/>
    <s v="GTBank Naira A/c No 0238127165"/>
    <m/>
    <n v="2.5"/>
    <m/>
    <m/>
    <s v="VAT"/>
    <x v="2"/>
    <m/>
    <m/>
    <m/>
    <m/>
  </r>
  <r>
    <n v="432"/>
    <s v="8/16/2018"/>
    <x v="105"/>
    <s v="GTBank Naira A/c No 0238127165"/>
    <s v="Internet"/>
    <n v="7000"/>
    <m/>
    <m/>
    <s v="Internet subscription"/>
    <x v="1"/>
    <m/>
    <m/>
    <m/>
    <m/>
  </r>
  <r>
    <n v="433"/>
    <s v="8/16/2018"/>
    <x v="105"/>
    <s v="GTBank Naira A/c No 0238127165"/>
    <m/>
    <n v="30000"/>
    <m/>
    <m/>
    <s v="VICTORY TRUST PROPERTIES LIMITED"/>
    <x v="16"/>
    <m/>
    <m/>
    <m/>
    <m/>
  </r>
  <r>
    <n v="436"/>
    <s v="8/16/2018"/>
    <x v="105"/>
    <s v="GTBank Naira A/c No 0238127165"/>
    <m/>
    <n v="8000"/>
    <m/>
    <m/>
    <s v="JOSIAH ZHIGO LUKA"/>
    <x v="27"/>
    <m/>
    <m/>
    <m/>
    <m/>
  </r>
  <r>
    <n v="437"/>
    <d v="2018-08-16T00:00:00"/>
    <x v="105"/>
    <s v="GTBank Naira A/c No 0238127165"/>
    <m/>
    <n v="50"/>
    <m/>
    <m/>
    <s v="Finance Charges"/>
    <x v="2"/>
    <m/>
    <m/>
    <m/>
    <m/>
  </r>
  <r>
    <n v="438"/>
    <d v="2018-08-16T00:00:00"/>
    <x v="105"/>
    <s v="GTBank Naira A/c No 0238127165"/>
    <m/>
    <n v="2.5"/>
    <m/>
    <m/>
    <s v="VAT"/>
    <x v="2"/>
    <m/>
    <m/>
    <m/>
    <m/>
  </r>
  <r>
    <n v="439"/>
    <d v="2018-08-16T00:00:00"/>
    <x v="105"/>
    <s v="GTBank Naira A/c No 0238127165"/>
    <m/>
    <n v="50"/>
    <m/>
    <m/>
    <s v="Finance Charges"/>
    <x v="2"/>
    <m/>
    <m/>
    <m/>
    <m/>
  </r>
  <r>
    <n v="440"/>
    <d v="2018-08-16T00:00:00"/>
    <x v="105"/>
    <s v="GTBank Naira A/c No 0238127165"/>
    <m/>
    <n v="2.5"/>
    <m/>
    <m/>
    <s v="VAT"/>
    <x v="2"/>
    <m/>
    <m/>
    <m/>
    <m/>
  </r>
  <r>
    <n v="441"/>
    <s v="8/16/2018"/>
    <x v="105"/>
    <s v="GTBank Naira A/c No 0238127165"/>
    <m/>
    <n v="8835"/>
    <m/>
    <m/>
    <s v="Inter Account Transfer"/>
    <x v="3"/>
    <m/>
    <m/>
    <m/>
    <m/>
  </r>
  <r>
    <n v="442"/>
    <s v="8/16/2018"/>
    <x v="105"/>
    <s v="GTBank Naira A/c No 0238127165"/>
    <m/>
    <n v="12000"/>
    <m/>
    <m/>
    <s v="Inter Account Transfer"/>
    <x v="3"/>
    <m/>
    <m/>
    <m/>
    <m/>
  </r>
  <r>
    <n v="445"/>
    <s v="8/16/2018"/>
    <x v="105"/>
    <s v="GTBank Naira A/c No 0238127165"/>
    <m/>
    <n v="4000"/>
    <m/>
    <m/>
    <s v="Inter Account Transfer"/>
    <x v="3"/>
    <m/>
    <m/>
    <m/>
    <m/>
  </r>
  <r>
    <n v="446"/>
    <s v="8/20/2018"/>
    <x v="106"/>
    <s v="GTBank Naira A/c No 0238127165"/>
    <m/>
    <n v="156000"/>
    <m/>
    <m/>
    <s v="FEDERAL INLAND REVENUE SERVICE"/>
    <x v="15"/>
    <m/>
    <m/>
    <m/>
    <m/>
  </r>
  <r>
    <n v="447"/>
    <s v="8/20/2018"/>
    <x v="106"/>
    <s v="GTBank Naira A/c No 0238127165"/>
    <m/>
    <n v="283630"/>
    <m/>
    <m/>
    <s v="AVON HEALTH CARE LIMITED"/>
    <x v="28"/>
    <m/>
    <m/>
    <m/>
    <m/>
  </r>
  <r>
    <n v="448"/>
    <d v="2018-08-20T00:00:00"/>
    <x v="106"/>
    <s v="GTBank Naira A/c No 0238127165"/>
    <m/>
    <n v="50"/>
    <m/>
    <m/>
    <s v="Finance Charges"/>
    <x v="2"/>
    <m/>
    <m/>
    <m/>
    <m/>
  </r>
  <r>
    <n v="449"/>
    <d v="2018-08-20T00:00:00"/>
    <x v="106"/>
    <s v="GTBank Naira A/c No 0238127165"/>
    <m/>
    <n v="2.5"/>
    <m/>
    <m/>
    <s v="VAT"/>
    <x v="2"/>
    <m/>
    <m/>
    <m/>
    <m/>
  </r>
  <r>
    <n v="450"/>
    <s v="8/24/2018"/>
    <x v="107"/>
    <s v="GTBank Naira A/c No 0238127165"/>
    <m/>
    <n v="42000"/>
    <m/>
    <m/>
    <s v="Printing &amp; Stationery"/>
    <x v="10"/>
    <m/>
    <m/>
    <m/>
    <m/>
  </r>
  <r>
    <n v="451"/>
    <d v="2018-08-24T00:00:00"/>
    <x v="107"/>
    <s v="GTBank Naira A/c No 0238127165"/>
    <m/>
    <n v="50"/>
    <m/>
    <m/>
    <s v="Finance Charges"/>
    <x v="2"/>
    <m/>
    <m/>
    <m/>
    <m/>
  </r>
  <r>
    <n v="454"/>
    <s v="8/24/2018"/>
    <x v="107"/>
    <s v="GTBank Naira A/c No 0238127165"/>
    <m/>
    <n v="10400"/>
    <m/>
    <m/>
    <s v="Printing &amp; Stationery"/>
    <x v="10"/>
    <m/>
    <m/>
    <m/>
    <m/>
  </r>
  <r>
    <n v="455"/>
    <d v="2018-08-24T00:00:00"/>
    <x v="107"/>
    <s v="GTBank Naira A/c No 0238127165"/>
    <m/>
    <n v="2.5"/>
    <m/>
    <m/>
    <s v="VAT"/>
    <x v="2"/>
    <m/>
    <m/>
    <m/>
    <m/>
  </r>
  <r>
    <n v="456"/>
    <d v="2018-08-24T00:00:00"/>
    <x v="107"/>
    <s v="GTBank Naira A/c No 0238127165"/>
    <m/>
    <n v="50"/>
    <m/>
    <m/>
    <s v="Finance Charges"/>
    <x v="2"/>
    <m/>
    <m/>
    <m/>
    <m/>
  </r>
  <r>
    <n v="457"/>
    <d v="2018-08-24T00:00:00"/>
    <x v="107"/>
    <s v="GTBank Naira A/c No 0238127165"/>
    <m/>
    <n v="2.5"/>
    <m/>
    <m/>
    <s v="VAT"/>
    <x v="2"/>
    <m/>
    <m/>
    <m/>
    <m/>
  </r>
  <r>
    <n v="458"/>
    <s v="8/24/2018"/>
    <x v="107"/>
    <s v="GTBank Naira A/c No 0238127165"/>
    <m/>
    <n v="36830"/>
    <m/>
    <m/>
    <s v="AVON HEALTH CARE LIMITED"/>
    <x v="28"/>
    <m/>
    <m/>
    <m/>
    <m/>
  </r>
  <r>
    <n v="459"/>
    <d v="2018-08-24T00:00:00"/>
    <x v="107"/>
    <s v="GTBank Naira A/c No 0238127165"/>
    <m/>
    <n v="50"/>
    <m/>
    <m/>
    <s v="Finance Charges"/>
    <x v="2"/>
    <m/>
    <m/>
    <m/>
    <m/>
  </r>
  <r>
    <n v="460"/>
    <d v="2018-08-24T00:00:00"/>
    <x v="107"/>
    <s v="GTBank Naira A/c No 0238127165"/>
    <m/>
    <n v="2.5"/>
    <m/>
    <m/>
    <s v="VAT"/>
    <x v="2"/>
    <m/>
    <m/>
    <m/>
    <m/>
  </r>
  <r>
    <n v="461"/>
    <s v="8/24/2018"/>
    <x v="107"/>
    <s v="GTBank Naira A/c No 0238127165"/>
    <m/>
    <n v="19800"/>
    <m/>
    <m/>
    <s v="Inter Account Transfer"/>
    <x v="3"/>
    <m/>
    <m/>
    <m/>
    <m/>
  </r>
  <r>
    <n v="464"/>
    <s v="8/24/2018"/>
    <x v="107"/>
    <s v="GTBank Naira A/c No 0238127165"/>
    <m/>
    <n v="17400"/>
    <m/>
    <m/>
    <s v="Inter Account Transfer"/>
    <x v="3"/>
    <m/>
    <m/>
    <m/>
    <m/>
  </r>
  <r>
    <n v="465"/>
    <s v="8/25/2018"/>
    <x v="108"/>
    <s v="GTBank Naira A/c No 0238127165"/>
    <m/>
    <n v="120000"/>
    <m/>
    <m/>
    <s v="AYEOLA FEMI EMMANUEL"/>
    <x v="25"/>
    <m/>
    <m/>
    <m/>
    <m/>
  </r>
  <r>
    <n v="466"/>
    <s v="8/25/2018"/>
    <x v="108"/>
    <s v="GTBank Naira A/c No 0238127165"/>
    <m/>
    <n v="130000"/>
    <m/>
    <m/>
    <s v="VINCENT OKECHUKWU UDO"/>
    <x v="25"/>
    <m/>
    <m/>
    <m/>
    <m/>
  </r>
  <r>
    <n v="467"/>
    <d v="2018-08-25T00:00:00"/>
    <x v="108"/>
    <s v="GTBank Naira A/c No 0238127165"/>
    <m/>
    <n v="50"/>
    <m/>
    <m/>
    <s v="Finance Charges"/>
    <x v="2"/>
    <m/>
    <m/>
    <m/>
    <m/>
  </r>
  <r>
    <n v="468"/>
    <d v="2018-08-25T00:00:00"/>
    <x v="108"/>
    <s v="GTBank Naira A/c No 0238127165"/>
    <m/>
    <n v="2.5"/>
    <m/>
    <m/>
    <s v="VAT"/>
    <x v="2"/>
    <m/>
    <m/>
    <m/>
    <m/>
  </r>
  <r>
    <n v="469"/>
    <d v="2018-08-26T00:00:00"/>
    <x v="109"/>
    <s v="GTBank Naira A/c No 0238127165"/>
    <m/>
    <n v="60000"/>
    <m/>
    <m/>
    <s v="VAT"/>
    <x v="2"/>
    <m/>
    <m/>
    <m/>
    <m/>
  </r>
  <r>
    <n v="470"/>
    <s v="8/27/2018"/>
    <x v="110"/>
    <s v="GTBank Naira A/c No 0238127165"/>
    <s v="MTHLY SALARY 2018 August"/>
    <n v="2331478.35"/>
    <m/>
    <m/>
    <s v="Salaries &amp; Wages"/>
    <x v="12"/>
    <m/>
    <m/>
    <m/>
    <m/>
  </r>
  <r>
    <n v="473"/>
    <d v="2018-08-27T00:00:00"/>
    <x v="110"/>
    <s v="GTBank Naira A/c No 0238127165"/>
    <m/>
    <n v="157.5"/>
    <m/>
    <m/>
    <s v="VAT"/>
    <x v="2"/>
    <m/>
    <m/>
    <m/>
    <m/>
  </r>
  <r>
    <n v="474"/>
    <d v="2018-08-27T00:00:00"/>
    <x v="110"/>
    <s v="GTBank Naira A/c No 0238127165"/>
    <m/>
    <n v="1050"/>
    <m/>
    <m/>
    <s v="COMMISSION Bulk Payment Charge"/>
    <x v="2"/>
    <m/>
    <m/>
    <m/>
    <m/>
  </r>
  <r>
    <n v="475"/>
    <d v="2018-08-27T00:00:00"/>
    <x v="110"/>
    <s v="GTBank Naira A/c No 0238127165"/>
    <m/>
    <n v="52.5"/>
    <m/>
    <m/>
    <s v="VAT"/>
    <x v="2"/>
    <m/>
    <m/>
    <m/>
    <m/>
  </r>
  <r>
    <n v="476"/>
    <s v="8/30/2018"/>
    <x v="111"/>
    <s v="GTBank Naira A/c No 0238127165"/>
    <m/>
    <n v="2400"/>
    <m/>
    <m/>
    <s v="Inter Account Transfer"/>
    <x v="3"/>
    <m/>
    <m/>
    <m/>
    <m/>
  </r>
  <r>
    <n v="477"/>
    <s v="8/30/2018"/>
    <x v="111"/>
    <s v="GTBank Naira A/c No 0238127165"/>
    <m/>
    <n v="3000"/>
    <m/>
    <m/>
    <s v="Inter Account Transfer"/>
    <x v="3"/>
    <m/>
    <m/>
    <m/>
    <m/>
  </r>
  <r>
    <n v="478"/>
    <s v="8/30/2018"/>
    <x v="111"/>
    <s v="GTBank Naira A/c No 0238127165"/>
    <m/>
    <n v="3000"/>
    <m/>
    <m/>
    <s v="Inter Account Transfer"/>
    <x v="3"/>
    <m/>
    <m/>
    <m/>
    <m/>
  </r>
  <r>
    <n v="479"/>
    <s v="8/30/2018"/>
    <x v="111"/>
    <s v="GTBank Naira A/c No 0238127165"/>
    <m/>
    <n v="10000"/>
    <m/>
    <m/>
    <s v="Inter Account Transfer"/>
    <x v="3"/>
    <m/>
    <m/>
    <m/>
    <m/>
  </r>
  <r>
    <n v="480"/>
    <s v="8/30/2018"/>
    <x v="111"/>
    <s v="GTBank Naira A/c No 0238127165"/>
    <m/>
    <n v="6500"/>
    <m/>
    <m/>
    <s v="Inter Account Transfer"/>
    <x v="3"/>
    <m/>
    <m/>
    <m/>
    <m/>
  </r>
  <r>
    <n v="481"/>
    <s v="8/30/2018"/>
    <x v="111"/>
    <s v="GTBank Naira A/c No 0238127165"/>
    <m/>
    <n v="4200"/>
    <m/>
    <m/>
    <s v="Inter Account Transfer"/>
    <x v="3"/>
    <m/>
    <m/>
    <m/>
    <m/>
  </r>
  <r>
    <n v="484"/>
    <d v="2018-08-30T00:00:00"/>
    <x v="111"/>
    <s v="GTBank Naira A/c No 0238127165"/>
    <m/>
    <n v="204"/>
    <m/>
    <m/>
    <s v="SMS CHARGE"/>
    <x v="2"/>
    <m/>
    <m/>
    <m/>
    <m/>
  </r>
  <r>
    <n v="485"/>
    <s v="8/31/2018"/>
    <x v="112"/>
    <s v="GTBank Naira A/c No 0238127165"/>
    <m/>
    <n v="19600"/>
    <m/>
    <m/>
    <s v="Inter Account Transfer"/>
    <x v="3"/>
    <m/>
    <m/>
    <m/>
    <m/>
  </r>
  <r>
    <n v="486"/>
    <s v="8/31/2018"/>
    <x v="112"/>
    <s v="GTBank Naira A/c No 0238127165"/>
    <m/>
    <n v="10450"/>
    <m/>
    <m/>
    <s v="Inter Account Transfer"/>
    <x v="3"/>
    <m/>
    <m/>
    <m/>
    <m/>
  </r>
  <r>
    <n v="487"/>
    <s v="8/31/2018"/>
    <x v="112"/>
    <s v="GTBank Naira A/c No 0238127165"/>
    <m/>
    <n v="3000"/>
    <m/>
    <m/>
    <s v="Telephone &amp; Communication Expenses"/>
    <x v="29"/>
    <m/>
    <m/>
    <m/>
    <m/>
  </r>
  <r>
    <n v="488"/>
    <s v="8/31/2018"/>
    <x v="112"/>
    <s v="GTBank Naira A/c No 0238127165"/>
    <m/>
    <n v="3000"/>
    <m/>
    <m/>
    <s v="Telephone &amp; Communication Expenses"/>
    <x v="29"/>
    <m/>
    <m/>
    <m/>
    <m/>
  </r>
  <r>
    <n v="489"/>
    <s v="8/31/2018"/>
    <x v="112"/>
    <s v="GTBank Naira A/c No 0238127165"/>
    <m/>
    <n v="3955.84"/>
    <m/>
    <m/>
    <s v="Finance Charges"/>
    <x v="2"/>
    <m/>
    <m/>
    <m/>
    <m/>
  </r>
  <r>
    <n v="490"/>
    <d v="2018-08-31T00:00:00"/>
    <x v="112"/>
    <s v="GTBank Naira A/c No 0238127165"/>
    <m/>
    <n v="197.79"/>
    <m/>
    <m/>
    <s v="Finance Charges"/>
    <x v="2"/>
    <m/>
    <m/>
    <m/>
    <m/>
  </r>
  <r>
    <n v="491"/>
    <d v="2018-03-09T00:00:00"/>
    <x v="113"/>
    <s v="GTBank Naira A/c No 0238127165"/>
    <m/>
    <n v="6000"/>
    <m/>
    <m/>
    <s v="HUB360 CIRCUITS"/>
    <x v="1"/>
    <m/>
    <m/>
    <m/>
    <m/>
  </r>
  <r>
    <n v="492"/>
    <d v="2018-09-03T00:00:00"/>
    <x v="10"/>
    <s v="GTBank Naira A/c No 0238127165"/>
    <m/>
    <n v="50"/>
    <m/>
    <m/>
    <s v="Finance Charges"/>
    <x v="2"/>
    <m/>
    <m/>
    <m/>
    <m/>
  </r>
  <r>
    <n v="493"/>
    <d v="2018-09-03T00:00:00"/>
    <x v="10"/>
    <s v="GTBank Naira A/c No 0238127165"/>
    <m/>
    <n v="2.5"/>
    <m/>
    <m/>
    <s v="VAT"/>
    <x v="2"/>
    <m/>
    <m/>
    <m/>
    <m/>
  </r>
  <r>
    <n v="495"/>
    <d v="2018-03-09T00:00:00"/>
    <x v="113"/>
    <s v="GTBank Naira A/c No 0238127165"/>
    <m/>
    <n v="39600"/>
    <m/>
    <m/>
    <s v="Inter Account Transfer"/>
    <x v="3"/>
    <m/>
    <m/>
    <m/>
    <m/>
  </r>
  <r>
    <n v="496"/>
    <d v="2018-03-09T00:00:00"/>
    <x v="113"/>
    <s v="GTBank Naira A/c No 0238127165"/>
    <s v="DOLLAR EXCHANGE FOR NAIRA"/>
    <m/>
    <n v="35000000"/>
    <m/>
    <s v="JAMIYA MULTI EXCHANGE BDC LTD    "/>
    <x v="4"/>
    <m/>
    <m/>
    <m/>
    <m/>
  </r>
  <r>
    <n v="497"/>
    <d v="2018-03-09T00:00:00"/>
    <x v="113"/>
    <s v="GTBank Naira A/c No 0238127165"/>
    <m/>
    <n v="50"/>
    <m/>
    <m/>
    <s v="Commission"/>
    <x v="2"/>
    <m/>
    <m/>
    <m/>
    <m/>
  </r>
  <r>
    <n v="498"/>
    <d v="2018-10-09T00:00:00"/>
    <x v="114"/>
    <s v="GTBank Naira A/c No 0238127165"/>
    <s v="MTHLY SALARY 2018 August"/>
    <n v="39600"/>
    <m/>
    <m/>
    <s v="Salaries &amp; Wages"/>
    <x v="12"/>
    <m/>
    <m/>
    <m/>
    <m/>
  </r>
  <r>
    <n v="499"/>
    <d v="2018-09-10T00:00:00"/>
    <x v="115"/>
    <s v="GTBank Naira A/c No 0238127165"/>
    <m/>
    <n v="52.5"/>
    <m/>
    <m/>
    <s v="VAT"/>
    <x v="2"/>
    <m/>
    <m/>
    <m/>
    <m/>
  </r>
  <r>
    <n v="500"/>
    <d v="2018-11-09T00:00:00"/>
    <x v="116"/>
    <s v="GTBank Naira A/c No 0238127165"/>
    <m/>
    <n v="584058.29"/>
    <m/>
    <m/>
    <s v="Staff Pension Remittances"/>
    <x v="12"/>
    <m/>
    <m/>
    <m/>
    <m/>
  </r>
  <r>
    <n v="501"/>
    <d v="2018-12-09T00:00:00"/>
    <x v="117"/>
    <s v="GTBank Naira A/c No 0238127165"/>
    <m/>
    <n v="3800"/>
    <m/>
    <m/>
    <s v="Printing &amp; Stationery"/>
    <x v="10"/>
    <m/>
    <m/>
    <m/>
    <m/>
  </r>
  <r>
    <n v="502"/>
    <d v="2018-09-12T00:00:00"/>
    <x v="11"/>
    <s v="GTBank Naira A/c No 0238127165"/>
    <m/>
    <n v="50"/>
    <m/>
    <m/>
    <s v="Finance Charges"/>
    <x v="2"/>
    <m/>
    <m/>
    <m/>
    <m/>
  </r>
  <r>
    <n v="503"/>
    <d v="2018-09-12T00:00:00"/>
    <x v="11"/>
    <s v="GTBank Naira A/c No 0238127165"/>
    <m/>
    <n v="2.5"/>
    <m/>
    <m/>
    <s v="VAT"/>
    <x v="2"/>
    <m/>
    <m/>
    <m/>
    <m/>
  </r>
  <r>
    <n v="504"/>
    <d v="2018-12-09T00:00:00"/>
    <x v="117"/>
    <s v="GTBank Naira A/c No 0238127165"/>
    <m/>
    <n v="32000"/>
    <m/>
    <m/>
    <s v="ABDULQUADRI GBADAMOSI"/>
    <x v="12"/>
    <m/>
    <m/>
    <m/>
    <m/>
  </r>
  <r>
    <n v="505"/>
    <d v="2018-12-09T00:00:00"/>
    <x v="117"/>
    <s v="GTBank Naira A/c No 0238127165"/>
    <m/>
    <n v="30000"/>
    <m/>
    <m/>
    <s v="Office Electricity Bill"/>
    <x v="1"/>
    <m/>
    <m/>
    <m/>
    <m/>
  </r>
  <r>
    <n v="506"/>
    <d v="2018-09-12T00:00:00"/>
    <x v="11"/>
    <s v="GTBank Naira A/c No 0238127165"/>
    <m/>
    <n v="50"/>
    <m/>
    <m/>
    <s v="Finance Charges"/>
    <x v="2"/>
    <m/>
    <m/>
    <m/>
    <m/>
  </r>
  <r>
    <n v="507"/>
    <d v="2018-09-12T00:00:00"/>
    <x v="11"/>
    <s v="GTBank Naira A/c No 0238127165"/>
    <m/>
    <n v="2.5"/>
    <m/>
    <m/>
    <s v="VAT"/>
    <x v="2"/>
    <m/>
    <m/>
    <m/>
    <m/>
  </r>
  <r>
    <n v="508"/>
    <d v="2018-09-12T00:00:00"/>
    <x v="11"/>
    <s v="GTBank Naira A/c No 0238127165"/>
    <m/>
    <n v="50"/>
    <m/>
    <m/>
    <s v="Finance Charges"/>
    <x v="2"/>
    <m/>
    <m/>
    <m/>
    <m/>
  </r>
  <r>
    <n v="509"/>
    <d v="2018-09-12T00:00:00"/>
    <x v="11"/>
    <s v="GTBank Naira A/c No 0238127165"/>
    <m/>
    <n v="2.5"/>
    <m/>
    <m/>
    <s v="VAT"/>
    <x v="2"/>
    <m/>
    <m/>
    <m/>
    <m/>
  </r>
  <r>
    <n v="510"/>
    <d v="2018-12-09T00:00:00"/>
    <x v="117"/>
    <s v="GTBank Naira A/c No 0238127165"/>
    <m/>
    <n v="7800"/>
    <m/>
    <m/>
    <s v="Inter Account Transfer"/>
    <x v="3"/>
    <m/>
    <m/>
    <m/>
    <m/>
  </r>
  <r>
    <n v="513"/>
    <d v="2018-12-09T00:00:00"/>
    <x v="117"/>
    <s v="GTBank Naira A/c No 0238127165"/>
    <m/>
    <n v="2000"/>
    <m/>
    <m/>
    <s v="Telephone &amp; Communication Expenses"/>
    <x v="29"/>
    <m/>
    <m/>
    <m/>
    <m/>
  </r>
  <r>
    <n v="514"/>
    <d v="2018-12-09T00:00:00"/>
    <x v="117"/>
    <s v="GTBank Naira A/c No 0238127165"/>
    <m/>
    <n v="2000"/>
    <m/>
    <m/>
    <s v="Telephone &amp; Communication Expenses"/>
    <x v="29"/>
    <m/>
    <m/>
    <m/>
    <m/>
  </r>
  <r>
    <n v="515"/>
    <s v="9/13/2018"/>
    <x v="118"/>
    <s v="GTBank Naira A/c No 0238127165"/>
    <m/>
    <n v="15000"/>
    <m/>
    <m/>
    <s v="FCT IRS"/>
    <x v="30"/>
    <m/>
    <m/>
    <m/>
    <m/>
  </r>
  <r>
    <n v="516"/>
    <s v="9/14/2018"/>
    <x v="119"/>
    <s v="GTBank Naira A/c No 0238127165"/>
    <m/>
    <n v="42000"/>
    <m/>
    <m/>
    <s v="DE FLOURISH INTERIOR SERVICES LTD"/>
    <x v="31"/>
    <m/>
    <m/>
    <m/>
    <m/>
  </r>
  <r>
    <n v="517"/>
    <d v="2018-09-14T00:00:00"/>
    <x v="119"/>
    <s v="GTBank Naira A/c No 0238127165"/>
    <m/>
    <n v="50"/>
    <m/>
    <m/>
    <s v="Finance Charges"/>
    <x v="2"/>
    <m/>
    <m/>
    <m/>
    <m/>
  </r>
  <r>
    <n v="518"/>
    <d v="2018-09-14T00:00:00"/>
    <x v="119"/>
    <s v="GTBank Naira A/c No 0238127165"/>
    <m/>
    <n v="2.5"/>
    <m/>
    <m/>
    <s v="VAT"/>
    <x v="2"/>
    <m/>
    <m/>
    <m/>
    <m/>
  </r>
  <r>
    <n v="519"/>
    <s v="9/19/2018"/>
    <x v="120"/>
    <s v="GTBank Naira A/c No 0238127165"/>
    <m/>
    <n v="10000"/>
    <m/>
    <m/>
    <s v="Inter Account Transfer"/>
    <x v="3"/>
    <m/>
    <m/>
    <m/>
    <m/>
  </r>
  <r>
    <n v="520"/>
    <s v="9/19/2018"/>
    <x v="120"/>
    <s v="GTBank Naira A/c No 0238127165"/>
    <m/>
    <n v="30000"/>
    <m/>
    <m/>
    <s v="MABAWONKU MOJISOLA ALHERI"/>
    <x v="12"/>
    <m/>
    <m/>
    <m/>
    <m/>
  </r>
  <r>
    <n v="523"/>
    <s v="9/19/2018"/>
    <x v="120"/>
    <s v="GTBank Naira A/c No 0238127165"/>
    <m/>
    <n v="44800"/>
    <m/>
    <m/>
    <s v="Printing &amp; Stationery"/>
    <x v="10"/>
    <m/>
    <m/>
    <m/>
    <m/>
  </r>
  <r>
    <n v="524"/>
    <d v="2018-09-19T00:00:00"/>
    <x v="120"/>
    <s v="GTBank Naira A/c No 0238127165"/>
    <m/>
    <n v="50"/>
    <m/>
    <m/>
    <s v="Finance Charges"/>
    <x v="2"/>
    <m/>
    <m/>
    <m/>
    <m/>
  </r>
  <r>
    <n v="525"/>
    <d v="2018-09-19T00:00:00"/>
    <x v="120"/>
    <s v="GTBank Naira A/c No 0238127165"/>
    <m/>
    <n v="2.5"/>
    <m/>
    <m/>
    <s v="VAT"/>
    <x v="2"/>
    <m/>
    <m/>
    <m/>
    <m/>
  </r>
  <r>
    <n v="526"/>
    <s v="9/20/2018"/>
    <x v="121"/>
    <s v="GTBank Naira A/c No 0238127165"/>
    <m/>
    <n v="15250"/>
    <m/>
    <m/>
    <s v="Inter Account Transfer"/>
    <x v="3"/>
    <m/>
    <m/>
    <m/>
    <m/>
  </r>
  <r>
    <n v="527"/>
    <s v="9/20/2018"/>
    <x v="121"/>
    <s v="GTBank Naira A/c No 0238127165"/>
    <m/>
    <n v="37000"/>
    <m/>
    <m/>
    <s v="KREAMY KITCHEN"/>
    <x v="32"/>
    <m/>
    <m/>
    <m/>
    <m/>
  </r>
  <r>
    <n v="528"/>
    <d v="2018-09-20T00:00:00"/>
    <x v="121"/>
    <s v="GTBank Naira A/c No 0238127165"/>
    <m/>
    <n v="50"/>
    <m/>
    <m/>
    <s v="Finance Charges"/>
    <x v="2"/>
    <m/>
    <m/>
    <m/>
    <m/>
  </r>
  <r>
    <n v="529"/>
    <d v="2018-09-20T00:00:00"/>
    <x v="121"/>
    <s v="GTBank Naira A/c No 0238127165"/>
    <m/>
    <n v="2.5"/>
    <m/>
    <m/>
    <s v="VAT"/>
    <x v="2"/>
    <m/>
    <m/>
    <m/>
    <m/>
  </r>
  <r>
    <n v="532"/>
    <d v="2018-09-20T00:00:00"/>
    <x v="121"/>
    <s v="GTBank Naira A/c No 0238127165"/>
    <m/>
    <n v="50000"/>
    <m/>
    <m/>
    <s v="VAT"/>
    <x v="2"/>
    <m/>
    <m/>
    <m/>
    <m/>
  </r>
  <r>
    <n v="533"/>
    <d v="2018-09-25T00:00:00"/>
    <x v="122"/>
    <s v="GTBank Naira A/c No 0238127165"/>
    <m/>
    <n v="296"/>
    <m/>
    <m/>
    <s v="SMS CHARGE"/>
    <x v="2"/>
    <m/>
    <m/>
    <m/>
    <m/>
  </r>
  <r>
    <n v="534"/>
    <s v="9/26/2018"/>
    <x v="123"/>
    <s v="GTBank Naira A/c No 0238127165"/>
    <s v="MTHLY SALARY 2018 August"/>
    <n v="130603.26"/>
    <m/>
    <m/>
    <s v="Salaries &amp; Wages"/>
    <x v="12"/>
    <m/>
    <m/>
    <m/>
    <m/>
  </r>
  <r>
    <n v="535"/>
    <d v="2018-09-27T00:00:00"/>
    <x v="124"/>
    <s v="GTBank Naira A/c No 0238127165"/>
    <m/>
    <n v="50"/>
    <m/>
    <m/>
    <s v="Finance Charges"/>
    <x v="2"/>
    <m/>
    <m/>
    <m/>
    <m/>
  </r>
  <r>
    <n v="536"/>
    <s v="9/27/2018"/>
    <x v="124"/>
    <s v="GTBank Naira A/c No 0238127165"/>
    <m/>
    <n v="17000"/>
    <m/>
    <m/>
    <s v="Printing &amp; Stationery"/>
    <x v="10"/>
    <m/>
    <m/>
    <m/>
    <m/>
  </r>
  <r>
    <n v="537"/>
    <d v="2018-09-27T00:00:00"/>
    <x v="124"/>
    <s v="GTBank Naira A/c No 0238127165"/>
    <m/>
    <n v="2.5"/>
    <m/>
    <m/>
    <s v="VAT"/>
    <x v="2"/>
    <m/>
    <m/>
    <m/>
    <m/>
  </r>
  <r>
    <n v="538"/>
    <s v="9/27/2018"/>
    <x v="124"/>
    <s v="GTBank Naira A/c No 0238127165"/>
    <s v="MTHLY SALARY 2018 September"/>
    <n v="2776552.35"/>
    <m/>
    <m/>
    <s v="Salaries &amp; Wages"/>
    <x v="12"/>
    <m/>
    <m/>
    <m/>
    <m/>
  </r>
  <r>
    <n v="539"/>
    <d v="2018-09-27T00:00:00"/>
    <x v="124"/>
    <s v="GTBank Naira A/c No 0238127165"/>
    <m/>
    <n v="472.5"/>
    <m/>
    <m/>
    <s v="VAT"/>
    <x v="2"/>
    <m/>
    <m/>
    <m/>
    <m/>
  </r>
  <r>
    <n v="542"/>
    <d v="2018-09-27T00:00:00"/>
    <x v="124"/>
    <s v="GTBank Naira A/c No 0238127165"/>
    <m/>
    <n v="60000"/>
    <m/>
    <m/>
    <s v="VAT"/>
    <x v="2"/>
    <m/>
    <m/>
    <m/>
    <m/>
  </r>
  <r>
    <n v="543"/>
    <s v="9/27/2018"/>
    <x v="124"/>
    <s v="GTBank Naira A/c No 0238127165"/>
    <m/>
    <n v="10331"/>
    <m/>
    <m/>
    <s v="OJO  SYLVESTER TOLULOPE"/>
    <x v="22"/>
    <m/>
    <m/>
    <m/>
    <m/>
  </r>
  <r>
    <n v="544"/>
    <s v="9/27/2018"/>
    <x v="124"/>
    <s v="GTBank Naira A/c No 0238127165"/>
    <m/>
    <n v="5700"/>
    <m/>
    <m/>
    <s v="Inter Account Transfer"/>
    <x v="3"/>
    <m/>
    <m/>
    <m/>
    <m/>
  </r>
  <r>
    <n v="545"/>
    <s v="9/27/2018"/>
    <x v="124"/>
    <s v="GTBank Naira A/c No 0238127165"/>
    <m/>
    <n v="12100"/>
    <m/>
    <m/>
    <s v="Inter Account Transfer"/>
    <x v="3"/>
    <m/>
    <m/>
    <m/>
    <m/>
  </r>
  <r>
    <n v="546"/>
    <s v="9/27/2018"/>
    <x v="124"/>
    <s v="GTBank Naira A/c No 0238127165"/>
    <s v="Three months subscription for the smile internet device at the office"/>
    <n v="59400"/>
    <m/>
    <m/>
    <s v="Internet subscription"/>
    <x v="1"/>
    <m/>
    <m/>
    <m/>
    <m/>
  </r>
  <r>
    <n v="547"/>
    <s v="9/27/2018"/>
    <x v="124"/>
    <s v="GTBank Naira A/c No 0238127165"/>
    <m/>
    <n v="10000"/>
    <m/>
    <m/>
    <s v="Inter Account Transfer"/>
    <x v="3"/>
    <m/>
    <m/>
    <m/>
    <m/>
  </r>
  <r>
    <n v="548"/>
    <s v="9/27/2018"/>
    <x v="124"/>
    <s v="GTBank Naira A/c No 0238127165"/>
    <m/>
    <n v="5000"/>
    <m/>
    <m/>
    <s v="Inter Account Transfer"/>
    <x v="3"/>
    <m/>
    <m/>
    <m/>
    <m/>
  </r>
  <r>
    <n v="551"/>
    <s v="9/27/2018"/>
    <x v="124"/>
    <s v="GTBank Naira A/c No 0238127165"/>
    <m/>
    <n v="11800"/>
    <m/>
    <m/>
    <s v="Inter Account Transfer"/>
    <x v="3"/>
    <m/>
    <m/>
    <m/>
    <m/>
  </r>
  <r>
    <n v="552"/>
    <d v="2018-09-27T00:00:00"/>
    <x v="124"/>
    <s v="GTBank Naira A/c No 0238127165"/>
    <m/>
    <n v="1100"/>
    <m/>
    <m/>
    <s v="COMMISSION Bulk Payment Charge"/>
    <x v="2"/>
    <m/>
    <m/>
    <m/>
    <m/>
  </r>
  <r>
    <n v="553"/>
    <d v="2018-09-27T00:00:00"/>
    <x v="124"/>
    <s v="GTBank Naira A/c No 0238127165"/>
    <m/>
    <n v="55"/>
    <m/>
    <m/>
    <s v="VAT"/>
    <x v="2"/>
    <m/>
    <m/>
    <m/>
    <m/>
  </r>
  <r>
    <n v="554"/>
    <s v="9/28/2018"/>
    <x v="125"/>
    <s v="GTBank Naira A/c No 0238127165"/>
    <m/>
    <n v="3912.74"/>
    <m/>
    <m/>
    <s v="Finance Charges"/>
    <x v="2"/>
    <m/>
    <m/>
    <m/>
    <m/>
  </r>
  <r>
    <n v="555"/>
    <d v="2018-09-28T00:00:00"/>
    <x v="125"/>
    <s v="GTBank Naira A/c No 0238127165"/>
    <m/>
    <n v="195.64"/>
    <m/>
    <m/>
    <s v="Finance Charges"/>
    <x v="2"/>
    <m/>
    <m/>
    <m/>
    <m/>
  </r>
  <r>
    <n v="556"/>
    <d v="2018-03-10T00:00:00"/>
    <x v="126"/>
    <s v="GTBank Naira A/c No 0238127165"/>
    <m/>
    <n v="135000"/>
    <m/>
    <m/>
    <s v="Staff Training Expenses"/>
    <x v="11"/>
    <m/>
    <m/>
    <m/>
    <m/>
  </r>
  <r>
    <n v="557"/>
    <d v="2018-03-10T00:00:00"/>
    <x v="126"/>
    <s v="GTBank Naira A/c No 0238127165"/>
    <m/>
    <n v="2810"/>
    <m/>
    <m/>
    <s v="OWOEYE OLUSEYE"/>
    <x v="22"/>
    <m/>
    <m/>
    <m/>
    <m/>
  </r>
  <r>
    <n v="558"/>
    <d v="2018-03-10T00:00:00"/>
    <x v="126"/>
    <s v="GTBank Naira A/c No 0238127165"/>
    <m/>
    <n v="4250"/>
    <m/>
    <m/>
    <s v="Inter Account Transfer"/>
    <x v="3"/>
    <m/>
    <m/>
    <m/>
    <m/>
  </r>
  <r>
    <n v="559"/>
    <d v="2018-03-10T00:00:00"/>
    <x v="126"/>
    <s v="GTBank Naira A/c No 0238127165"/>
    <m/>
    <n v="10746.96"/>
    <m/>
    <m/>
    <s v="Inter Account Transfer"/>
    <x v="3"/>
    <m/>
    <m/>
    <m/>
    <m/>
  </r>
  <r>
    <n v="560"/>
    <d v="2018-03-10T00:00:00"/>
    <x v="126"/>
    <s v="GTBank Naira A/c No 0238127165"/>
    <m/>
    <n v="35000"/>
    <m/>
    <m/>
    <s v="Inter Account Transfer"/>
    <x v="3"/>
    <m/>
    <m/>
    <m/>
    <m/>
  </r>
  <r>
    <n v="563"/>
    <d v="2018-04-10T00:00:00"/>
    <x v="61"/>
    <s v="GTBank Naira A/c No 0238127165"/>
    <m/>
    <n v="386195.91"/>
    <m/>
    <m/>
    <s v="Staff Pension Remittances"/>
    <x v="12"/>
    <m/>
    <m/>
    <m/>
    <m/>
  </r>
  <r>
    <n v="564"/>
    <d v="2018-10-10T00:00:00"/>
    <x v="26"/>
    <s v="GTBank Naira A/c No 0238127165"/>
    <m/>
    <n v="25000"/>
    <m/>
    <m/>
    <s v="Inter Account Transfer"/>
    <x v="3"/>
    <m/>
    <m/>
    <m/>
    <m/>
  </r>
  <r>
    <n v="565"/>
    <d v="2018-10-10T00:00:00"/>
    <x v="26"/>
    <s v="GTBank Naira A/c No 0238127165"/>
    <s v="3months SMILE internet subscription for 2 devices"/>
    <n v="118800"/>
    <m/>
    <m/>
    <s v="Internet subscription"/>
    <x v="1"/>
    <m/>
    <m/>
    <m/>
    <m/>
  </r>
  <r>
    <n v="566"/>
    <d v="2018-10-10T00:00:00"/>
    <x v="26"/>
    <s v="GTBank Naira A/c No 0238127165"/>
    <m/>
    <n v="6400"/>
    <m/>
    <m/>
    <s v="Inter Account Transfer"/>
    <x v="3"/>
    <m/>
    <m/>
    <m/>
    <m/>
  </r>
  <r>
    <n v="567"/>
    <d v="2018-10-10T00:00:00"/>
    <x v="26"/>
    <s v="GTBank Naira A/c No 0238127165"/>
    <m/>
    <n v="18500"/>
    <m/>
    <m/>
    <s v="EMEKA HARRISON ORJI"/>
    <x v="33"/>
    <m/>
    <m/>
    <m/>
    <m/>
  </r>
  <r>
    <n v="568"/>
    <d v="2018-10-10T00:00:00"/>
    <x v="26"/>
    <s v="GTBank Naira A/c No 0238127165"/>
    <m/>
    <n v="50"/>
    <m/>
    <m/>
    <s v="Finance Charges"/>
    <x v="2"/>
    <m/>
    <m/>
    <m/>
    <m/>
  </r>
  <r>
    <n v="569"/>
    <d v="2018-10-10T00:00:00"/>
    <x v="26"/>
    <s v="GTBank Naira A/c No 0238127165"/>
    <m/>
    <n v="2.5"/>
    <m/>
    <m/>
    <s v="VAT"/>
    <x v="2"/>
    <m/>
    <m/>
    <m/>
    <m/>
  </r>
  <r>
    <n v="572"/>
    <d v="2018-12-10T00:00:00"/>
    <x v="127"/>
    <s v="GTBank Naira A/c No 0238127165"/>
    <m/>
    <n v="13500"/>
    <m/>
    <m/>
    <s v="Staff Training Expenses"/>
    <x v="11"/>
    <m/>
    <m/>
    <m/>
    <m/>
  </r>
  <r>
    <n v="573"/>
    <d v="2018-12-10T00:00:00"/>
    <x v="127"/>
    <s v="GTBank Naira A/c No 0238127165"/>
    <m/>
    <n v="18300"/>
    <m/>
    <m/>
    <s v="SATSI SAMUEL HERO"/>
    <x v="22"/>
    <m/>
    <m/>
    <m/>
    <m/>
  </r>
  <r>
    <n v="574"/>
    <d v="2018-10-12T00:00:00"/>
    <x v="128"/>
    <s v="GTBank Naira A/c No 0238127165"/>
    <m/>
    <n v="50"/>
    <m/>
    <m/>
    <s v="Finance Charges"/>
    <x v="2"/>
    <m/>
    <m/>
    <m/>
    <m/>
  </r>
  <r>
    <n v="575"/>
    <d v="2018-10-12T00:00:00"/>
    <x v="128"/>
    <s v="GTBank Naira A/c No 0238127165"/>
    <m/>
    <n v="2.5"/>
    <m/>
    <m/>
    <s v="VAT"/>
    <x v="2"/>
    <m/>
    <m/>
    <m/>
    <m/>
  </r>
  <r>
    <n v="576"/>
    <d v="2018-12-10T00:00:00"/>
    <x v="127"/>
    <s v="GTBank Naira A/c No 0238127165"/>
    <m/>
    <n v="11000"/>
    <m/>
    <m/>
    <s v="Printing &amp; Stationery"/>
    <x v="10"/>
    <m/>
    <m/>
    <m/>
    <m/>
  </r>
  <r>
    <n v="577"/>
    <d v="2018-10-12T00:00:00"/>
    <x v="128"/>
    <s v="GTBank Naira A/c No 0238127165"/>
    <m/>
    <n v="50"/>
    <m/>
    <m/>
    <s v="Finance Charges"/>
    <x v="2"/>
    <m/>
    <m/>
    <m/>
    <m/>
  </r>
  <r>
    <n v="578"/>
    <d v="2018-10-12T00:00:00"/>
    <x v="128"/>
    <s v="GTBank Naira A/c No 0238127165"/>
    <m/>
    <n v="2.5"/>
    <m/>
    <m/>
    <s v="VAT"/>
    <x v="2"/>
    <m/>
    <m/>
    <m/>
    <m/>
  </r>
  <r>
    <n v="581"/>
    <d v="2018-12-10T00:00:00"/>
    <x v="127"/>
    <s v="GTBank Naira A/c No 0238127165"/>
    <m/>
    <n v="19800"/>
    <m/>
    <m/>
    <s v="AMAMGBU JESSE TOCHUKWU"/>
    <x v="12"/>
    <m/>
    <m/>
    <m/>
    <m/>
  </r>
  <r>
    <n v="582"/>
    <d v="2018-12-10T00:00:00"/>
    <x v="127"/>
    <s v="GTBank Naira A/c No 0238127165"/>
    <m/>
    <n v="7200"/>
    <m/>
    <m/>
    <s v="Inter Account Transfer"/>
    <x v="3"/>
    <m/>
    <m/>
    <m/>
    <m/>
  </r>
  <r>
    <n v="583"/>
    <s v="10/18/2018"/>
    <x v="129"/>
    <s v="GTBank Naira A/c No 0238127165"/>
    <m/>
    <n v="30000"/>
    <m/>
    <m/>
    <s v="MABAWONKU MOJISOLA ALHERI"/>
    <x v="12"/>
    <m/>
    <m/>
    <m/>
    <m/>
  </r>
  <r>
    <n v="584"/>
    <s v="10/18/2018"/>
    <x v="129"/>
    <s v="GTBank Naira A/c No 0238127165"/>
    <m/>
    <n v="8750"/>
    <m/>
    <m/>
    <s v="Inter Account Transfer"/>
    <x v="3"/>
    <m/>
    <m/>
    <m/>
    <m/>
  </r>
  <r>
    <n v="585"/>
    <s v="10/18/2018"/>
    <x v="129"/>
    <s v="GTBank Naira A/c No 0238127165"/>
    <m/>
    <n v="25300"/>
    <m/>
    <m/>
    <s v="Inter Account Transfer"/>
    <x v="3"/>
    <m/>
    <m/>
    <m/>
    <m/>
  </r>
  <r>
    <n v="586"/>
    <s v="10/18/2018"/>
    <x v="129"/>
    <s v="GTBank Naira A/c No 0238127165"/>
    <m/>
    <n v="30000"/>
    <m/>
    <m/>
    <s v="Office Electricity Bill"/>
    <x v="1"/>
    <m/>
    <m/>
    <m/>
    <m/>
  </r>
  <r>
    <n v="587"/>
    <d v="2018-10-18T00:00:00"/>
    <x v="129"/>
    <s v="GTBank Naira A/c No 0238127165"/>
    <m/>
    <n v="50"/>
    <m/>
    <m/>
    <s v="Finance Charges"/>
    <x v="2"/>
    <m/>
    <m/>
    <m/>
    <m/>
  </r>
  <r>
    <n v="590"/>
    <d v="2018-10-18T00:00:00"/>
    <x v="129"/>
    <s v="GTBank Naira A/c No 0238127165"/>
    <m/>
    <n v="2.5"/>
    <m/>
    <m/>
    <s v="VAT"/>
    <x v="2"/>
    <m/>
    <m/>
    <m/>
    <m/>
  </r>
  <r>
    <n v="591"/>
    <s v="10/18/2018"/>
    <x v="129"/>
    <s v="GTBank Naira A/c No 0238127165"/>
    <m/>
    <n v="15000"/>
    <m/>
    <m/>
    <s v="Inter Account Transfer"/>
    <x v="3"/>
    <m/>
    <m/>
    <m/>
    <m/>
  </r>
  <r>
    <n v="592"/>
    <s v="10/19/2018"/>
    <x v="12"/>
    <s v="GTBank Naira A/c No 0238127165"/>
    <m/>
    <n v="2000"/>
    <m/>
    <m/>
    <s v="Telephone &amp; Communication Expenses"/>
    <x v="29"/>
    <m/>
    <m/>
    <m/>
    <m/>
  </r>
  <r>
    <n v="593"/>
    <s v="10/19/2018"/>
    <x v="12"/>
    <s v="GTBank Naira A/c No 0238127165"/>
    <m/>
    <n v="3000"/>
    <m/>
    <m/>
    <s v="Telephone &amp; Communication Expenses"/>
    <x v="29"/>
    <m/>
    <m/>
    <m/>
    <m/>
  </r>
  <r>
    <n v="594"/>
    <s v="10/19/2018"/>
    <x v="12"/>
    <s v="GTBank Naira A/c No 0238127165"/>
    <m/>
    <n v="2000"/>
    <m/>
    <m/>
    <s v="Telephone &amp; Communication Expenses"/>
    <x v="29"/>
    <m/>
    <m/>
    <m/>
    <m/>
  </r>
  <r>
    <n v="595"/>
    <s v="10/19/2018"/>
    <x v="12"/>
    <s v="GTBank Naira A/c No 0238127165"/>
    <m/>
    <n v="25000"/>
    <m/>
    <m/>
    <s v="Inter Account Transfer"/>
    <x v="3"/>
    <m/>
    <m/>
    <m/>
    <m/>
  </r>
  <r>
    <n v="596"/>
    <s v="10/19/2018"/>
    <x v="12"/>
    <s v="GTBank Naira A/c No 0238127165"/>
    <m/>
    <n v="55000"/>
    <m/>
    <m/>
    <s v="Printing &amp; Stationery"/>
    <x v="10"/>
    <m/>
    <m/>
    <m/>
    <m/>
  </r>
  <r>
    <n v="597"/>
    <d v="2018-10-19T00:00:00"/>
    <x v="12"/>
    <s v="GTBank Naira A/c No 0238127165"/>
    <m/>
    <n v="50"/>
    <m/>
    <m/>
    <s v="Finance Charges"/>
    <x v="2"/>
    <m/>
    <m/>
    <m/>
    <m/>
  </r>
  <r>
    <n v="598"/>
    <d v="2018-10-19T00:00:00"/>
    <x v="12"/>
    <s v="GTBank Naira A/c No 0238127165"/>
    <m/>
    <n v="2.5"/>
    <m/>
    <m/>
    <s v="VAT"/>
    <x v="2"/>
    <m/>
    <m/>
    <m/>
    <m/>
  </r>
  <r>
    <n v="601"/>
    <s v="10/19/2018"/>
    <x v="12"/>
    <s v="GTBank Naira A/c No 0238127165"/>
    <m/>
    <n v="11700"/>
    <m/>
    <m/>
    <s v="Inter Account Transfer"/>
    <x v="3"/>
    <m/>
    <m/>
    <m/>
    <m/>
  </r>
  <r>
    <n v="602"/>
    <s v="10/19/2018"/>
    <x v="12"/>
    <s v="GTBank Naira A/c No 0238127165"/>
    <m/>
    <n v="12100"/>
    <m/>
    <m/>
    <s v="Inter Account Transfer"/>
    <x v="3"/>
    <m/>
    <m/>
    <m/>
    <m/>
  </r>
  <r>
    <n v="603"/>
    <s v="10/19/2018"/>
    <x v="12"/>
    <s v="GTBank Naira A/c No 0238127165"/>
    <m/>
    <n v="8900"/>
    <m/>
    <m/>
    <s v="Inter Account Transfer"/>
    <x v="3"/>
    <m/>
    <m/>
    <m/>
    <m/>
  </r>
  <r>
    <n v="604"/>
    <s v="10/19/2018"/>
    <x v="12"/>
    <s v="GTBank Naira A/c No 0238127165"/>
    <m/>
    <n v="10000"/>
    <m/>
    <m/>
    <s v="Inter Account Transfer"/>
    <x v="3"/>
    <m/>
    <m/>
    <m/>
    <m/>
  </r>
  <r>
    <n v="605"/>
    <s v="10/19/2018"/>
    <x v="12"/>
    <s v="GTBank Naira A/c No 0238127165"/>
    <m/>
    <n v="2500"/>
    <m/>
    <m/>
    <s v="Inter Account Transfer"/>
    <x v="3"/>
    <m/>
    <m/>
    <m/>
    <m/>
  </r>
  <r>
    <n v="606"/>
    <s v="10/26/2018"/>
    <x v="14"/>
    <s v="GTBank Naira A/c No 0238127165"/>
    <m/>
    <n v="731200"/>
    <m/>
    <m/>
    <s v="ABDULGANIYU ABDULFATAI A"/>
    <x v="30"/>
    <m/>
    <m/>
    <m/>
    <m/>
  </r>
  <r>
    <n v="607"/>
    <s v="10/29/2018"/>
    <x v="130"/>
    <s v="GTBank Naira A/c No 0238127165"/>
    <s v="MTHLY SALARY 2018 October"/>
    <n v="2724282.35"/>
    <m/>
    <m/>
    <s v="Salaries &amp; Wages"/>
    <x v="12"/>
    <m/>
    <m/>
    <m/>
    <m/>
  </r>
  <r>
    <n v="608"/>
    <d v="2018-10-29T00:00:00"/>
    <x v="130"/>
    <s v="GTBank Naira A/c No 0238127165"/>
    <m/>
    <n v="472.5"/>
    <m/>
    <m/>
    <s v="VAT"/>
    <x v="2"/>
    <m/>
    <m/>
    <m/>
    <m/>
  </r>
  <r>
    <n v="611"/>
    <d v="2018-10-29T00:00:00"/>
    <x v="130"/>
    <s v="GTBank Naira A/c No 0238127165"/>
    <m/>
    <n v="1000"/>
    <m/>
    <m/>
    <s v="COMMISSION Bulk Payment Charge"/>
    <x v="2"/>
    <m/>
    <m/>
    <m/>
    <m/>
  </r>
  <r>
    <n v="612"/>
    <d v="2018-10-29T00:00:00"/>
    <x v="130"/>
    <s v="GTBank Naira A/c No 0238127165"/>
    <m/>
    <n v="50"/>
    <m/>
    <m/>
    <s v="VAT"/>
    <x v="2"/>
    <m/>
    <m/>
    <m/>
    <m/>
  </r>
  <r>
    <n v="613"/>
    <d v="2018-10-30T00:00:00"/>
    <x v="131"/>
    <s v="GTBank Naira A/c No 0238127165"/>
    <m/>
    <n v="256"/>
    <m/>
    <m/>
    <s v="SMS CHARGE"/>
    <x v="2"/>
    <m/>
    <m/>
    <m/>
    <m/>
  </r>
  <r>
    <n v="614"/>
    <s v="10/31/2018"/>
    <x v="132"/>
    <s v="GTBank Naira A/c No 0238127165"/>
    <m/>
    <n v="70000"/>
    <m/>
    <m/>
    <s v="ADAJI JERRY UTENE"/>
    <x v="12"/>
    <m/>
    <m/>
    <m/>
    <m/>
  </r>
  <r>
    <n v="615"/>
    <s v="10/31/2018"/>
    <x v="132"/>
    <s v="GTBank Naira A/c No 0238127165"/>
    <m/>
    <n v="4252.59"/>
    <m/>
    <m/>
    <s v="Finance Charges"/>
    <x v="2"/>
    <m/>
    <m/>
    <m/>
    <m/>
  </r>
  <r>
    <n v="616"/>
    <d v="2018-10-31T00:00:00"/>
    <x v="132"/>
    <s v="GTBank Naira A/c No 0238127165"/>
    <m/>
    <n v="212.63"/>
    <m/>
    <m/>
    <s v="Finance Charges"/>
    <x v="2"/>
    <m/>
    <m/>
    <m/>
    <m/>
  </r>
  <r>
    <n v="617"/>
    <d v="2018-03-11T00:00:00"/>
    <x v="133"/>
    <s v="GTBank Naira A/c No 0238127165"/>
    <m/>
    <n v="105982.47"/>
    <m/>
    <m/>
    <s v="ABIMBOLA TOMISIN ADENIYI"/>
    <x v="12"/>
    <m/>
    <m/>
    <m/>
    <m/>
  </r>
  <r>
    <n v="618"/>
    <d v="2018-03-11T00:00:00"/>
    <x v="133"/>
    <s v="GTBank Naira A/c No 0238127165"/>
    <m/>
    <n v="35000"/>
    <m/>
    <m/>
    <s v="Inter Account Transfer"/>
    <x v="3"/>
    <m/>
    <m/>
    <m/>
    <m/>
  </r>
  <r>
    <n v="619"/>
    <d v="2018-03-11T00:00:00"/>
    <x v="133"/>
    <s v="GTBank Naira A/c No 0238127165"/>
    <m/>
    <n v="35000"/>
    <m/>
    <m/>
    <s v="Inter Account Transfer"/>
    <x v="3"/>
    <m/>
    <m/>
    <m/>
    <m/>
  </r>
  <r>
    <n v="620"/>
    <d v="2018-07-11T00:00:00"/>
    <x v="134"/>
    <s v="GTBank Naira A/c No 0238127165"/>
    <m/>
    <n v="20990"/>
    <m/>
    <m/>
    <s v="OJO  SYLVESTER TOLULOPE"/>
    <x v="22"/>
    <m/>
    <m/>
    <m/>
    <m/>
  </r>
  <r>
    <n v="623"/>
    <d v="2018-07-11T00:00:00"/>
    <x v="134"/>
    <s v="GTBank Naira A/c No 0238127165"/>
    <m/>
    <n v="30000"/>
    <m/>
    <m/>
    <s v="Office Electricity Bill"/>
    <x v="1"/>
    <m/>
    <m/>
    <m/>
    <m/>
  </r>
  <r>
    <n v="624"/>
    <d v="2018-11-07T00:00:00"/>
    <x v="135"/>
    <s v="GTBank Naira A/c No 0238127165"/>
    <m/>
    <n v="50"/>
    <m/>
    <m/>
    <s v="Finance Charges"/>
    <x v="2"/>
    <m/>
    <m/>
    <m/>
    <m/>
  </r>
  <r>
    <n v="625"/>
    <d v="2018-11-07T00:00:00"/>
    <x v="135"/>
    <s v="GTBank Naira A/c No 0238127165"/>
    <m/>
    <n v="2.5"/>
    <m/>
    <m/>
    <s v="VAT"/>
    <x v="2"/>
    <m/>
    <m/>
    <m/>
    <m/>
  </r>
  <r>
    <n v="626"/>
    <d v="2018-07-11T00:00:00"/>
    <x v="134"/>
    <s v="GTBank Naira A/c No 0238127165"/>
    <m/>
    <n v="5900"/>
    <m/>
    <m/>
    <s v="Inter Account Transfer"/>
    <x v="3"/>
    <m/>
    <m/>
    <m/>
    <m/>
  </r>
  <r>
    <n v="627"/>
    <d v="2018-07-11T00:00:00"/>
    <x v="134"/>
    <s v="GTBank Naira A/c No 0238127165"/>
    <m/>
    <n v="5798"/>
    <m/>
    <m/>
    <s v="Inter Account Transfer"/>
    <x v="3"/>
    <m/>
    <m/>
    <m/>
    <m/>
  </r>
  <r>
    <n v="628"/>
    <d v="2018-07-11T00:00:00"/>
    <x v="134"/>
    <s v="GTBank Naira A/c No 0238127165"/>
    <m/>
    <n v="386195.91"/>
    <m/>
    <m/>
    <s v="Staff Pension Remittances"/>
    <x v="12"/>
    <m/>
    <m/>
    <m/>
    <m/>
  </r>
  <r>
    <n v="629"/>
    <s v="11/14/2018"/>
    <x v="136"/>
    <s v="GTBank Naira A/c No 0238127165"/>
    <m/>
    <n v="10300"/>
    <m/>
    <m/>
    <s v="Inter Account Transfer"/>
    <x v="3"/>
    <m/>
    <m/>
    <m/>
    <m/>
  </r>
  <r>
    <n v="630"/>
    <s v="11/14/2018"/>
    <x v="136"/>
    <s v="GTBank Naira A/c No 0238127165"/>
    <m/>
    <n v="29500"/>
    <m/>
    <m/>
    <s v="DONE IFECO JB CHIBES GLOBAL NIG LTD"/>
    <x v="1"/>
    <m/>
    <m/>
    <m/>
    <m/>
  </r>
  <r>
    <n v="633"/>
    <d v="2018-11-14T00:00:00"/>
    <x v="136"/>
    <s v="GTBank Naira A/c No 0238127165"/>
    <m/>
    <n v="50"/>
    <m/>
    <m/>
    <s v="Finance Charges"/>
    <x v="2"/>
    <m/>
    <m/>
    <m/>
    <m/>
  </r>
  <r>
    <n v="634"/>
    <d v="2018-11-14T00:00:00"/>
    <x v="136"/>
    <s v="GTBank Naira A/c No 0238127165"/>
    <m/>
    <n v="2.5"/>
    <m/>
    <m/>
    <s v="VAT"/>
    <x v="2"/>
    <m/>
    <m/>
    <m/>
    <m/>
  </r>
  <r>
    <n v="635"/>
    <s v="11/17/2018"/>
    <x v="137"/>
    <s v="GTBank Naira A/c No 0238127165"/>
    <m/>
    <n v="30940"/>
    <m/>
    <m/>
    <s v="Inter Account Transfer"/>
    <x v="3"/>
    <m/>
    <m/>
    <m/>
    <m/>
  </r>
  <r>
    <n v="636"/>
    <s v="11/17/2018"/>
    <x v="137"/>
    <s v="GTBank Naira A/c No 0238127165"/>
    <m/>
    <n v="30000"/>
    <m/>
    <m/>
    <s v="Office Electricity Bill"/>
    <x v="1"/>
    <m/>
    <m/>
    <m/>
    <m/>
  </r>
  <r>
    <n v="637"/>
    <d v="2018-11-17T00:00:00"/>
    <x v="137"/>
    <s v="GTBank Naira A/c No 0238127165"/>
    <m/>
    <n v="50"/>
    <m/>
    <m/>
    <s v="Finance Charges"/>
    <x v="2"/>
    <m/>
    <m/>
    <m/>
    <m/>
  </r>
  <r>
    <n v="638"/>
    <d v="2018-11-17T00:00:00"/>
    <x v="137"/>
    <s v="GTBank Naira A/c No 0238127165"/>
    <m/>
    <n v="2.5"/>
    <m/>
    <m/>
    <s v="VAT"/>
    <x v="2"/>
    <m/>
    <m/>
    <m/>
    <m/>
  </r>
  <r>
    <n v="639"/>
    <s v="11/22/2018"/>
    <x v="138"/>
    <s v="GTBank Naira A/c No 0238127165"/>
    <m/>
    <n v="9000"/>
    <m/>
    <m/>
    <s v="Inter Account Transfer"/>
    <x v="3"/>
    <m/>
    <m/>
    <m/>
    <m/>
  </r>
  <r>
    <n v="642"/>
    <s v="11/22/2018"/>
    <x v="138"/>
    <s v="GTBank Naira A/c No 0238127165"/>
    <m/>
    <n v="25000"/>
    <m/>
    <m/>
    <s v="Inter Account Transfer"/>
    <x v="3"/>
    <m/>
    <m/>
    <m/>
    <m/>
  </r>
  <r>
    <n v="643"/>
    <s v="11/22/2018"/>
    <x v="138"/>
    <s v="GTBank Naira A/c No 0238127165"/>
    <m/>
    <n v="5000"/>
    <m/>
    <m/>
    <s v="Telephone &amp; Communication Expenses"/>
    <x v="29"/>
    <m/>
    <m/>
    <m/>
    <m/>
  </r>
  <r>
    <n v="644"/>
    <s v="11/23/2018"/>
    <x v="15"/>
    <s v="GTBank Naira A/c No 0238127165"/>
    <m/>
    <n v="2000"/>
    <m/>
    <m/>
    <s v="Telephone &amp; Communication Expenses"/>
    <x v="29"/>
    <m/>
    <m/>
    <m/>
    <m/>
  </r>
  <r>
    <n v="645"/>
    <s v="11/23/2018"/>
    <x v="15"/>
    <s v="GTBank Naira A/c No 0238127165"/>
    <m/>
    <n v="195000"/>
    <m/>
    <m/>
    <s v="Inter Account Transfer"/>
    <x v="3"/>
    <m/>
    <m/>
    <m/>
    <m/>
  </r>
  <r>
    <n v="646"/>
    <s v="11/23/2018"/>
    <x v="15"/>
    <s v="GTBank Naira A/c No 0238127165"/>
    <m/>
    <n v="185000"/>
    <m/>
    <m/>
    <s v="Inter Account Transfer"/>
    <x v="3"/>
    <m/>
    <m/>
    <m/>
    <m/>
  </r>
  <r>
    <n v="647"/>
    <s v="11/23/2018"/>
    <x v="15"/>
    <s v="GTBank Naira A/c No 0238127165"/>
    <s v="MTHLY SALARY 2018 November"/>
    <n v="2625945.35"/>
    <m/>
    <m/>
    <s v="Salaries &amp; Wages"/>
    <x v="12"/>
    <m/>
    <m/>
    <m/>
    <m/>
  </r>
  <r>
    <n v="648"/>
    <d v="2018-11-23T00:00:00"/>
    <x v="15"/>
    <s v="GTBank Naira A/c No 0238127165"/>
    <m/>
    <n v="315"/>
    <m/>
    <m/>
    <s v="VAT"/>
    <x v="2"/>
    <m/>
    <m/>
    <m/>
    <m/>
  </r>
  <r>
    <n v="649"/>
    <d v="2018-11-24T00:00:00"/>
    <x v="139"/>
    <s v="GTBank Naira A/c No 0238127165"/>
    <m/>
    <n v="800"/>
    <m/>
    <m/>
    <s v="COMMISSION Bulk Payment Charge"/>
    <x v="2"/>
    <m/>
    <m/>
    <m/>
    <m/>
  </r>
  <r>
    <n v="650"/>
    <d v="2018-11-24T00:00:00"/>
    <x v="139"/>
    <s v="GTBank Naira A/c No 0238127165"/>
    <m/>
    <n v="40"/>
    <m/>
    <m/>
    <s v="VAT"/>
    <x v="2"/>
    <m/>
    <m/>
    <m/>
    <m/>
  </r>
  <r>
    <n v="651"/>
    <s v="11/24/2018"/>
    <x v="139"/>
    <s v="GTBank Naira A/c No 0238127165"/>
    <m/>
    <m/>
    <n v="58301"/>
    <m/>
    <s v="Salary Reversal"/>
    <x v="12"/>
    <m/>
    <m/>
    <m/>
    <m/>
  </r>
  <r>
    <n v="654"/>
    <d v="2018-11-24T00:00:00"/>
    <x v="139"/>
    <s v="GTBank Naira A/c No 0238127165"/>
    <m/>
    <m/>
    <n v="50"/>
    <m/>
    <s v="Finance Charges"/>
    <x v="2"/>
    <m/>
    <m/>
    <m/>
    <m/>
  </r>
  <r>
    <n v="655"/>
    <s v="11/25/2018"/>
    <x v="16"/>
    <s v="GTBank Naira A/c No 0238127165"/>
    <s v="MTHLY SALARY 2018 November"/>
    <n v="88001"/>
    <m/>
    <m/>
    <s v="Salaries &amp; Wages"/>
    <x v="12"/>
    <m/>
    <m/>
    <m/>
    <m/>
  </r>
  <r>
    <n v="656"/>
    <d v="2018-11-26T00:00:00"/>
    <x v="140"/>
    <s v="GTBank Naira A/c No 0238127165"/>
    <m/>
    <n v="60000"/>
    <m/>
    <m/>
    <s v="VAT"/>
    <x v="2"/>
    <m/>
    <m/>
    <m/>
    <m/>
  </r>
  <r>
    <n v="657"/>
    <s v="11/28/2018"/>
    <x v="27"/>
    <s v="GTBank Naira A/c No 0238127165"/>
    <m/>
    <n v="11500"/>
    <m/>
    <m/>
    <s v="Inter Account Transfer"/>
    <x v="3"/>
    <m/>
    <m/>
    <m/>
    <m/>
  </r>
  <r>
    <n v="658"/>
    <s v="11/28/2018"/>
    <x v="27"/>
    <s v="GTBank Naira A/c No 0238127165"/>
    <m/>
    <n v="2700"/>
    <m/>
    <m/>
    <s v="Printing &amp; Stationery"/>
    <x v="10"/>
    <m/>
    <m/>
    <m/>
    <m/>
  </r>
  <r>
    <n v="659"/>
    <d v="2018-11-28T00:00:00"/>
    <x v="27"/>
    <s v="GTBank Naira A/c No 0238127165"/>
    <m/>
    <n v="50"/>
    <m/>
    <m/>
    <s v="Finance Charges"/>
    <x v="2"/>
    <m/>
    <m/>
    <m/>
    <m/>
  </r>
  <r>
    <n v="660"/>
    <d v="2018-11-28T00:00:00"/>
    <x v="27"/>
    <s v="GTBank Naira A/c No 0238127165"/>
    <m/>
    <n v="2.5"/>
    <m/>
    <m/>
    <s v="VAT"/>
    <x v="2"/>
    <m/>
    <m/>
    <m/>
    <m/>
  </r>
  <r>
    <n v="661"/>
    <s v="11/28/2018"/>
    <x v="27"/>
    <s v="GTBank Naira A/c No 0238127165"/>
    <m/>
    <n v="11200"/>
    <m/>
    <m/>
    <s v="Inter Account Transfer"/>
    <x v="3"/>
    <m/>
    <m/>
    <m/>
    <m/>
  </r>
  <r>
    <n v="664"/>
    <d v="2018-11-28T00:00:00"/>
    <x v="27"/>
    <s v="GTBank Naira A/c No 0238127165"/>
    <m/>
    <n v="116"/>
    <m/>
    <m/>
    <s v="SMS CHARGE"/>
    <x v="2"/>
    <m/>
    <m/>
    <m/>
    <m/>
  </r>
  <r>
    <n v="665"/>
    <s v="11/28/2018"/>
    <x v="27"/>
    <s v="GTBank Naira A/c No 0238127165"/>
    <m/>
    <n v="5100"/>
    <m/>
    <m/>
    <s v="Inter Account Transfer"/>
    <x v="3"/>
    <m/>
    <m/>
    <m/>
    <m/>
  </r>
  <r>
    <n v="666"/>
    <s v="11/28/2018"/>
    <x v="27"/>
    <s v="GTBank Naira A/c No 0238127165"/>
    <m/>
    <n v="4000"/>
    <m/>
    <m/>
    <s v="Inter Account Transfer"/>
    <x v="3"/>
    <m/>
    <m/>
    <m/>
    <m/>
  </r>
  <r>
    <n v="667"/>
    <s v="11/28/2018"/>
    <x v="27"/>
    <s v="GTBank Naira A/c No 0238127165"/>
    <m/>
    <n v="4700"/>
    <m/>
    <m/>
    <s v="Inter Account Transfer"/>
    <x v="3"/>
    <m/>
    <m/>
    <m/>
    <m/>
  </r>
  <r>
    <n v="668"/>
    <s v="11/29/2018"/>
    <x v="28"/>
    <s v="GTBank Naira A/c No 0238127165"/>
    <m/>
    <n v="386195.91"/>
    <m/>
    <m/>
    <s v="Staff Pension Remittances"/>
    <x v="12"/>
    <m/>
    <m/>
    <m/>
    <m/>
  </r>
  <r>
    <n v="669"/>
    <s v="11/30/2018"/>
    <x v="29"/>
    <s v="GTBank Naira A/c No 0238127165"/>
    <m/>
    <n v="3772.51"/>
    <m/>
    <m/>
    <s v="Finance Charges"/>
    <x v="2"/>
    <m/>
    <m/>
    <m/>
    <m/>
  </r>
  <r>
    <n v="670"/>
    <d v="2018-11-30T00:00:00"/>
    <x v="29"/>
    <s v="GTBank Naira A/c No 0238127165"/>
    <m/>
    <n v="188.63"/>
    <m/>
    <m/>
    <s v="Finance Charges"/>
    <x v="2"/>
    <m/>
    <m/>
    <m/>
    <m/>
  </r>
  <r>
    <n v="671"/>
    <s v="11/30/2018"/>
    <x v="29"/>
    <s v="GTBank Naira A/c No 0238127165"/>
    <m/>
    <n v="60192"/>
    <m/>
    <m/>
    <s v="EXCELLENCE BAMIDELE SAMUEL"/>
    <x v="12"/>
    <m/>
    <m/>
    <m/>
    <m/>
  </r>
  <r>
    <n v="672"/>
    <d v="2018-11-30T00:00:00"/>
    <x v="29"/>
    <s v="GTBank Naira A/c No 0238127165"/>
    <m/>
    <n v="50"/>
    <m/>
    <m/>
    <s v="Finance Charges"/>
    <x v="2"/>
    <m/>
    <m/>
    <m/>
    <m/>
  </r>
  <r>
    <n v="673"/>
    <d v="2018-11-30T00:00:00"/>
    <x v="29"/>
    <s v="GTBank Naira A/c No 0238127165"/>
    <m/>
    <n v="2.5"/>
    <m/>
    <m/>
    <s v="VAT"/>
    <x v="2"/>
    <m/>
    <m/>
    <m/>
    <m/>
  </r>
  <r>
    <n v="676"/>
    <s v="11/30/2018"/>
    <x v="29"/>
    <s v="GTBank Naira A/c No 0238127165"/>
    <m/>
    <n v="13200"/>
    <m/>
    <m/>
    <s v="Inter Account Transfer"/>
    <x v="3"/>
    <m/>
    <m/>
    <m/>
    <m/>
  </r>
  <r>
    <n v="677"/>
    <s v="11/30/2018"/>
    <x v="29"/>
    <s v="GTBank Naira A/c No 0238127165"/>
    <m/>
    <n v="8300"/>
    <m/>
    <m/>
    <s v="Inter Account Transfer"/>
    <x v="3"/>
    <m/>
    <m/>
    <m/>
    <m/>
  </r>
  <r>
    <n v="678"/>
    <s v="11/30/2018"/>
    <x v="29"/>
    <s v="GTBank Naira A/c No 0238127165"/>
    <m/>
    <n v="10000"/>
    <m/>
    <m/>
    <s v="Inter Account Transfer"/>
    <x v="3"/>
    <m/>
    <m/>
    <m/>
    <m/>
  </r>
  <r>
    <n v="679"/>
    <s v="11/30/2018"/>
    <x v="29"/>
    <s v="GTBank Naira A/c No 0238127165"/>
    <m/>
    <n v="6000"/>
    <m/>
    <m/>
    <s v="DONE IFECO JB CHIBES GLOBAL NIG LTD"/>
    <x v="1"/>
    <m/>
    <m/>
    <m/>
    <m/>
  </r>
  <r>
    <n v="680"/>
    <d v="2018-11-30T00:00:00"/>
    <x v="29"/>
    <s v="GTBank Naira A/c No 0238127165"/>
    <m/>
    <n v="50"/>
    <m/>
    <m/>
    <s v="Finance Charges"/>
    <x v="2"/>
    <m/>
    <m/>
    <m/>
    <m/>
  </r>
  <r>
    <n v="681"/>
    <d v="2018-11-30T00:00:00"/>
    <x v="29"/>
    <s v="GTBank Naira A/c No 0238127165"/>
    <m/>
    <n v="2.5"/>
    <m/>
    <m/>
    <s v="VAT"/>
    <x v="2"/>
    <m/>
    <m/>
    <m/>
    <m/>
  </r>
  <r>
    <n v="682"/>
    <s v="11/30/2018"/>
    <x v="29"/>
    <s v="GTBank Naira A/c No 0238127165"/>
    <m/>
    <n v="10000"/>
    <m/>
    <m/>
    <s v="Honorarium for attending Board meeting"/>
    <x v="24"/>
    <m/>
    <m/>
    <m/>
    <m/>
  </r>
  <r>
    <n v="685"/>
    <d v="2018-01-12T00:00:00"/>
    <x v="141"/>
    <s v="GTBank Naira A/c No 0238127165"/>
    <m/>
    <n v="10000"/>
    <m/>
    <m/>
    <s v="Honorarium for attending Board meeting"/>
    <x v="24"/>
    <m/>
    <m/>
    <m/>
    <m/>
  </r>
  <r>
    <n v="686"/>
    <d v="2018-01-12T00:00:00"/>
    <x v="141"/>
    <s v="GTBank Naira A/c No 0238127165"/>
    <m/>
    <n v="10000"/>
    <m/>
    <m/>
    <s v="Honorarium for attending Board meeting"/>
    <x v="24"/>
    <m/>
    <m/>
    <m/>
    <m/>
  </r>
  <r>
    <n v="687"/>
    <d v="2018-06-12T00:00:00"/>
    <x v="4"/>
    <s v="GTBank Naira A/c No 0238127165"/>
    <m/>
    <n v="3000"/>
    <m/>
    <m/>
    <s v="Inter Account Transfer"/>
    <x v="3"/>
    <m/>
    <m/>
    <m/>
    <m/>
  </r>
  <r>
    <n v="688"/>
    <d v="2018-06-12T00:00:00"/>
    <x v="4"/>
    <s v="GTBank Naira A/c No 0238127165"/>
    <m/>
    <n v="72000"/>
    <m/>
    <m/>
    <s v="Printing &amp; Stationery"/>
    <x v="10"/>
    <m/>
    <m/>
    <m/>
    <m/>
  </r>
  <r>
    <n v="689"/>
    <d v="2018-12-06T00:00:00"/>
    <x v="78"/>
    <s v="GTBank Naira A/c No 0238127165"/>
    <m/>
    <n v="50"/>
    <m/>
    <m/>
    <s v="Finance Charges"/>
    <x v="2"/>
    <m/>
    <m/>
    <m/>
    <m/>
  </r>
  <r>
    <n v="690"/>
    <d v="2018-12-06T00:00:00"/>
    <x v="78"/>
    <s v="GTBank Naira A/c No 0238127165"/>
    <m/>
    <n v="2.5"/>
    <m/>
    <m/>
    <s v="VAT"/>
    <x v="2"/>
    <m/>
    <m/>
    <m/>
    <m/>
  </r>
  <r>
    <n v="691"/>
    <d v="2018-06-12T00:00:00"/>
    <x v="4"/>
    <s v="GTBank Naira A/c No 0238127165"/>
    <m/>
    <n v="109186.11"/>
    <m/>
    <m/>
    <s v="ABIMBOLA TOMISIN ADENIYI"/>
    <x v="12"/>
    <m/>
    <m/>
    <m/>
    <m/>
  </r>
  <r>
    <n v="694"/>
    <d v="2018-06-12T00:00:00"/>
    <x v="4"/>
    <s v="GTBank Naira A/c No 0238127165"/>
    <m/>
    <n v="30000"/>
    <m/>
    <m/>
    <s v="Office Electricity Bill"/>
    <x v="1"/>
    <m/>
    <m/>
    <m/>
    <m/>
  </r>
  <r>
    <n v="695"/>
    <d v="2018-12-06T00:00:00"/>
    <x v="78"/>
    <s v="GTBank Naira A/c No 0238127165"/>
    <m/>
    <n v="50"/>
    <m/>
    <m/>
    <s v="Finance Charges"/>
    <x v="2"/>
    <m/>
    <m/>
    <m/>
    <m/>
  </r>
  <r>
    <n v="696"/>
    <d v="2018-12-06T00:00:00"/>
    <x v="78"/>
    <s v="GTBank Naira A/c No 0238127165"/>
    <m/>
    <n v="2.5"/>
    <m/>
    <m/>
    <s v="VAT"/>
    <x v="2"/>
    <m/>
    <m/>
    <m/>
    <m/>
  </r>
  <r>
    <n v="697"/>
    <d v="2018-12-06T00:00:00"/>
    <x v="78"/>
    <s v="GTBank Naira A/c No 0238127165"/>
    <m/>
    <n v="40400"/>
    <m/>
    <m/>
    <s v="VAT"/>
    <x v="2"/>
    <m/>
    <m/>
    <m/>
    <m/>
  </r>
  <r>
    <n v="698"/>
    <d v="2018-12-06T00:00:00"/>
    <x v="78"/>
    <s v="GTBank Naira A/c No 0238127165"/>
    <m/>
    <n v="50"/>
    <m/>
    <m/>
    <s v="VAT"/>
    <x v="2"/>
    <m/>
    <m/>
    <m/>
    <m/>
  </r>
  <r>
    <n v="699"/>
    <d v="2018-12-06T00:00:00"/>
    <x v="78"/>
    <s v="GTBank Naira A/c No 0238127165"/>
    <m/>
    <n v="2.5"/>
    <m/>
    <m/>
    <s v="VAT"/>
    <x v="2"/>
    <m/>
    <m/>
    <m/>
    <m/>
  </r>
  <r>
    <n v="700"/>
    <d v="2018-06-12T00:00:00"/>
    <x v="4"/>
    <s v="GTBank Naira A/c No 0238127165"/>
    <m/>
    <m/>
    <n v="60750"/>
    <m/>
    <s v="Jummia"/>
    <x v="34"/>
    <m/>
    <m/>
    <m/>
    <m/>
  </r>
  <r>
    <n v="703"/>
    <d v="2018-06-12T00:00:00"/>
    <x v="4"/>
    <s v="GTBank Naira A/c No 0238127165"/>
    <m/>
    <n v="50"/>
    <m/>
    <m/>
    <s v="Commission"/>
    <x v="2"/>
    <m/>
    <m/>
    <m/>
    <m/>
  </r>
  <r>
    <n v="704"/>
    <d v="2018-08-12T00:00:00"/>
    <x v="142"/>
    <s v="GTBank Naira A/c No 0238127165"/>
    <m/>
    <n v="4200"/>
    <m/>
    <m/>
    <s v="OJO  SYLVESTER TOLULOPE "/>
    <x v="22"/>
    <m/>
    <m/>
    <m/>
    <m/>
  </r>
  <r>
    <n v="705"/>
    <d v="2018-08-12T00:00:00"/>
    <x v="142"/>
    <s v="GTBank Naira A/c No 0238127165"/>
    <m/>
    <n v="25000"/>
    <m/>
    <m/>
    <s v="Inter Account Transfer"/>
    <x v="3"/>
    <m/>
    <m/>
    <m/>
    <m/>
  </r>
  <r>
    <n v="706"/>
    <d v="2018-08-12T00:00:00"/>
    <x v="142"/>
    <s v="GTBank Naira A/c No 0238127165"/>
    <m/>
    <n v="40400"/>
    <m/>
    <m/>
    <s v="Inter Account Transfer"/>
    <x v="3"/>
    <m/>
    <m/>
    <m/>
    <m/>
  </r>
  <r>
    <n v="707"/>
    <d v="2018-10-12T00:00:00"/>
    <x v="128"/>
    <s v="GTBank Naira A/c No 0238127165"/>
    <m/>
    <n v="16500"/>
    <m/>
    <m/>
    <s v="FEDERAL INLAND REVENUE SERVICE"/>
    <x v="15"/>
    <m/>
    <m/>
    <m/>
    <m/>
  </r>
  <r>
    <n v="708"/>
    <s v="12/13/2018"/>
    <x v="143"/>
    <s v="GTBank Naira A/c No 0238127165"/>
    <m/>
    <n v="141750"/>
    <m/>
    <m/>
    <s v="Staff Training Expenses"/>
    <x v="11"/>
    <m/>
    <m/>
    <m/>
    <m/>
  </r>
  <r>
    <n v="709"/>
    <s v="12/13/2018"/>
    <x v="143"/>
    <s v="GTBank Naira A/c No 0238127165"/>
    <m/>
    <n v="70000"/>
    <m/>
    <m/>
    <s v="Printing &amp; Stationery"/>
    <x v="10"/>
    <m/>
    <m/>
    <m/>
    <m/>
  </r>
  <r>
    <n v="710"/>
    <s v="12/13/2018"/>
    <x v="143"/>
    <s v="GTBank Naira A/c No 0238127165"/>
    <m/>
    <n v="12300"/>
    <m/>
    <m/>
    <s v="DONE IFECO JB CHIBES GLOBAL NIG LTD"/>
    <x v="1"/>
    <m/>
    <m/>
    <m/>
    <m/>
  </r>
  <r>
    <n v="713"/>
    <d v="2018-12-13T00:00:00"/>
    <x v="143"/>
    <s v="GTBank Naira A/c No 0238127165"/>
    <m/>
    <n v="50"/>
    <m/>
    <m/>
    <s v="Finance Charges"/>
    <x v="2"/>
    <m/>
    <m/>
    <m/>
    <m/>
  </r>
  <r>
    <n v="714"/>
    <d v="2018-12-13T00:00:00"/>
    <x v="143"/>
    <s v="GTBank Naira A/c No 0238127165"/>
    <m/>
    <n v="2.5"/>
    <m/>
    <m/>
    <s v="VAT"/>
    <x v="2"/>
    <m/>
    <m/>
    <m/>
    <m/>
  </r>
  <r>
    <n v="715"/>
    <s v="12/13/2018"/>
    <x v="143"/>
    <s v="GTBank Naira A/c No 0238127165"/>
    <m/>
    <n v="1500"/>
    <m/>
    <m/>
    <s v="Inter Account Transfer"/>
    <x v="3"/>
    <m/>
    <m/>
    <m/>
    <m/>
  </r>
  <r>
    <n v="716"/>
    <s v="12/17/2018"/>
    <x v="144"/>
    <s v="GTBank Naira A/c No 0238127165"/>
    <m/>
    <n v="35100"/>
    <m/>
    <m/>
    <s v="FEDERAL INLAND REVENUE SERVICE"/>
    <x v="15"/>
    <m/>
    <m/>
    <m/>
    <m/>
  </r>
  <r>
    <n v="717"/>
    <s v="12/19/2018"/>
    <x v="145"/>
    <s v="GTBank Naira A/c No 0238127165"/>
    <m/>
    <n v="9800"/>
    <m/>
    <m/>
    <s v="Inter Account Transfer"/>
    <x v="3"/>
    <m/>
    <m/>
    <m/>
    <m/>
  </r>
  <r>
    <n v="718"/>
    <s v="12/19/2018"/>
    <x v="145"/>
    <s v="GTBank Naira A/c No 0238127165"/>
    <m/>
    <n v="14000"/>
    <m/>
    <m/>
    <s v="Printing &amp; Stationery"/>
    <x v="10"/>
    <m/>
    <m/>
    <m/>
    <m/>
  </r>
  <r>
    <n v="719"/>
    <d v="2018-12-19T00:00:00"/>
    <x v="145"/>
    <s v="GTBank Naira A/c No 0238127165"/>
    <m/>
    <n v="50"/>
    <m/>
    <m/>
    <s v="Finance Charges"/>
    <x v="2"/>
    <m/>
    <m/>
    <m/>
    <m/>
  </r>
  <r>
    <n v="721"/>
    <d v="2018-12-19T00:00:00"/>
    <x v="145"/>
    <s v="GTBank Naira A/c No 0238127165"/>
    <m/>
    <n v="2.5"/>
    <m/>
    <m/>
    <s v="VAT"/>
    <x v="2"/>
    <m/>
    <m/>
    <m/>
    <m/>
  </r>
  <r>
    <n v="722"/>
    <s v="12/19/2018"/>
    <x v="145"/>
    <s v="GTBank Naira A/c No 0238127165"/>
    <m/>
    <n v="5000"/>
    <m/>
    <m/>
    <s v="Telephone &amp; Communication Expenses"/>
    <x v="29"/>
    <m/>
    <m/>
    <m/>
    <m/>
  </r>
  <r>
    <n v="723"/>
    <s v="12/19/2018"/>
    <x v="145"/>
    <s v="GTBank Naira A/c No 0238127165"/>
    <s v="MTHLY SALARY 2018 December"/>
    <n v="2882756.35"/>
    <m/>
    <m/>
    <s v="Salaries &amp; Wages"/>
    <x v="12"/>
    <m/>
    <m/>
    <m/>
    <m/>
  </r>
  <r>
    <n v="724"/>
    <d v="2018-12-19T00:00:00"/>
    <x v="145"/>
    <s v="GTBank Naira A/c No 0238127165"/>
    <m/>
    <n v="315"/>
    <m/>
    <m/>
    <s v="VAT"/>
    <x v="2"/>
    <m/>
    <m/>
    <m/>
    <m/>
  </r>
  <r>
    <n v="725"/>
    <d v="2018-12-19T00:00:00"/>
    <x v="145"/>
    <s v="GTBank Naira A/c No 0238127165"/>
    <m/>
    <n v="1050"/>
    <m/>
    <m/>
    <s v="COMMISSION Bulk Payment Charge"/>
    <x v="2"/>
    <m/>
    <m/>
    <m/>
    <m/>
  </r>
  <r>
    <n v="726"/>
    <d v="2018-12-19T00:00:00"/>
    <x v="145"/>
    <s v="GTBank Naira A/c No 0238127165"/>
    <m/>
    <n v="52.5"/>
    <m/>
    <m/>
    <s v="VAT"/>
    <x v="2"/>
    <m/>
    <m/>
    <m/>
    <m/>
  </r>
  <r>
    <n v="727"/>
    <s v="12/21/2018"/>
    <x v="146"/>
    <s v="GTBank Naira A/c No 0238127165"/>
    <m/>
    <n v="386195.91"/>
    <m/>
    <m/>
    <s v="Staff Pension Remittances"/>
    <x v="12"/>
    <m/>
    <m/>
    <m/>
    <m/>
  </r>
  <r>
    <n v="728"/>
    <s v="12/31/2018"/>
    <x v="147"/>
    <s v="GTBank Naira A/c No 0238127165"/>
    <m/>
    <n v="3915.58"/>
    <m/>
    <m/>
    <s v="Finance Charges"/>
    <x v="2"/>
    <m/>
    <m/>
    <m/>
    <m/>
  </r>
  <r>
    <n v="729"/>
    <d v="2018-12-31T00:00:00"/>
    <x v="147"/>
    <s v="GTBank Naira A/c No 0238127165"/>
    <m/>
    <n v="195.78"/>
    <m/>
    <m/>
    <s v="Finance Charges"/>
    <x v="2"/>
    <m/>
    <m/>
    <m/>
    <m/>
  </r>
  <r>
    <n v="731"/>
    <d v="2018-01-01T00:00:00"/>
    <x v="32"/>
    <s v="GTB - Master Card 0244095070"/>
    <s v="Opening Balance"/>
    <m/>
    <n v="148.35000000000582"/>
    <m/>
    <s v="Opening Balance"/>
    <x v="0"/>
    <m/>
    <m/>
    <m/>
    <m/>
  </r>
  <r>
    <n v="732"/>
    <d v="2018-05-01T00:00:00"/>
    <x v="35"/>
    <s v="GTB - Master Card 0244095070"/>
    <s v="Jan 2018 Procurement"/>
    <m/>
    <n v="238000"/>
    <m/>
    <s v="Jan 2018 Procurement"/>
    <x v="8"/>
    <m/>
    <m/>
    <m/>
    <m/>
  </r>
  <r>
    <n v="733"/>
    <d v="2018-05-01T00:00:00"/>
    <x v="35"/>
    <s v="GTB - Master Card 0244095070"/>
    <s v="ATM/POS ACOUNT TO ACCOUNT TRANSFER"/>
    <n v="96000"/>
    <m/>
    <m/>
    <s v="Inter Account Transfer"/>
    <x v="3"/>
    <m/>
    <m/>
    <m/>
    <m/>
  </r>
  <r>
    <n v="734"/>
    <d v="2018-01-05T00:00:00"/>
    <x v="148"/>
    <s v="GTB - Master Card 0244095070"/>
    <m/>
    <n v="50"/>
    <m/>
    <m/>
    <s v="Finance Charges"/>
    <x v="2"/>
    <m/>
    <m/>
    <m/>
    <m/>
  </r>
  <r>
    <n v="735"/>
    <d v="2018-08-01T00:00:00"/>
    <x v="100"/>
    <s v="GTB - Master Card 0244095070"/>
    <s v="ATM/POS ACOUNT TO ACCOUNT TRANSFER"/>
    <n v="96000"/>
    <m/>
    <m/>
    <s v="Inter Account Transfer"/>
    <x v="3"/>
    <m/>
    <m/>
    <m/>
    <m/>
  </r>
  <r>
    <n v="736"/>
    <d v="2018-01-08T00:00:00"/>
    <x v="99"/>
    <s v="GTB - Master Card 0244095070"/>
    <m/>
    <n v="50"/>
    <m/>
    <m/>
    <s v="Finance Charges"/>
    <x v="2"/>
    <m/>
    <m/>
    <m/>
    <m/>
  </r>
  <r>
    <n v="737"/>
    <d v="2018-08-01T00:00:00"/>
    <x v="100"/>
    <s v="GTB - Master Card 0244095070"/>
    <s v="POS/WEB PURCHASE TRANSACTION"/>
    <n v="21440"/>
    <m/>
    <m/>
    <s v="Sahad Stores"/>
    <x v="35"/>
    <m/>
    <m/>
    <m/>
    <m/>
  </r>
  <r>
    <n v="738"/>
    <d v="2018-09-01T00:00:00"/>
    <x v="149"/>
    <s v="GTB - Master Card 0244095070"/>
    <s v="POS/WEB PURCHASE TRANSACTION"/>
    <n v="1500"/>
    <m/>
    <m/>
    <s v="TOPMED Pharmaceuticals"/>
    <x v="36"/>
    <m/>
    <m/>
    <m/>
    <m/>
  </r>
  <r>
    <n v="739"/>
    <d v="2018-10-01T00:00:00"/>
    <x v="150"/>
    <s v="GTB - Master Card 0244095070"/>
    <s v="POS/WEB PURCHASE TRANSACTION"/>
    <n v="3900"/>
    <m/>
    <m/>
    <s v="Sahad Stores"/>
    <x v="35"/>
    <m/>
    <m/>
    <m/>
    <m/>
  </r>
  <r>
    <n v="740"/>
    <d v="2018-10-01T00:00:00"/>
    <x v="150"/>
    <s v="GTB - Master Card 0244095070"/>
    <s v="POS/WEB PURCHASE TRANSACTION"/>
    <n v="1600"/>
    <m/>
    <m/>
    <s v="Sahad Stores"/>
    <x v="35"/>
    <m/>
    <m/>
    <m/>
    <m/>
  </r>
  <r>
    <n v="741"/>
    <s v="1/15/2018"/>
    <x v="36"/>
    <s v="GTB - Master Card 0244095070"/>
    <s v="POS/WEB PURCHASE TRANSACTION"/>
    <n v="1000"/>
    <m/>
    <m/>
    <s v="TOPMED Pharmaceuticals"/>
    <x v="36"/>
    <m/>
    <m/>
    <m/>
    <m/>
  </r>
  <r>
    <n v="742"/>
    <s v="1/16/2018"/>
    <x v="37"/>
    <s v="GTB - Master Card 0244095070"/>
    <s v="POS/WEB PURCHASE TRANSACTION"/>
    <n v="1500"/>
    <m/>
    <m/>
    <s v="TOPMED Pharmaceuticals"/>
    <x v="36"/>
    <m/>
    <m/>
    <m/>
    <m/>
  </r>
  <r>
    <n v="743"/>
    <s v="1/22/2018"/>
    <x v="151"/>
    <s v="GTB - Master Card 0244095070"/>
    <s v="POS/WEB PURCHASE TRANSACTION"/>
    <n v="1000"/>
    <m/>
    <m/>
    <s v="TOPMED Pharmaceuticals"/>
    <x v="36"/>
    <m/>
    <m/>
    <m/>
    <m/>
  </r>
  <r>
    <n v="744"/>
    <s v="1/24/2018"/>
    <x v="152"/>
    <s v="GTB - Master Card 0244095070"/>
    <s v="POS/WEB PURCHASE TRANSACTION"/>
    <n v="1500"/>
    <m/>
    <m/>
    <s v="TOPMED Pharmaceuticals"/>
    <x v="36"/>
    <m/>
    <m/>
    <m/>
    <m/>
  </r>
  <r>
    <n v="745"/>
    <s v="1/26/2018"/>
    <x v="153"/>
    <s v="GTB - Master Card 0244095070"/>
    <m/>
    <n v="9000"/>
    <m/>
    <m/>
    <s v="CASH WITHDRAWAL "/>
    <x v="37"/>
    <m/>
    <m/>
    <m/>
    <m/>
  </r>
  <r>
    <n v="746"/>
    <s v="1/27/2018"/>
    <x v="38"/>
    <s v="GTB - Master Card 0244095070"/>
    <s v="POS/WEB PURCHASE TRANSACTION"/>
    <n v="1100"/>
    <m/>
    <m/>
    <s v="TOPMED Pharmaceuticals"/>
    <x v="36"/>
    <m/>
    <m/>
    <m/>
    <m/>
  </r>
  <r>
    <n v="747"/>
    <s v="1/27/2018"/>
    <x v="38"/>
    <s v="GTB - Master Card 0244095070"/>
    <s v="ATM/POS ACOUNT TO ACCOUNT TRANSFER"/>
    <m/>
    <n v="40000"/>
    <m/>
    <s v="Inter Account Transfer"/>
    <x v="3"/>
    <m/>
    <m/>
    <m/>
    <m/>
  </r>
  <r>
    <n v="748"/>
    <s v="1/27/2018"/>
    <x v="38"/>
    <s v="GTB - Master Card 0244095070"/>
    <s v="ATM/POS ACOUNT TO ACCOUNT TRANSFER"/>
    <m/>
    <n v="13000"/>
    <m/>
    <s v="Inter Account Transfer"/>
    <x v="3"/>
    <m/>
    <m/>
    <m/>
    <m/>
  </r>
  <r>
    <n v="749"/>
    <s v="1/27/2018"/>
    <x v="38"/>
    <s v="GTB - Master Card 0244095070"/>
    <s v="POS/WEB PURCHASE TRANSACTION"/>
    <n v="8229.65"/>
    <m/>
    <m/>
    <s v="Shoprite Silverbird"/>
    <x v="32"/>
    <m/>
    <m/>
    <m/>
    <m/>
  </r>
  <r>
    <n v="752"/>
    <s v="1/27/2018"/>
    <x v="38"/>
    <s v="GTB - Master Card 0244095070"/>
    <s v="POS/WEB PURCHASE TRANSACTION"/>
    <n v="6300"/>
    <m/>
    <m/>
    <s v="FOOD CONCEPTS PLC - CHICKEN REPUBLIC"/>
    <x v="32"/>
    <m/>
    <m/>
    <m/>
    <m/>
  </r>
  <r>
    <n v="753"/>
    <s v="1/27/2018"/>
    <x v="38"/>
    <s v="GTB - Master Card 0244095070"/>
    <s v="POS/WEB PURCHASE TRANSACTION"/>
    <n v="4500"/>
    <m/>
    <m/>
    <s v="PRIXAIR CATERING SERVICE"/>
    <x v="32"/>
    <m/>
    <m/>
    <m/>
    <m/>
  </r>
  <r>
    <n v="754"/>
    <s v="1/29/2018"/>
    <x v="39"/>
    <s v="GTB - Master Card 0244095070"/>
    <s v="POS/WEB PURCHASE TRANSACTION"/>
    <n v="3300"/>
    <m/>
    <m/>
    <s v="Sahad Stores"/>
    <x v="35"/>
    <m/>
    <m/>
    <m/>
    <m/>
  </r>
  <r>
    <n v="755"/>
    <s v="1/30/2018"/>
    <x v="154"/>
    <s v="GTB - Master Card 0244095070"/>
    <s v="POS/WEB PURCHASE TRANSACTION"/>
    <n v="1500"/>
    <m/>
    <m/>
    <s v="TOPMED Pharmaceuticals"/>
    <x v="36"/>
    <m/>
    <m/>
    <m/>
    <m/>
  </r>
  <r>
    <n v="756"/>
    <s v="1/31/2018"/>
    <x v="40"/>
    <s v="GTB - Master Card 0244095070"/>
    <s v="POS/WEB PURCHASE TRANSACTION"/>
    <n v="3300"/>
    <m/>
    <m/>
    <s v="CELEBRATIONS CARDS"/>
    <x v="7"/>
    <m/>
    <m/>
    <m/>
    <m/>
  </r>
  <r>
    <n v="757"/>
    <s v="1/31/2018"/>
    <x v="40"/>
    <s v="GTB - Master Card 0244095070"/>
    <s v="POS/WEB PURCHASE TRANSACTION"/>
    <n v="1999.99"/>
    <m/>
    <m/>
    <s v="RETAIL SUPERMARKETS"/>
    <x v="32"/>
    <m/>
    <m/>
    <m/>
    <m/>
  </r>
  <r>
    <n v="758"/>
    <d v="2018-05-02T00:00:00"/>
    <x v="155"/>
    <s v="GTB - Master Card 0244095070"/>
    <s v="POS/WEB PURCHASE TRANSACTION"/>
    <n v="13250"/>
    <m/>
    <m/>
    <s v="NEXT CASH AND CARRY"/>
    <x v="32"/>
    <m/>
    <m/>
    <m/>
    <m/>
  </r>
  <r>
    <n v="759"/>
    <d v="2018-05-02T00:00:00"/>
    <x v="155"/>
    <s v="GTB - Master Card 0244095070"/>
    <s v="POS/WEB PURCHASE TRANSACTION"/>
    <n v="1000"/>
    <m/>
    <m/>
    <s v="TOPMED Pharmaceuticals"/>
    <x v="36"/>
    <m/>
    <m/>
    <m/>
    <m/>
  </r>
  <r>
    <n v="760"/>
    <d v="2018-07-02T00:00:00"/>
    <x v="45"/>
    <s v="GTB - Master Card 0244095070"/>
    <s v="POS/WEB PURCHASE TRANSACTION"/>
    <n v="1500"/>
    <m/>
    <m/>
    <s v="TOPMED Pharmaceuticals"/>
    <x v="36"/>
    <m/>
    <m/>
    <m/>
    <m/>
  </r>
  <r>
    <n v="761"/>
    <d v="2018-07-02T00:00:00"/>
    <x v="45"/>
    <s v="GTB - Master Card 0244095070"/>
    <s v="ATM/POS ACOUNT TO ACCOUNT TRANSFER"/>
    <m/>
    <n v="46400"/>
    <m/>
    <s v="Inter Account Transfer"/>
    <x v="3"/>
    <m/>
    <m/>
    <m/>
    <m/>
  </r>
  <r>
    <n v="762"/>
    <d v="2018-07-02T00:00:00"/>
    <x v="45"/>
    <s v="GTB - Master Card 0244095070"/>
    <m/>
    <n v="19000"/>
    <m/>
    <m/>
    <s v="CASH WITHDRAWAL "/>
    <x v="37"/>
    <m/>
    <m/>
    <m/>
    <m/>
  </r>
  <r>
    <n v="763"/>
    <d v="2018-07-02T00:00:00"/>
    <x v="45"/>
    <s v="GTB - Master Card 0244095070"/>
    <m/>
    <n v="11000"/>
    <m/>
    <m/>
    <s v="CASH WITHDRAWAL "/>
    <x v="37"/>
    <m/>
    <m/>
    <m/>
    <m/>
  </r>
  <r>
    <n v="764"/>
    <d v="2018-09-02T00:00:00"/>
    <x v="9"/>
    <s v="GTB - Master Card 0244095070"/>
    <s v="POS/WEB PURCHASE TRANSACTION"/>
    <n v="14650"/>
    <m/>
    <m/>
    <s v="Sahad Stores"/>
    <x v="35"/>
    <m/>
    <m/>
    <m/>
    <m/>
  </r>
  <r>
    <n v="765"/>
    <d v="2018-09-02T00:00:00"/>
    <x v="9"/>
    <s v="GTB - Master Card 0244095070"/>
    <s v="POS/WEB PURCHASE TRANSACTION"/>
    <n v="2800"/>
    <m/>
    <m/>
    <s v="Sahad Stores"/>
    <x v="35"/>
    <m/>
    <m/>
    <m/>
    <m/>
  </r>
  <r>
    <n v="766"/>
    <d v="2018-12-02T00:00:00"/>
    <x v="156"/>
    <s v="GTB - Master Card 0244095070"/>
    <s v="POS/WEB PURCHASE TRANSACTION"/>
    <n v="1500"/>
    <m/>
    <m/>
    <s v="TOPMED Pharmaceuticals"/>
    <x v="36"/>
    <m/>
    <m/>
    <m/>
    <m/>
  </r>
  <r>
    <n v="767"/>
    <s v="2/14/2018"/>
    <x v="157"/>
    <s v="GTB - Master Card 0244095070"/>
    <s v="POS/WEB PURCHASE TRANSACTION"/>
    <n v="900"/>
    <m/>
    <m/>
    <s v="TOPMED Pharmaceuticals"/>
    <x v="36"/>
    <m/>
    <m/>
    <m/>
    <m/>
  </r>
  <r>
    <n v="768"/>
    <s v="2/15/2018"/>
    <x v="1"/>
    <s v="GTB - Master Card 0244095070"/>
    <s v="POS/WEB PURCHASE TRANSACTION"/>
    <n v="212.71"/>
    <m/>
    <m/>
    <s v="PAYSTACK PAYMENTS"/>
    <x v="38"/>
    <m/>
    <m/>
    <m/>
    <m/>
  </r>
  <r>
    <n v="769"/>
    <s v="2/16/2018"/>
    <x v="46"/>
    <s v="GTB - Master Card 0244095070"/>
    <m/>
    <m/>
    <n v="32000"/>
    <m/>
    <s v="Inter Account Transfer"/>
    <x v="3"/>
    <m/>
    <m/>
    <m/>
    <m/>
  </r>
  <r>
    <n v="770"/>
    <s v="2/16/2018"/>
    <x v="46"/>
    <s v="GTB - Master Card 0244095070"/>
    <s v="POS/WEB PURCHASE TRANSACTION"/>
    <n v="6499.42"/>
    <m/>
    <m/>
    <s v="RETAIL SUPERMARKETS"/>
    <x v="32"/>
    <m/>
    <m/>
    <m/>
    <m/>
  </r>
  <r>
    <n v="771"/>
    <s v="2/17/2018"/>
    <x v="47"/>
    <s v="GTB - Master Card 0244095070"/>
    <m/>
    <n v="8500"/>
    <m/>
    <m/>
    <s v="CASH WITHDRAWAL "/>
    <x v="37"/>
    <m/>
    <m/>
    <m/>
    <m/>
  </r>
  <r>
    <n v="772"/>
    <s v="2/17/2018"/>
    <x v="47"/>
    <s v="GTB - Master Card 0244095070"/>
    <s v="POS/WEB PURCHASE TRANSACTION"/>
    <n v="1000"/>
    <m/>
    <m/>
    <s v="TOPMED Pharmaceuticals"/>
    <x v="36"/>
    <m/>
    <m/>
    <m/>
    <m/>
  </r>
  <r>
    <n v="773"/>
    <s v="2/17/2018"/>
    <x v="47"/>
    <s v="GTB - Master Card 0244095070"/>
    <m/>
    <n v="1500"/>
    <m/>
    <m/>
    <s v="CASH WITHDRAWAL "/>
    <x v="37"/>
    <m/>
    <m/>
    <m/>
    <m/>
  </r>
  <r>
    <n v="774"/>
    <s v="2/17/2018"/>
    <x v="47"/>
    <s v="GTB - Master Card 0244095070"/>
    <s v="POS/WEB PURCHASE TRANSACTION"/>
    <n v="3800"/>
    <m/>
    <m/>
    <s v="CHICKEN REPUBLIC"/>
    <x v="32"/>
    <m/>
    <m/>
    <m/>
    <m/>
  </r>
  <r>
    <n v="775"/>
    <s v="2/17/2018"/>
    <x v="47"/>
    <s v="GTB - Master Card 0244095070"/>
    <s v="POS/WEB PURCHASE TRANSACTION"/>
    <n v="4000"/>
    <m/>
    <m/>
    <s v="PRIXAIR CATERING SERVICE"/>
    <x v="32"/>
    <m/>
    <m/>
    <m/>
    <m/>
  </r>
  <r>
    <n v="776"/>
    <s v="2/20/2018"/>
    <x v="158"/>
    <s v="GTB - Master Card 0244095070"/>
    <s v="POS/WEB PURCHASE TRANSACTION"/>
    <n v="1500"/>
    <m/>
    <m/>
    <s v="TOPMED Pharmaceuticals"/>
    <x v="36"/>
    <m/>
    <m/>
    <m/>
    <m/>
  </r>
  <r>
    <n v="777"/>
    <s v="2/21/2018"/>
    <x v="2"/>
    <s v="GTB - Master Card 0244095070"/>
    <s v="POS/WEB PURCHASE TRANSACTION"/>
    <n v="5400"/>
    <m/>
    <m/>
    <s v="Sahad Stores"/>
    <x v="35"/>
    <m/>
    <m/>
    <m/>
    <m/>
  </r>
  <r>
    <n v="778"/>
    <s v="2/23/2018"/>
    <x v="159"/>
    <s v="GTB - Master Card 0244095070"/>
    <s v="POS/WEB PURCHASE TRANSACTION"/>
    <n v="1500"/>
    <m/>
    <m/>
    <s v="TOPMED Pharmaceuticals"/>
    <x v="36"/>
    <m/>
    <m/>
    <m/>
    <m/>
  </r>
  <r>
    <n v="779"/>
    <s v="2/23/2018"/>
    <x v="159"/>
    <s v="GTB - Master Card 0244095070"/>
    <m/>
    <n v="4000"/>
    <m/>
    <m/>
    <s v="CASH WITHDRAWAL "/>
    <x v="37"/>
    <m/>
    <m/>
    <m/>
    <m/>
  </r>
  <r>
    <n v="780"/>
    <s v="2/25/2018"/>
    <x v="48"/>
    <s v="GTB - Master Card 0244095070"/>
    <m/>
    <m/>
    <n v="24800"/>
    <m/>
    <s v="Inter Account Transfer"/>
    <x v="3"/>
    <m/>
    <m/>
    <m/>
    <m/>
  </r>
  <r>
    <n v="781"/>
    <s v="2/26/2018"/>
    <x v="160"/>
    <s v="GTB - Master Card 0244095070"/>
    <s v="Cash Withdrawal"/>
    <n v="14300"/>
    <m/>
    <m/>
    <s v="CASH WITHDRAWAL "/>
    <x v="37"/>
    <m/>
    <m/>
    <m/>
    <m/>
  </r>
  <r>
    <n v="782"/>
    <s v="2/28/2018"/>
    <x v="50"/>
    <s v="GTB - Master Card 0244095070"/>
    <s v="POS/WEB PURCHASE TRANSACTION"/>
    <n v="2000"/>
    <m/>
    <m/>
    <s v="TOPMED Pharmaceuticals"/>
    <x v="36"/>
    <m/>
    <m/>
    <m/>
    <m/>
  </r>
  <r>
    <n v="783"/>
    <s v="2/28/2018"/>
    <x v="50"/>
    <s v="GTB - Master Card 0244095070"/>
    <m/>
    <m/>
    <n v="30000"/>
    <m/>
    <s v="Inter Account Transfer"/>
    <x v="3"/>
    <m/>
    <m/>
    <m/>
    <m/>
  </r>
  <r>
    <n v="784"/>
    <s v="2/28/2018"/>
    <x v="50"/>
    <s v="GTB - Master Card 0244095070"/>
    <s v="POS/WEB PURCHASE TRANSACTION"/>
    <n v="26250"/>
    <m/>
    <m/>
    <s v="WEB4AFRICA LIMITED"/>
    <x v="6"/>
    <m/>
    <m/>
    <m/>
    <m/>
  </r>
  <r>
    <n v="785"/>
    <d v="2018-06-03T00:00:00"/>
    <x v="161"/>
    <s v="GTB - Master Card 0244095070"/>
    <s v="POS/WEB PURCHASE TRANSACTION"/>
    <n v="1500"/>
    <m/>
    <m/>
    <s v="SARUMI TEMITOPE"/>
    <x v="39"/>
    <m/>
    <m/>
    <m/>
    <m/>
  </r>
  <r>
    <n v="786"/>
    <d v="2018-09-03T00:00:00"/>
    <x v="10"/>
    <s v="GTB - Master Card 0244095070"/>
    <s v="POS/WEB PURCHASE TRANSACTION"/>
    <n v="1000"/>
    <m/>
    <m/>
    <s v="SARUMI TEMITOPE"/>
    <x v="39"/>
    <m/>
    <m/>
    <m/>
    <m/>
  </r>
  <r>
    <n v="787"/>
    <d v="2018-09-03T00:00:00"/>
    <x v="10"/>
    <s v="GTB - Master Card 0244095070"/>
    <m/>
    <n v="5000"/>
    <m/>
    <m/>
    <s v="CASH WITHDRAWAL "/>
    <x v="37"/>
    <m/>
    <m/>
    <m/>
    <m/>
  </r>
  <r>
    <n v="788"/>
    <s v="3/13/2018"/>
    <x v="162"/>
    <s v="GTB - Master Card 0244095070"/>
    <s v="POS/WEB PURCHASE TRANSACTION"/>
    <n v="2000"/>
    <m/>
    <m/>
    <s v="TOPMED Pharmaceuticals"/>
    <x v="36"/>
    <m/>
    <m/>
    <m/>
    <m/>
  </r>
  <r>
    <n v="789"/>
    <s v="3/16/2018"/>
    <x v="52"/>
    <s v="GTB - Master Card 0244095070"/>
    <m/>
    <m/>
    <n v="54900"/>
    <m/>
    <s v="Inter Account Transfer"/>
    <x v="3"/>
    <m/>
    <m/>
    <m/>
    <m/>
  </r>
  <r>
    <n v="790"/>
    <s v="3/16/2018"/>
    <x v="52"/>
    <s v="GTB - Master Card 0244095070"/>
    <m/>
    <n v="14000"/>
    <m/>
    <m/>
    <s v="CASH WITHDRAWAL "/>
    <x v="37"/>
    <m/>
    <m/>
    <m/>
    <m/>
  </r>
  <r>
    <n v="791"/>
    <s v="3/17/2018"/>
    <x v="53"/>
    <s v="GTB - Master Card 0244095070"/>
    <s v="POS/WEB PURCHASE TRANSACTION"/>
    <n v="3139.78"/>
    <m/>
    <m/>
    <s v="RETAIL SUPERMARKETS"/>
    <x v="32"/>
    <m/>
    <m/>
    <m/>
    <m/>
  </r>
  <r>
    <n v="792"/>
    <s v="3/17/2018"/>
    <x v="53"/>
    <s v="GTB - Master Card 0244095070"/>
    <s v="POS/WEB PURCHASE TRANSACTION"/>
    <n v="5500"/>
    <m/>
    <m/>
    <s v="PRIXAIR CATERING SERVICE"/>
    <x v="32"/>
    <m/>
    <m/>
    <m/>
    <m/>
  </r>
  <r>
    <n v="793"/>
    <s v="3/17/2018"/>
    <x v="53"/>
    <s v="GTB - Master Card 0244095070"/>
    <m/>
    <n v="2000"/>
    <m/>
    <m/>
    <s v="CASH WITHDRAWAL "/>
    <x v="37"/>
    <m/>
    <m/>
    <m/>
    <m/>
  </r>
  <r>
    <n v="794"/>
    <s v="3/19/2018"/>
    <x v="163"/>
    <s v="GTB - Master Card 0244095070"/>
    <s v="POS/WEB PURCHASE TRANSACTION"/>
    <n v="5500"/>
    <m/>
    <m/>
    <s v="FOOD CONCEPTS &amp; ENTERTAINMENT"/>
    <x v="32"/>
    <m/>
    <m/>
    <m/>
    <m/>
  </r>
  <r>
    <n v="795"/>
    <s v="3/19/2018"/>
    <x v="163"/>
    <s v="GTB - Master Card 0244095070"/>
    <m/>
    <n v="10000"/>
    <m/>
    <m/>
    <s v="CASH WITHDRAWAL "/>
    <x v="37"/>
    <m/>
    <m/>
    <m/>
    <m/>
  </r>
  <r>
    <n v="796"/>
    <s v="3/19/2018"/>
    <x v="163"/>
    <s v="GTB - Master Card 0244095070"/>
    <m/>
    <n v="10000"/>
    <m/>
    <m/>
    <s v="CASH WITHDRAWAL "/>
    <x v="37"/>
    <m/>
    <m/>
    <m/>
    <m/>
  </r>
  <r>
    <n v="797"/>
    <s v="3/20/2018"/>
    <x v="164"/>
    <s v="GTB - Master Card 0244095070"/>
    <s v="POS/WEB PURCHASE TRANSACTION"/>
    <n v="2000"/>
    <m/>
    <m/>
    <s v="TOPMED Pharmaceuticals"/>
    <x v="36"/>
    <m/>
    <m/>
    <m/>
    <m/>
  </r>
  <r>
    <n v="798"/>
    <s v="3/22/2018"/>
    <x v="54"/>
    <s v="GTB - Master Card 0244095070"/>
    <s v="DPRS 1 year subscription Domain regsitration"/>
    <m/>
    <n v="10000"/>
    <m/>
    <s v="Subscriptions"/>
    <x v="1"/>
    <m/>
    <m/>
    <m/>
    <m/>
  </r>
  <r>
    <n v="799"/>
    <s v="3/22/2018"/>
    <x v="54"/>
    <s v="GTB - Master Card 0244095070"/>
    <s v="Domain registration "/>
    <n v="10000"/>
    <m/>
    <m/>
    <s v="Subscriptions"/>
    <x v="1"/>
    <m/>
    <m/>
    <m/>
    <m/>
  </r>
  <r>
    <n v="800"/>
    <s v="3/23/2018"/>
    <x v="55"/>
    <s v="GTB - Master Card 0244095070"/>
    <m/>
    <m/>
    <n v="20000"/>
    <m/>
    <s v="Inter Account Transfer"/>
    <x v="3"/>
    <m/>
    <m/>
    <m/>
    <m/>
  </r>
  <r>
    <n v="801"/>
    <s v="3/23/2018"/>
    <x v="55"/>
    <s v="GTB - Master Card 0244095070"/>
    <m/>
    <n v="12500"/>
    <m/>
    <m/>
    <s v="CASH WITHDRAWAL "/>
    <x v="37"/>
    <m/>
    <m/>
    <m/>
    <m/>
  </r>
  <r>
    <n v="802"/>
    <s v="3/26/2018"/>
    <x v="165"/>
    <s v="GTB - Master Card 0244095070"/>
    <s v="POS/WEB PURCHASE TRANSACTION"/>
    <n v="2000"/>
    <m/>
    <m/>
    <s v="TOPMED Pharmaceuticals"/>
    <x v="36"/>
    <m/>
    <m/>
    <m/>
    <m/>
  </r>
  <r>
    <n v="803"/>
    <s v="3/27/2018"/>
    <x v="56"/>
    <s v="GTB - Master Card 0244095070"/>
    <s v="POS/WEB PURCHASE TRANSACTION"/>
    <n v="7880"/>
    <m/>
    <m/>
    <s v="Sahad Stores"/>
    <x v="35"/>
    <m/>
    <m/>
    <m/>
    <m/>
  </r>
  <r>
    <n v="804"/>
    <s v="3/28/2018"/>
    <x v="166"/>
    <s v="GTB - Master Card 0244095070"/>
    <s v="POS/WEB PURCHASE TRANSACTION"/>
    <n v="1999.99"/>
    <m/>
    <m/>
    <s v="RETAIL SUPERMARKETS"/>
    <x v="32"/>
    <m/>
    <m/>
    <m/>
    <m/>
  </r>
  <r>
    <n v="805"/>
    <d v="2018-03-04T00:00:00"/>
    <x v="167"/>
    <s v="GTB - Master Card 0244095070"/>
    <s v="POS/WEB PURCHASE TRANSACTION"/>
    <n v="1500"/>
    <m/>
    <m/>
    <s v="TOPMED Pharmaceuticals"/>
    <x v="36"/>
    <m/>
    <m/>
    <m/>
    <m/>
  </r>
  <r>
    <n v="806"/>
    <d v="2018-04-04T00:00:00"/>
    <x v="59"/>
    <s v="GTB - Master Card 0244095070"/>
    <s v="Transfer for office consumables procurement and communication cost disbursement "/>
    <m/>
    <n v="23500"/>
    <m/>
    <s v="Office Consumables and Communication Expenses"/>
    <x v="1"/>
    <m/>
    <m/>
    <m/>
    <m/>
  </r>
  <r>
    <n v="807"/>
    <d v="2018-04-04T00:00:00"/>
    <x v="59"/>
    <s v="GTB - Master Card 0244095070"/>
    <m/>
    <n v="17900"/>
    <m/>
    <m/>
    <s v="Expenses Needing Clarifications"/>
    <x v="23"/>
    <m/>
    <m/>
    <m/>
    <m/>
  </r>
  <r>
    <n v="808"/>
    <d v="2018-06-04T00:00:00"/>
    <x v="168"/>
    <s v="GTB - Master Card 0244095070"/>
    <s v="POS/WEB PURCHASE TRANSACTION"/>
    <n v="1000"/>
    <m/>
    <m/>
    <s v="TOPMED Pharmaceuticals"/>
    <x v="36"/>
    <m/>
    <m/>
    <m/>
    <m/>
  </r>
  <r>
    <n v="809"/>
    <d v="2018-09-04T00:00:00"/>
    <x v="169"/>
    <s v="GTB - Master Card 0244095070"/>
    <m/>
    <n v="5000"/>
    <m/>
    <m/>
    <s v="CASH WITHDRAWAL "/>
    <x v="37"/>
    <m/>
    <m/>
    <m/>
    <m/>
  </r>
  <r>
    <n v="810"/>
    <s v="4/15/2018"/>
    <x v="62"/>
    <s v="GTB - Master Card 0244095070"/>
    <m/>
    <m/>
    <n v="5000"/>
    <m/>
    <s v="Inter Account Transfer"/>
    <x v="3"/>
    <m/>
    <m/>
    <m/>
    <m/>
  </r>
  <r>
    <n v="811"/>
    <s v="4/16/2018"/>
    <x v="170"/>
    <s v="GTB - Master Card 0244095070"/>
    <s v="POS/WEB PURCHASE TRANSACTION"/>
    <n v="500"/>
    <m/>
    <m/>
    <s v="TOPMED Pharmaceuticals"/>
    <x v="36"/>
    <m/>
    <m/>
    <m/>
    <m/>
  </r>
  <r>
    <n v="812"/>
    <s v="4/17/2018"/>
    <x v="63"/>
    <s v="GTB - Master Card 0244095070"/>
    <s v="POS/WEB PURCHASE TRANSACTION"/>
    <n v="1000"/>
    <m/>
    <m/>
    <s v="TOPMED Pharmaceuticals"/>
    <x v="36"/>
    <m/>
    <m/>
    <m/>
    <m/>
  </r>
  <r>
    <n v="813"/>
    <s v="4/17/2018"/>
    <x v="63"/>
    <s v="GTB - Master Card 0244095070"/>
    <m/>
    <m/>
    <n v="39400"/>
    <m/>
    <s v="Inter Account Transfer"/>
    <x v="3"/>
    <m/>
    <m/>
    <m/>
    <m/>
  </r>
  <r>
    <n v="814"/>
    <s v="4/18/2018"/>
    <x v="171"/>
    <s v="GTB - Master Card 0244095070"/>
    <m/>
    <n v="10000"/>
    <m/>
    <m/>
    <s v="CASH WITHDRAWAL "/>
    <x v="37"/>
    <m/>
    <m/>
    <m/>
    <m/>
  </r>
  <r>
    <n v="815"/>
    <s v="4/18/2018"/>
    <x v="171"/>
    <s v="GTB - Master Card 0244095070"/>
    <m/>
    <n v="10000"/>
    <m/>
    <m/>
    <s v="CASH WITHDRAWAL "/>
    <x v="37"/>
    <m/>
    <m/>
    <m/>
    <m/>
  </r>
  <r>
    <n v="816"/>
    <s v="4/18/2018"/>
    <x v="171"/>
    <s v="GTB - Master Card 0244095070"/>
    <m/>
    <n v="10000"/>
    <m/>
    <m/>
    <s v="CASH WITHDRAWAL "/>
    <x v="37"/>
    <m/>
    <m/>
    <m/>
    <m/>
  </r>
  <r>
    <n v="817"/>
    <s v="4/18/2018"/>
    <x v="171"/>
    <s v="GTB - Master Card 0244095070"/>
    <m/>
    <n v="10000"/>
    <m/>
    <m/>
    <s v="CASH WITHDRAWAL "/>
    <x v="37"/>
    <m/>
    <m/>
    <m/>
    <m/>
  </r>
  <r>
    <n v="818"/>
    <s v="4/19/2018"/>
    <x v="64"/>
    <s v="GTB - Master Card 0244095070"/>
    <s v="Payment for 1 Year Gravity form subscription for inventory dashboard"/>
    <m/>
    <n v="25000"/>
    <m/>
    <s v="Subscriptions"/>
    <x v="1"/>
    <m/>
    <m/>
    <m/>
    <m/>
  </r>
  <r>
    <n v="819"/>
    <s v="4/20/2018"/>
    <x v="3"/>
    <s v="GTB - Master Card 0244095070"/>
    <s v="POS/WEB PURCHASE TRANSACTION"/>
    <n v="2000"/>
    <m/>
    <m/>
    <s v="TOPMED Pharmaceuticals"/>
    <x v="36"/>
    <m/>
    <m/>
    <m/>
    <m/>
  </r>
  <r>
    <n v="820"/>
    <s v="4/24/2018"/>
    <x v="65"/>
    <s v="GTB - Master Card 0244095070"/>
    <m/>
    <n v="3000"/>
    <m/>
    <m/>
    <s v="CASH WITHDRAWAL "/>
    <x v="37"/>
    <m/>
    <m/>
    <m/>
    <m/>
  </r>
  <r>
    <n v="821"/>
    <s v="4/25/2018"/>
    <x v="172"/>
    <s v="GTB - Master Card 0244095070"/>
    <s v="POS/WEB PURCHASE TRANSACTION"/>
    <n v="5000"/>
    <m/>
    <m/>
    <s v="Sahad Stores"/>
    <x v="35"/>
    <m/>
    <m/>
    <m/>
    <m/>
  </r>
  <r>
    <n v="822"/>
    <s v="4/25/2018"/>
    <x v="172"/>
    <s v="GTB - Master Card 0244095070"/>
    <s v="POS/WEB PURCHASE TRANSACTION"/>
    <n v="1500"/>
    <m/>
    <m/>
    <s v="TOPMED Pharmaceuticals"/>
    <x v="36"/>
    <m/>
    <m/>
    <m/>
    <m/>
  </r>
  <r>
    <n v="823"/>
    <s v="4/30/2018"/>
    <x v="66"/>
    <s v="GTB - Master Card 0244095070"/>
    <m/>
    <m/>
    <n v="51450"/>
    <m/>
    <s v="Team Member of the Month cash prizes and staff reimbursement"/>
    <x v="12"/>
    <m/>
    <m/>
    <m/>
    <m/>
  </r>
  <r>
    <n v="825"/>
    <s v="4/30/2018"/>
    <x v="66"/>
    <s v="GTB - Master Card 0244095070"/>
    <m/>
    <n v="10000"/>
    <m/>
    <m/>
    <s v="CASH WITHDRAWAL "/>
    <x v="37"/>
    <m/>
    <m/>
    <m/>
    <m/>
  </r>
  <r>
    <n v="826"/>
    <s v="4/30/2018"/>
    <x v="66"/>
    <s v="GTB - Master Card 0244095070"/>
    <m/>
    <n v="15000"/>
    <m/>
    <m/>
    <s v="CASH WITHDRAWAL "/>
    <x v="37"/>
    <m/>
    <m/>
    <m/>
    <m/>
  </r>
  <r>
    <n v="827"/>
    <s v="4/30/2018"/>
    <x v="66"/>
    <s v="GTB - Master Card 0244095070"/>
    <m/>
    <n v="15000"/>
    <m/>
    <m/>
    <s v="CASH WITHDRAWAL "/>
    <x v="37"/>
    <m/>
    <m/>
    <m/>
    <m/>
  </r>
  <r>
    <n v="828"/>
    <s v="4/30/2018"/>
    <x v="66"/>
    <s v="GTB - Master Card 0244095070"/>
    <m/>
    <n v="11500"/>
    <m/>
    <m/>
    <s v="CASH WITHDRAWAL "/>
    <x v="37"/>
    <m/>
    <m/>
    <m/>
    <m/>
  </r>
  <r>
    <n v="829"/>
    <d v="2018-02-05T00:00:00"/>
    <x v="173"/>
    <s v="GTB - Master Card 0244095070"/>
    <s v="POS/WEB PURCHASE TRANSACTION"/>
    <n v="1000"/>
    <m/>
    <m/>
    <s v="TOPMED Pharmaceuticals"/>
    <x v="36"/>
    <m/>
    <m/>
    <m/>
    <m/>
  </r>
  <r>
    <n v="830"/>
    <d v="2018-07-05T00:00:00"/>
    <x v="69"/>
    <s v="GTB - Master Card 0244095070"/>
    <s v="POS/WEB PURCHASE TRANSACTION"/>
    <n v="1000"/>
    <m/>
    <m/>
    <s v="TOPMED Pharmaceuticals"/>
    <x v="36"/>
    <m/>
    <m/>
    <m/>
    <m/>
  </r>
  <r>
    <n v="831"/>
    <d v="2018-07-05T00:00:00"/>
    <x v="69"/>
    <s v="GTB - Master Card 0244095070"/>
    <s v="POS/WEB PURCHASE TRANSACTION"/>
    <n v="500"/>
    <m/>
    <m/>
    <s v="TOPMED Pharmaceuticals"/>
    <x v="36"/>
    <m/>
    <m/>
    <m/>
    <m/>
  </r>
  <r>
    <n v="832"/>
    <d v="2018-09-05T00:00:00"/>
    <x v="22"/>
    <s v="GTB - Master Card 0244095070"/>
    <s v="POS/WEB PURCHASE TRANSACTION"/>
    <n v="1500"/>
    <m/>
    <m/>
    <s v="TOPMED Pharmaceuticals"/>
    <x v="36"/>
    <m/>
    <m/>
    <m/>
    <m/>
  </r>
  <r>
    <n v="833"/>
    <d v="2018-11-05T00:00:00"/>
    <x v="70"/>
    <s v="GTB - Master Card 0244095070"/>
    <m/>
    <m/>
    <n v="20100"/>
    <m/>
    <s v="Inter Account Transfer"/>
    <x v="3"/>
    <m/>
    <m/>
    <m/>
    <m/>
  </r>
  <r>
    <n v="834"/>
    <s v="5/15/2018"/>
    <x v="174"/>
    <s v="GTB - Master Card 0244095070"/>
    <s v="POS/WEB PURCHASE TRANSACTION"/>
    <n v="16600"/>
    <m/>
    <m/>
    <s v="Sahad Stores"/>
    <x v="35"/>
    <m/>
    <m/>
    <m/>
    <m/>
  </r>
  <r>
    <n v="835"/>
    <s v="5/15/2018"/>
    <x v="174"/>
    <s v="GTB - Master Card 0244095070"/>
    <s v="POS/WEB PURCHASE TRANSACTION"/>
    <n v="1500"/>
    <m/>
    <m/>
    <s v="TOPMED Pharmaceuticals"/>
    <x v="36"/>
    <m/>
    <m/>
    <m/>
    <m/>
  </r>
  <r>
    <n v="836"/>
    <s v="5/16/2018"/>
    <x v="72"/>
    <s v="GTB - Master Card 0244095070"/>
    <m/>
    <m/>
    <n v="5000"/>
    <m/>
    <s v="Inter Account Transfer"/>
    <x v="3"/>
    <m/>
    <m/>
    <m/>
    <m/>
  </r>
  <r>
    <n v="837"/>
    <s v="5/16/2018"/>
    <x v="72"/>
    <s v="GTB - Master Card 0244095070"/>
    <m/>
    <m/>
    <n v="10800"/>
    <m/>
    <s v="Inter Account Transfer"/>
    <x v="3"/>
    <m/>
    <m/>
    <m/>
    <m/>
  </r>
  <r>
    <n v="838"/>
    <s v="5/18/2018"/>
    <x v="175"/>
    <s v="GTB - Master Card 0244095070"/>
    <s v="POS/WEB PURCHASE TRANSACTION"/>
    <n v="1500"/>
    <m/>
    <m/>
    <s v="TOPMED Pharmaceuticals"/>
    <x v="36"/>
    <m/>
    <m/>
    <m/>
    <m/>
  </r>
  <r>
    <n v="839"/>
    <s v="5/18/2018"/>
    <x v="175"/>
    <s v="GTB - Master Card 0244095070"/>
    <m/>
    <n v="10000"/>
    <m/>
    <m/>
    <s v="CASH WITHDRAWAL "/>
    <x v="37"/>
    <m/>
    <m/>
    <m/>
    <m/>
  </r>
  <r>
    <n v="840"/>
    <s v="5/18/2018"/>
    <x v="175"/>
    <s v="GTB - Master Card 0244095070"/>
    <m/>
    <n v="6500"/>
    <m/>
    <m/>
    <s v="CASH WITHDRAWAL "/>
    <x v="37"/>
    <m/>
    <m/>
    <m/>
    <m/>
  </r>
  <r>
    <n v="841"/>
    <s v="5/22/2018"/>
    <x v="176"/>
    <s v="GTB - Master Card 0244095070"/>
    <s v="POS/WEB PURCHASE TRANSACTION"/>
    <n v="1000"/>
    <m/>
    <m/>
    <s v="TOPMED Pharmaceuticals"/>
    <x v="36"/>
    <m/>
    <m/>
    <m/>
    <m/>
  </r>
  <r>
    <n v="842"/>
    <s v="5/23/2018"/>
    <x v="177"/>
    <s v="GTB - Master Card 0244095070"/>
    <s v="POS/WEB PURCHASE TRANSACTION"/>
    <n v="1000"/>
    <m/>
    <m/>
    <s v="TOPMED Pharmaceuticals"/>
    <x v="36"/>
    <m/>
    <m/>
    <m/>
    <m/>
  </r>
  <r>
    <n v="843"/>
    <s v="5/25/2018"/>
    <x v="178"/>
    <s v="GTB - Master Card 0244095070"/>
    <s v="POS/WEB PURCHASE TRANSACTION"/>
    <n v="4600"/>
    <m/>
    <m/>
    <s v="Sahad Stores"/>
    <x v="35"/>
    <m/>
    <m/>
    <m/>
    <m/>
  </r>
  <r>
    <n v="844"/>
    <s v="5/28/2018"/>
    <x v="179"/>
    <s v="GTB - Master Card 0244095070"/>
    <s v="POS/WEB PURCHASE TRANSACTION"/>
    <n v="1500"/>
    <m/>
    <m/>
    <s v="TOPMED Pharmaceuticals"/>
    <x v="36"/>
    <m/>
    <m/>
    <m/>
    <m/>
  </r>
  <r>
    <n v="845"/>
    <d v="2018-01-06T00:00:00"/>
    <x v="75"/>
    <s v="GTB - Master Card 0244095070"/>
    <m/>
    <m/>
    <n v="35000"/>
    <m/>
    <s v="Inter Account Transfer"/>
    <x v="3"/>
    <m/>
    <m/>
    <m/>
    <m/>
  </r>
  <r>
    <n v="846"/>
    <d v="2018-01-06T00:00:00"/>
    <x v="75"/>
    <s v="GTB - Master Card 0244095070"/>
    <m/>
    <m/>
    <n v="7000"/>
    <m/>
    <s v="Inter Account Transfer"/>
    <x v="3"/>
    <m/>
    <m/>
    <m/>
    <m/>
  </r>
  <r>
    <n v="847"/>
    <d v="2018-01-06T00:00:00"/>
    <x v="75"/>
    <s v="GTB - Master Card 0244095070"/>
    <m/>
    <m/>
    <n v="3000"/>
    <m/>
    <s v="Inter Account Transfer"/>
    <x v="3"/>
    <m/>
    <m/>
    <m/>
    <m/>
  </r>
  <r>
    <n v="848"/>
    <d v="2018-01-06T00:00:00"/>
    <x v="75"/>
    <s v="GTB - Master Card 0244095070"/>
    <s v="POS/WEB PURCHASE TRANSACTION"/>
    <n v="2200"/>
    <m/>
    <m/>
    <s v="CELEBRATIONS CARDS"/>
    <x v="7"/>
    <m/>
    <m/>
    <m/>
    <m/>
  </r>
  <r>
    <n v="849"/>
    <d v="2018-01-06T00:00:00"/>
    <x v="75"/>
    <s v="GTB - Master Card 0244095070"/>
    <s v="POS/WEB PURCHASE TRANSACTION"/>
    <n v="1999.99"/>
    <m/>
    <m/>
    <s v="RETAIL SUPERMARKETS"/>
    <x v="32"/>
    <m/>
    <m/>
    <m/>
    <m/>
  </r>
  <r>
    <n v="850"/>
    <d v="2018-04-06T00:00:00"/>
    <x v="180"/>
    <s v="GTB - Master Card 0244095070"/>
    <s v="POS/WEB PURCHASE TRANSACTION"/>
    <n v="1500"/>
    <m/>
    <m/>
    <s v="TOPMED Pharmaceuticals"/>
    <x v="36"/>
    <m/>
    <m/>
    <m/>
    <m/>
  </r>
  <r>
    <n v="851"/>
    <d v="2018-04-06T00:00:00"/>
    <x v="180"/>
    <s v="GTB - Master Card 0244095070"/>
    <m/>
    <n v="20000"/>
    <m/>
    <m/>
    <s v="CASH WITHDRAWAL "/>
    <x v="37"/>
    <m/>
    <m/>
    <m/>
    <m/>
  </r>
  <r>
    <n v="852"/>
    <d v="2018-04-06T00:00:00"/>
    <x v="180"/>
    <s v="GTB - Master Card 0244095070"/>
    <m/>
    <n v="20000"/>
    <m/>
    <m/>
    <s v="CASH WITHDRAWAL "/>
    <x v="37"/>
    <m/>
    <m/>
    <m/>
    <m/>
  </r>
  <r>
    <n v="853"/>
    <d v="2018-04-06T00:00:00"/>
    <x v="180"/>
    <s v="GTB - Master Card 0244095070"/>
    <m/>
    <n v="2000"/>
    <m/>
    <m/>
    <s v="CASH WITHDRAWAL "/>
    <x v="37"/>
    <m/>
    <m/>
    <m/>
    <m/>
  </r>
  <r>
    <n v="854"/>
    <d v="2018-08-06T00:00:00"/>
    <x v="181"/>
    <s v="GTB - Master Card 0244095070"/>
    <s v="POS/WEB PURCHASE TRANSACTION"/>
    <n v="1500"/>
    <m/>
    <m/>
    <s v="TOPMED Pharmaceuticals"/>
    <x v="36"/>
    <m/>
    <m/>
    <m/>
    <m/>
  </r>
  <r>
    <n v="855"/>
    <d v="2018-12-06T00:00:00"/>
    <x v="78"/>
    <s v="GTB - Master Card 0244095070"/>
    <m/>
    <m/>
    <n v="5000"/>
    <m/>
    <s v="Inter Account Transfer"/>
    <x v="3"/>
    <m/>
    <m/>
    <m/>
    <m/>
  </r>
  <r>
    <n v="856"/>
    <d v="2018-12-06T00:00:00"/>
    <x v="78"/>
    <s v="GTB - Master Card 0244095070"/>
    <m/>
    <m/>
    <n v="9000"/>
    <m/>
    <s v="Inter Account Transfer"/>
    <x v="3"/>
    <m/>
    <m/>
    <m/>
    <m/>
  </r>
  <r>
    <n v="857"/>
    <d v="2018-12-06T00:00:00"/>
    <x v="78"/>
    <s v="GTB - Master Card 0244095070"/>
    <s v="POS/WEB PURCHASE TRANSACTION"/>
    <n v="1350"/>
    <m/>
    <m/>
    <s v="TOPMED Pharmaceuticals"/>
    <x v="36"/>
    <m/>
    <m/>
    <m/>
    <m/>
  </r>
  <r>
    <n v="858"/>
    <s v="6/14/2018"/>
    <x v="80"/>
    <s v="GTB - Master Card 0244095070"/>
    <m/>
    <n v="5000"/>
    <m/>
    <m/>
    <s v="CASH WITHDRAWAL "/>
    <x v="37"/>
    <m/>
    <m/>
    <m/>
    <m/>
  </r>
  <r>
    <n v="859"/>
    <s v="6/19/2018"/>
    <x v="182"/>
    <s v="GTB - Master Card 0244095070"/>
    <s v="POS/WEB PURCHASE TRANSACTION"/>
    <n v="1000"/>
    <m/>
    <m/>
    <s v="TOPMED Pharmaceuticals"/>
    <x v="36"/>
    <m/>
    <m/>
    <m/>
    <m/>
  </r>
  <r>
    <n v="860"/>
    <s v="6/20/2018"/>
    <x v="81"/>
    <s v="GTB - Master Card 0244095070"/>
    <m/>
    <m/>
    <n v="18750"/>
    <m/>
    <s v="Inter Account Transfer"/>
    <x v="3"/>
    <m/>
    <m/>
    <m/>
    <m/>
  </r>
  <r>
    <n v="861"/>
    <s v="6/20/2018"/>
    <x v="81"/>
    <s v="GTB - Master Card 0244095070"/>
    <m/>
    <m/>
    <n v="1500"/>
    <m/>
    <s v="Inter Account Transfer"/>
    <x v="3"/>
    <m/>
    <m/>
    <m/>
    <m/>
  </r>
  <r>
    <n v="862"/>
    <s v="6/20/2018"/>
    <x v="81"/>
    <s v="GTB - Master Card 0244095070"/>
    <m/>
    <m/>
    <n v="9700"/>
    <m/>
    <s v="Inter Account Transfer"/>
    <x v="3"/>
    <m/>
    <m/>
    <m/>
    <m/>
  </r>
  <r>
    <n v="863"/>
    <s v="6/22/2018"/>
    <x v="82"/>
    <s v="GTB - Master Card 0244095070"/>
    <m/>
    <n v="10000"/>
    <m/>
    <m/>
    <s v="CASH WITHDRAWAL "/>
    <x v="37"/>
    <m/>
    <m/>
    <m/>
    <m/>
  </r>
  <r>
    <n v="864"/>
    <s v="6/22/2018"/>
    <x v="82"/>
    <s v="GTB - Master Card 0244095070"/>
    <s v="POS/WEB PURCHASE TRANSACTION"/>
    <n v="21300"/>
    <m/>
    <m/>
    <s v="Sahad Stores"/>
    <x v="35"/>
    <m/>
    <m/>
    <m/>
    <m/>
  </r>
  <r>
    <n v="865"/>
    <s v="6/22/2018"/>
    <x v="82"/>
    <s v="GTB - Master Card 0244095070"/>
    <s v="POS/WEB PURCHASE TRANSACTION"/>
    <n v="1500"/>
    <m/>
    <m/>
    <s v="TOPMED Pharmaceuticals"/>
    <x v="36"/>
    <m/>
    <m/>
    <m/>
    <m/>
  </r>
  <r>
    <n v="866"/>
    <s v="6/22/2018"/>
    <x v="82"/>
    <s v="GTB - Master Card 0244095070"/>
    <m/>
    <m/>
    <n v="3300"/>
    <m/>
    <s v="Inter Account Transfer"/>
    <x v="3"/>
    <m/>
    <m/>
    <m/>
    <m/>
  </r>
  <r>
    <n v="867"/>
    <s v="6/22/2018"/>
    <x v="82"/>
    <s v="GTB - Master Card 0244095070"/>
    <m/>
    <m/>
    <n v="6400"/>
    <m/>
    <s v="Inter Account Transfer"/>
    <x v="3"/>
    <m/>
    <m/>
    <m/>
    <m/>
  </r>
  <r>
    <n v="868"/>
    <s v="6/22/2018"/>
    <x v="82"/>
    <s v="GTB - Master Card 0244095070"/>
    <m/>
    <n v="6500"/>
    <m/>
    <m/>
    <s v="CASH WITHDRAWAL "/>
    <x v="37"/>
    <m/>
    <m/>
    <m/>
    <m/>
  </r>
  <r>
    <n v="869"/>
    <s v="6/23/2018"/>
    <x v="183"/>
    <s v="GTB - Master Card 0244095070"/>
    <m/>
    <n v="3500"/>
    <m/>
    <m/>
    <s v="CASH WITHDRAWAL "/>
    <x v="37"/>
    <m/>
    <m/>
    <m/>
    <m/>
  </r>
  <r>
    <n v="870"/>
    <s v="6/27/2018"/>
    <x v="83"/>
    <s v="GTB - Master Card 0244095070"/>
    <s v="POS/WEB PURCHASE TRANSACTION"/>
    <n v="1500"/>
    <m/>
    <m/>
    <s v="MUTUAL TRUST MICROFINANCE BANK"/>
    <x v="40"/>
    <m/>
    <m/>
    <m/>
    <m/>
  </r>
  <r>
    <n v="871"/>
    <s v="6/28/2018"/>
    <x v="84"/>
    <s v="GTB - Master Card 0244095070"/>
    <m/>
    <m/>
    <n v="12800"/>
    <m/>
    <s v="Inter Account Transfer"/>
    <x v="3"/>
    <m/>
    <m/>
    <m/>
    <m/>
  </r>
  <r>
    <n v="872"/>
    <s v="6/28/2018"/>
    <x v="84"/>
    <s v="GTB - Master Card 0244095070"/>
    <m/>
    <m/>
    <n v="2000"/>
    <m/>
    <s v="Inter Account Transfer"/>
    <x v="3"/>
    <m/>
    <m/>
    <m/>
    <m/>
  </r>
  <r>
    <n v="873"/>
    <s v="6/28/2018"/>
    <x v="84"/>
    <s v="GTB - Master Card 0244095070"/>
    <m/>
    <m/>
    <n v="14300"/>
    <m/>
    <s v="Inter Account Transfer"/>
    <x v="3"/>
    <m/>
    <m/>
    <m/>
    <m/>
  </r>
  <r>
    <n v="874"/>
    <s v="6/29/2018"/>
    <x v="184"/>
    <s v="GTB - Master Card 0244095070"/>
    <m/>
    <n v="12000"/>
    <m/>
    <m/>
    <s v="CASH WITHDRAWAL "/>
    <x v="37"/>
    <m/>
    <m/>
    <m/>
    <m/>
  </r>
  <r>
    <n v="875"/>
    <s v="6/29/2018"/>
    <x v="184"/>
    <s v="GTB - Master Card 0244095070"/>
    <m/>
    <n v="13000"/>
    <m/>
    <m/>
    <s v="CASH WITHDRAWAL "/>
    <x v="37"/>
    <m/>
    <m/>
    <m/>
    <m/>
  </r>
  <r>
    <n v="876"/>
    <s v="6/29/2018"/>
    <x v="184"/>
    <s v="GTB - Master Card 0244095070"/>
    <s v="POS/WEB PURCHASE TRANSACTION"/>
    <n v="3649.91"/>
    <m/>
    <m/>
    <s v="SHOPRITE SILVERBIRD"/>
    <x v="32"/>
    <m/>
    <m/>
    <m/>
    <m/>
  </r>
  <r>
    <n v="877"/>
    <s v="6/30/2018"/>
    <x v="85"/>
    <s v="GTB - Master Card 0244095070"/>
    <m/>
    <m/>
    <n v="35000"/>
    <m/>
    <s v="Inter Account Transfer"/>
    <x v="3"/>
    <m/>
    <m/>
    <m/>
    <m/>
  </r>
  <r>
    <n v="878"/>
    <d v="2018-02-07T00:00:00"/>
    <x v="185"/>
    <s v="GTB - Master Card 0244095070"/>
    <s v="POS/WEB PURCHASE TRANSACTION"/>
    <n v="1000"/>
    <m/>
    <m/>
    <s v="TOPMED Pharmaceuticals"/>
    <x v="36"/>
    <m/>
    <m/>
    <m/>
    <m/>
  </r>
  <r>
    <n v="879"/>
    <d v="2018-02-07T00:00:00"/>
    <x v="185"/>
    <s v="GTB - Master Card 0244095070"/>
    <m/>
    <n v="15000"/>
    <m/>
    <m/>
    <s v="CASH WITHDRAWAL "/>
    <x v="37"/>
    <m/>
    <m/>
    <m/>
    <m/>
  </r>
  <r>
    <n v="880"/>
    <d v="2018-02-07T00:00:00"/>
    <x v="185"/>
    <s v="GTB - Master Card 0244095070"/>
    <m/>
    <n v="15000"/>
    <m/>
    <m/>
    <s v="CASH WITHDRAWAL "/>
    <x v="37"/>
    <m/>
    <m/>
    <m/>
    <m/>
  </r>
  <r>
    <n v="881"/>
    <d v="2018-02-07T00:00:00"/>
    <x v="185"/>
    <s v="GTB - Master Card 0244095070"/>
    <m/>
    <n v="5000"/>
    <m/>
    <m/>
    <s v="CASH WITHDRAWAL "/>
    <x v="37"/>
    <m/>
    <m/>
    <m/>
    <m/>
  </r>
  <r>
    <n v="882"/>
    <d v="2018-03-07T00:00:00"/>
    <x v="86"/>
    <s v="GTB - Master Card 0244095070"/>
    <m/>
    <m/>
    <n v="5000"/>
    <m/>
    <s v="Inter Account Transfer"/>
    <x v="3"/>
    <m/>
    <m/>
    <m/>
    <m/>
  </r>
  <r>
    <n v="883"/>
    <d v="2018-03-07T00:00:00"/>
    <x v="86"/>
    <s v="GTB - Master Card 0244095070"/>
    <s v="DPRS- Six months internet subscription"/>
    <m/>
    <n v="96000"/>
    <m/>
    <s v="Internet subscription"/>
    <x v="1"/>
    <m/>
    <m/>
    <m/>
    <m/>
  </r>
  <r>
    <n v="884"/>
    <d v="2018-03-07T00:00:00"/>
    <x v="86"/>
    <s v="GTB - Master Card 0244095070"/>
    <m/>
    <m/>
    <n v="5000"/>
    <m/>
    <s v="Inter Account Transfer"/>
    <x v="3"/>
    <m/>
    <m/>
    <m/>
    <m/>
  </r>
  <r>
    <n v="885"/>
    <d v="2018-03-07T00:00:00"/>
    <x v="86"/>
    <s v="GTB - Master Card 0244095070"/>
    <m/>
    <m/>
    <n v="12000"/>
    <m/>
    <s v="Inter Account Transfer"/>
    <x v="3"/>
    <m/>
    <m/>
    <m/>
    <m/>
  </r>
  <r>
    <n v="886"/>
    <d v="2018-03-07T00:00:00"/>
    <x v="86"/>
    <s v="GTB - Master Card 0244095070"/>
    <m/>
    <m/>
    <n v="1500"/>
    <m/>
    <s v="Inter Account Transfer"/>
    <x v="3"/>
    <m/>
    <m/>
    <m/>
    <m/>
  </r>
  <r>
    <n v="887"/>
    <d v="2018-04-07T00:00:00"/>
    <x v="186"/>
    <s v="GTB - Master Card 0244095070"/>
    <s v="POS/WEB PURCHASE TRANSACTION"/>
    <n v="1500"/>
    <m/>
    <m/>
    <s v="TOPMED Pharmaceuticals"/>
    <x v="36"/>
    <m/>
    <m/>
    <m/>
    <m/>
  </r>
  <r>
    <n v="888"/>
    <d v="2018-05-07T00:00:00"/>
    <x v="187"/>
    <s v="GTB - Master Card 0244095070"/>
    <s v="HOME BANKING ACCOUNT"/>
    <n v="96000"/>
    <m/>
    <m/>
    <s v="HOME BANKING ACCOUNT"/>
    <x v="41"/>
    <m/>
    <m/>
    <m/>
    <m/>
  </r>
  <r>
    <n v="889"/>
    <d v="2018-07-05T00:00:00"/>
    <x v="69"/>
    <s v="GTB - Master Card 0244095070"/>
    <m/>
    <n v="100"/>
    <m/>
    <m/>
    <s v="Finance Charges"/>
    <x v="2"/>
    <m/>
    <m/>
    <m/>
    <m/>
  </r>
  <r>
    <n v="890"/>
    <d v="2018-06-07T00:00:00"/>
    <x v="87"/>
    <s v="GTB - Master Card 0244095070"/>
    <m/>
    <m/>
    <n v="5000"/>
    <m/>
    <s v="Inter Account Transfer"/>
    <x v="3"/>
    <m/>
    <m/>
    <m/>
    <m/>
  </r>
  <r>
    <n v="891"/>
    <d v="2018-06-07T00:00:00"/>
    <x v="87"/>
    <s v="GTB - Master Card 0244095070"/>
    <s v="Payment of internet subscription for 6months"/>
    <m/>
    <n v="96000"/>
    <m/>
    <s v="Internet subscription"/>
    <x v="1"/>
    <m/>
    <m/>
    <m/>
    <m/>
  </r>
  <r>
    <n v="892"/>
    <d v="2018-06-07T00:00:00"/>
    <x v="87"/>
    <s v="GTB - Master Card 0244095070"/>
    <m/>
    <n v="96000"/>
    <m/>
    <m/>
    <s v="Payment of internet subscription for 6months"/>
    <x v="23"/>
    <m/>
    <m/>
    <m/>
    <m/>
  </r>
  <r>
    <n v="893"/>
    <d v="2018-07-06T00:00:00"/>
    <x v="88"/>
    <s v="GTB - Master Card 0244095070"/>
    <m/>
    <n v="100"/>
    <m/>
    <m/>
    <s v="Finance Charges"/>
    <x v="2"/>
    <m/>
    <m/>
    <m/>
    <m/>
  </r>
  <r>
    <n v="894"/>
    <d v="2018-06-07T00:00:00"/>
    <x v="87"/>
    <s v="GTB - Master Card 0244095070"/>
    <m/>
    <n v="15000"/>
    <m/>
    <m/>
    <s v="CASH WITHDRAWAL "/>
    <x v="37"/>
    <m/>
    <m/>
    <m/>
    <m/>
  </r>
  <r>
    <n v="895"/>
    <d v="2018-06-07T00:00:00"/>
    <x v="87"/>
    <s v="GTB - Master Card 0244095070"/>
    <m/>
    <n v="1500"/>
    <m/>
    <m/>
    <s v="CASH WITHDRAWAL "/>
    <x v="37"/>
    <m/>
    <m/>
    <m/>
    <m/>
  </r>
  <r>
    <n v="896"/>
    <d v="2018-10-07T00:00:00"/>
    <x v="89"/>
    <s v="GTB - Master Card 0244095070"/>
    <s v="POS/WEB PURCHASE TRANSACTION"/>
    <n v="1500"/>
    <m/>
    <m/>
    <s v="TOPMED Pharmaceuticals"/>
    <x v="36"/>
    <m/>
    <m/>
    <m/>
    <m/>
  </r>
  <r>
    <n v="897"/>
    <d v="2018-12-07T00:00:00"/>
    <x v="90"/>
    <s v="GTB - Master Card 0244095070"/>
    <m/>
    <m/>
    <n v="5000"/>
    <m/>
    <s v="Inter Account Transfer"/>
    <x v="3"/>
    <m/>
    <m/>
    <m/>
    <m/>
  </r>
  <r>
    <n v="898"/>
    <d v="2018-12-07T00:00:00"/>
    <x v="90"/>
    <s v="GTB - Master Card 0244095070"/>
    <m/>
    <m/>
    <n v="11400"/>
    <m/>
    <s v="Inter Account Transfer"/>
    <x v="3"/>
    <m/>
    <m/>
    <m/>
    <m/>
  </r>
  <r>
    <n v="899"/>
    <d v="2018-12-07T00:00:00"/>
    <x v="90"/>
    <s v="GTB - Master Card 0244095070"/>
    <m/>
    <m/>
    <n v="14450"/>
    <m/>
    <s v="Inter Account Transfer"/>
    <x v="3"/>
    <m/>
    <m/>
    <m/>
    <m/>
  </r>
  <r>
    <n v="900"/>
    <s v="7/13/2018"/>
    <x v="92"/>
    <s v="GTB - Master Card 0244095070"/>
    <s v="POS/WEB PURCHASE TRANSACTION"/>
    <n v="4920"/>
    <m/>
    <m/>
    <s v="Sahad Stores"/>
    <x v="35"/>
    <m/>
    <m/>
    <m/>
    <m/>
  </r>
  <r>
    <n v="901"/>
    <s v="7/13/2018"/>
    <x v="92"/>
    <s v="GTB - Master Card 0244095070"/>
    <s v="POS/WEB PURCHASE TRANSACTION"/>
    <n v="5000"/>
    <m/>
    <m/>
    <s v="KOLIAANGEL LTD"/>
    <x v="42"/>
    <m/>
    <m/>
    <m/>
    <m/>
  </r>
  <r>
    <n v="902"/>
    <s v="7/13/2018"/>
    <x v="92"/>
    <s v="GTB - Master Card 0244095070"/>
    <m/>
    <n v="14500"/>
    <m/>
    <m/>
    <s v="CASH WITHDRAWAL "/>
    <x v="37"/>
    <m/>
    <m/>
    <m/>
    <m/>
  </r>
  <r>
    <n v="903"/>
    <s v="7/13/2018"/>
    <x v="92"/>
    <s v="GTB - Master Card 0244095070"/>
    <m/>
    <m/>
    <n v="6300"/>
    <m/>
    <s v="Inter Account Transfer"/>
    <x v="3"/>
    <m/>
    <m/>
    <m/>
    <m/>
  </r>
  <r>
    <n v="904"/>
    <s v="7/16/2018"/>
    <x v="188"/>
    <s v="GTB - Master Card 0244095070"/>
    <s v="POS/WEB PURCHASE TRANSACTION"/>
    <n v="6500"/>
    <m/>
    <m/>
    <s v="Sahad Stores"/>
    <x v="35"/>
    <m/>
    <m/>
    <m/>
    <m/>
  </r>
  <r>
    <n v="905"/>
    <s v="7/17/2018"/>
    <x v="189"/>
    <s v="GTB - Master Card 0244095070"/>
    <s v="POS/WEB PURCHASE TRANSACTION"/>
    <n v="1500"/>
    <m/>
    <m/>
    <s v="TOPMED Pharmaceuticals"/>
    <x v="36"/>
    <m/>
    <m/>
    <m/>
    <m/>
  </r>
  <r>
    <n v="906"/>
    <s v="7/17/2018"/>
    <x v="189"/>
    <s v="GTB - Master Card 0244095070"/>
    <m/>
    <n v="8000"/>
    <m/>
    <m/>
    <s v="CASH WITHDRAWAL "/>
    <x v="37"/>
    <m/>
    <m/>
    <m/>
    <m/>
  </r>
  <r>
    <n v="907"/>
    <s v="7/18/2018"/>
    <x v="93"/>
    <s v="GTB - Master Card 0244095070"/>
    <m/>
    <m/>
    <n v="4650"/>
    <m/>
    <s v="Inter Account Transfer"/>
    <x v="3"/>
    <m/>
    <m/>
    <m/>
    <m/>
  </r>
  <r>
    <n v="908"/>
    <s v="7/19/2018"/>
    <x v="94"/>
    <s v="GTB - Master Card 0244095070"/>
    <m/>
    <m/>
    <n v="10000"/>
    <m/>
    <s v="Inter Account Transfer"/>
    <x v="3"/>
    <m/>
    <m/>
    <m/>
    <m/>
  </r>
  <r>
    <n v="909"/>
    <s v="7/20/2018"/>
    <x v="190"/>
    <s v="GTB - Master Card 0244095070"/>
    <m/>
    <n v="15000"/>
    <m/>
    <m/>
    <s v="CASH WITHDRAWAL "/>
    <x v="37"/>
    <m/>
    <m/>
    <m/>
    <m/>
  </r>
  <r>
    <n v="910"/>
    <s v="7/23/2018"/>
    <x v="191"/>
    <s v="GTB - Master Card 0244095070"/>
    <s v="POS/WEB PURCHASE TRANSACTION"/>
    <n v="1500"/>
    <m/>
    <m/>
    <s v="TOPMED Pharmaceuticals"/>
    <x v="36"/>
    <m/>
    <m/>
    <m/>
    <m/>
  </r>
  <r>
    <n v="911"/>
    <s v="7/27/2018"/>
    <x v="96"/>
    <s v="GTB - Master Card 0244095070"/>
    <s v="POS/WEB PURCHASE TRANSACTION"/>
    <n v="1500"/>
    <m/>
    <m/>
    <s v="TOPMED Pharmaceuticals"/>
    <x v="36"/>
    <m/>
    <m/>
    <m/>
    <m/>
  </r>
  <r>
    <n v="912"/>
    <d v="2018-01-08T00:00:00"/>
    <x v="99"/>
    <s v="GTB - Master Card 0244095070"/>
    <m/>
    <m/>
    <n v="14150"/>
    <m/>
    <s v="Inter Account Transfer"/>
    <x v="3"/>
    <m/>
    <m/>
    <m/>
    <m/>
  </r>
  <r>
    <n v="913"/>
    <d v="2018-01-08T00:00:00"/>
    <x v="99"/>
    <s v="GTB - Master Card 0244095070"/>
    <m/>
    <m/>
    <n v="13350"/>
    <m/>
    <s v="Inter Account Transfer"/>
    <x v="3"/>
    <m/>
    <m/>
    <m/>
    <m/>
  </r>
  <r>
    <n v="914"/>
    <d v="2018-02-08T00:00:00"/>
    <x v="101"/>
    <s v="GTB - Master Card 0244095070"/>
    <m/>
    <m/>
    <n v="16800"/>
    <m/>
    <s v="Inter Account Transfer"/>
    <x v="3"/>
    <m/>
    <m/>
    <m/>
    <m/>
  </r>
  <r>
    <n v="915"/>
    <d v="2018-03-08T00:00:00"/>
    <x v="102"/>
    <s v="GTB - Master Card 0244095070"/>
    <s v="POS/WEB PURCHASE TRANSACTION"/>
    <n v="16800"/>
    <m/>
    <m/>
    <s v="FOOD CONCEPTS PLC"/>
    <x v="32"/>
    <m/>
    <m/>
    <m/>
    <m/>
  </r>
  <r>
    <n v="916"/>
    <d v="2018-03-08T00:00:00"/>
    <x v="102"/>
    <s v="GTB - Master Card 0244095070"/>
    <s v="POS/WEB PURCHASE TRANSACTION"/>
    <n v="13270"/>
    <m/>
    <m/>
    <s v="Sahad Stores"/>
    <x v="35"/>
    <m/>
    <m/>
    <m/>
    <m/>
  </r>
  <r>
    <n v="917"/>
    <d v="2018-03-08T00:00:00"/>
    <x v="102"/>
    <s v="GTB - Master Card 0244095070"/>
    <m/>
    <n v="10000"/>
    <m/>
    <m/>
    <s v="CASH WITHDRAWAL "/>
    <x v="37"/>
    <m/>
    <m/>
    <m/>
    <m/>
  </r>
  <r>
    <n v="918"/>
    <d v="2018-03-08T00:00:00"/>
    <x v="102"/>
    <s v="GTB - Master Card 0244095070"/>
    <m/>
    <n v="3500"/>
    <m/>
    <m/>
    <s v="CASH WITHDRAWAL "/>
    <x v="37"/>
    <m/>
    <m/>
    <m/>
    <m/>
  </r>
  <r>
    <n v="919"/>
    <d v="2018-03-08T00:00:00"/>
    <x v="102"/>
    <s v="GTB - Master Card 0244095070"/>
    <s v="Office internet subscription for 6months "/>
    <m/>
    <n v="108000"/>
    <m/>
    <s v="Internet subscription"/>
    <x v="1"/>
    <m/>
    <m/>
    <m/>
    <m/>
  </r>
  <r>
    <n v="920"/>
    <d v="2018-03-08T00:00:00"/>
    <x v="102"/>
    <s v="GTB - Master Card 0244095070"/>
    <m/>
    <m/>
    <n v="10000"/>
    <m/>
    <s v="Inter Account Transfer"/>
    <x v="3"/>
    <m/>
    <m/>
    <m/>
    <m/>
  </r>
  <r>
    <n v="921"/>
    <d v="2018-06-08T00:00:00"/>
    <x v="192"/>
    <s v="GTB - Master Card 0244095070"/>
    <s v="HOME BANKING ACCOUNT"/>
    <n v="108000"/>
    <m/>
    <m/>
    <s v="HOME BANKING ACCOUNT"/>
    <x v="41"/>
    <m/>
    <m/>
    <m/>
    <m/>
  </r>
  <r>
    <n v="922"/>
    <d v="2018-08-06T00:00:00"/>
    <x v="181"/>
    <s v="GTB - Master Card 0244095070"/>
    <m/>
    <n v="100"/>
    <m/>
    <m/>
    <s v="Finance Charges"/>
    <x v="2"/>
    <m/>
    <m/>
    <m/>
    <m/>
  </r>
  <r>
    <n v="923"/>
    <d v="2018-07-08T00:00:00"/>
    <x v="193"/>
    <s v="GTB - Master Card 0244095070"/>
    <s v="POS/WEB PURCHASE TRANSACTION"/>
    <n v="1500"/>
    <m/>
    <m/>
    <s v="TOPMED Pharmaceuticals"/>
    <x v="36"/>
    <m/>
    <m/>
    <m/>
    <m/>
  </r>
  <r>
    <n v="924"/>
    <d v="2018-08-08T00:00:00"/>
    <x v="104"/>
    <s v="GTB - Master Card 0244095070"/>
    <m/>
    <m/>
    <n v="35000"/>
    <m/>
    <s v="Inter Account Transfer"/>
    <x v="3"/>
    <m/>
    <m/>
    <m/>
    <m/>
  </r>
  <r>
    <n v="925"/>
    <d v="2018-08-08T00:00:00"/>
    <x v="104"/>
    <s v="GTB - Master Card 0244095070"/>
    <m/>
    <m/>
    <n v="2950"/>
    <m/>
    <s v="Inter Account Transfer"/>
    <x v="3"/>
    <m/>
    <m/>
    <m/>
    <m/>
  </r>
  <r>
    <n v="926"/>
    <d v="2018-10-08T00:00:00"/>
    <x v="194"/>
    <s v="GTB - Master Card 0244095070"/>
    <m/>
    <n v="15000"/>
    <m/>
    <m/>
    <s v="CASH WITHDRAWAL "/>
    <x v="37"/>
    <m/>
    <m/>
    <m/>
    <m/>
  </r>
  <r>
    <n v="927"/>
    <d v="2018-10-08T00:00:00"/>
    <x v="194"/>
    <s v="GTB - Master Card 0244095070"/>
    <m/>
    <n v="15000"/>
    <m/>
    <m/>
    <s v="CASH WITHDRAWAL "/>
    <x v="37"/>
    <m/>
    <m/>
    <m/>
    <m/>
  </r>
  <r>
    <n v="928"/>
    <d v="2018-10-08T00:00:00"/>
    <x v="194"/>
    <s v="GTB - Master Card 0244095070"/>
    <m/>
    <n v="15000"/>
    <m/>
    <m/>
    <s v="CASH WITHDRAWAL "/>
    <x v="37"/>
    <m/>
    <m/>
    <m/>
    <m/>
  </r>
  <r>
    <n v="929"/>
    <d v="2018-10-08T00:00:00"/>
    <x v="194"/>
    <s v="GTB - Master Card 0244095070"/>
    <m/>
    <n v="3000"/>
    <m/>
    <m/>
    <s v="CASH WITHDRAWAL "/>
    <x v="37"/>
    <m/>
    <m/>
    <m/>
    <m/>
  </r>
  <r>
    <n v="930"/>
    <s v="8/13/2018"/>
    <x v="195"/>
    <s v="GTB - Master Card 0244095070"/>
    <s v="POS/WEB PURCHASE TRANSACTION"/>
    <n v="1000"/>
    <m/>
    <m/>
    <s v="TOPMED Pharmaceuticals"/>
    <x v="36"/>
    <m/>
    <m/>
    <m/>
    <m/>
  </r>
  <r>
    <n v="931"/>
    <s v="8/16/2018"/>
    <x v="105"/>
    <s v="GTB - Master Card 0244095070"/>
    <m/>
    <m/>
    <n v="8835"/>
    <m/>
    <s v="Inter Account Transfer"/>
    <x v="3"/>
    <m/>
    <m/>
    <m/>
    <m/>
  </r>
  <r>
    <n v="932"/>
    <s v="8/16/2018"/>
    <x v="105"/>
    <s v="GTB - Master Card 0244095070"/>
    <m/>
    <m/>
    <n v="12000"/>
    <m/>
    <s v="Inter Account Transfer"/>
    <x v="3"/>
    <m/>
    <m/>
    <m/>
    <m/>
  </r>
  <r>
    <n v="933"/>
    <s v="8/16/2018"/>
    <x v="105"/>
    <s v="GTB - Master Card 0244095070"/>
    <m/>
    <m/>
    <n v="4000"/>
    <m/>
    <s v="Inter Account Transfer"/>
    <x v="3"/>
    <m/>
    <m/>
    <m/>
    <m/>
  </r>
  <r>
    <n v="934"/>
    <s v="8/17/2018"/>
    <x v="8"/>
    <s v="GTB - Master Card 0244095070"/>
    <s v="POS/WEB PURCHASE TRANSACTION"/>
    <n v="1500"/>
    <m/>
    <m/>
    <s v="TOPMED Pharmaceuticals"/>
    <x v="36"/>
    <m/>
    <m/>
    <m/>
    <m/>
  </r>
  <r>
    <n v="935"/>
    <s v="8/17/2018"/>
    <x v="8"/>
    <s v="GTB - Master Card 0244095070"/>
    <s v="POS/WEB PURCHASE TRANSACTION"/>
    <n v="9320"/>
    <m/>
    <m/>
    <s v="Sahad Stores"/>
    <x v="35"/>
    <m/>
    <m/>
    <m/>
    <m/>
  </r>
  <r>
    <n v="936"/>
    <s v="8/17/2018"/>
    <x v="8"/>
    <s v="GTB - Master Card 0244095070"/>
    <s v="POS/WEB PURCHASE TRANSACTION"/>
    <n v="1800"/>
    <m/>
    <m/>
    <s v="Sahad Stores"/>
    <x v="35"/>
    <m/>
    <m/>
    <m/>
    <m/>
  </r>
  <r>
    <n v="937"/>
    <s v="8/17/2018"/>
    <x v="8"/>
    <s v="GTB - Master Card 0244095070"/>
    <s v="POS/WEB PURCHASE TRANSACTION"/>
    <n v="500"/>
    <m/>
    <m/>
    <s v="PAYGREENS SALES LIMITED"/>
    <x v="36"/>
    <m/>
    <m/>
    <m/>
    <m/>
  </r>
  <r>
    <n v="938"/>
    <s v="8/17/2018"/>
    <x v="8"/>
    <s v="GTB - Master Card 0244095070"/>
    <s v="POS/WEB PURCHASE TRANSACTION"/>
    <n v="500"/>
    <m/>
    <m/>
    <s v="PAYGREENS SALES LIMITED"/>
    <x v="36"/>
    <m/>
    <m/>
    <m/>
    <m/>
  </r>
  <r>
    <n v="939"/>
    <s v="8/20/2018"/>
    <x v="106"/>
    <s v="GTB - Master Card 0244095070"/>
    <m/>
    <n v="9000"/>
    <m/>
    <m/>
    <s v="CASH WITHDRAWAL "/>
    <x v="37"/>
    <m/>
    <m/>
    <m/>
    <m/>
  </r>
  <r>
    <n v="940"/>
    <s v="8/24/2018"/>
    <x v="107"/>
    <s v="GTB - Master Card 0244095070"/>
    <s v="POS/WEB PURCHASE TRANSACTION"/>
    <n v="1500"/>
    <m/>
    <m/>
    <s v="SPECIAL EVENTS"/>
    <x v="32"/>
    <m/>
    <m/>
    <m/>
    <m/>
  </r>
  <r>
    <n v="941"/>
    <s v="8/24/2018"/>
    <x v="107"/>
    <s v="GTB - Master Card 0244095070"/>
    <m/>
    <m/>
    <n v="19800"/>
    <m/>
    <s v="Inter Account Transfer"/>
    <x v="3"/>
    <m/>
    <m/>
    <m/>
    <m/>
  </r>
  <r>
    <n v="942"/>
    <s v="8/24/2018"/>
    <x v="107"/>
    <s v="GTB - Master Card 0244095070"/>
    <m/>
    <m/>
    <n v="17400"/>
    <m/>
    <s v="Inter Account Transfer"/>
    <x v="3"/>
    <m/>
    <m/>
    <m/>
    <m/>
  </r>
  <r>
    <n v="943"/>
    <s v="8/27/2018"/>
    <x v="110"/>
    <s v="GTB - Master Card 0244095070"/>
    <s v="POS/WEB PURCHASE TRANSACTION"/>
    <n v="2949.73"/>
    <m/>
    <m/>
    <s v="SHOPRITE SILVERBIRD"/>
    <x v="32"/>
    <m/>
    <m/>
    <m/>
    <m/>
  </r>
  <r>
    <n v="944"/>
    <s v="8/27/2018"/>
    <x v="110"/>
    <s v="GTB - Master Card 0244095070"/>
    <s v="POS/WEB PURCHASE TRANSACTION"/>
    <n v="19800"/>
    <m/>
    <m/>
    <s v="SMILE COMMUNICATIONS"/>
    <x v="23"/>
    <m/>
    <m/>
    <m/>
    <m/>
  </r>
  <r>
    <n v="945"/>
    <s v="8/28/2018"/>
    <x v="196"/>
    <s v="GTB - Master Card 0244095070"/>
    <m/>
    <n v="2500"/>
    <m/>
    <m/>
    <s v="CASH WITHDRAWAL "/>
    <x v="37"/>
    <m/>
    <m/>
    <m/>
    <m/>
  </r>
  <r>
    <n v="946"/>
    <s v="8/29/2018"/>
    <x v="197"/>
    <s v="GTB - Master Card 0244095070"/>
    <s v="POS/WEB PURCHASE TRANSACTION"/>
    <n v="2100"/>
    <m/>
    <m/>
    <s v="SUNDRY FOODS LIMITED"/>
    <x v="32"/>
    <m/>
    <m/>
    <m/>
    <m/>
  </r>
  <r>
    <n v="947"/>
    <s v="8/30/2018"/>
    <x v="111"/>
    <s v="GTB - Master Card 0244095070"/>
    <m/>
    <m/>
    <n v="2400"/>
    <m/>
    <s v="Inter Account Transfer"/>
    <x v="3"/>
    <m/>
    <m/>
    <m/>
    <m/>
  </r>
  <r>
    <n v="948"/>
    <s v="8/30/2018"/>
    <x v="111"/>
    <s v="GTB - Master Card 0244095070"/>
    <m/>
    <m/>
    <n v="3000"/>
    <m/>
    <s v="Inter Account Transfer"/>
    <x v="3"/>
    <m/>
    <m/>
    <m/>
    <m/>
  </r>
  <r>
    <n v="949"/>
    <s v="8/30/2018"/>
    <x v="111"/>
    <s v="GTB - Master Card 0244095070"/>
    <m/>
    <m/>
    <n v="3000"/>
    <m/>
    <s v="Inter Account Transfer"/>
    <x v="3"/>
    <m/>
    <m/>
    <m/>
    <m/>
  </r>
  <r>
    <n v="950"/>
    <s v="8/30/2018"/>
    <x v="111"/>
    <s v="GTB - Master Card 0244095070"/>
    <m/>
    <m/>
    <n v="10000"/>
    <m/>
    <s v="Inter Account Transfer"/>
    <x v="3"/>
    <m/>
    <m/>
    <m/>
    <m/>
  </r>
  <r>
    <n v="951"/>
    <s v="8/30/2018"/>
    <x v="111"/>
    <s v="GTB - Master Card 0244095070"/>
    <m/>
    <m/>
    <n v="6500"/>
    <m/>
    <s v="Inter Account Transfer"/>
    <x v="3"/>
    <m/>
    <m/>
    <m/>
    <m/>
  </r>
  <r>
    <n v="952"/>
    <s v="8/30/2018"/>
    <x v="111"/>
    <s v="GTB - Master Card 0244095070"/>
    <m/>
    <m/>
    <n v="4200"/>
    <m/>
    <s v="Inter Account Transfer"/>
    <x v="3"/>
    <m/>
    <m/>
    <m/>
    <m/>
  </r>
  <r>
    <n v="953"/>
    <s v="8/30/2018"/>
    <x v="111"/>
    <s v="GTB - Master Card 0244095070"/>
    <s v="POS/WEB PURCHASE TRANSACTION"/>
    <n v="1500"/>
    <m/>
    <m/>
    <s v="SPECIAL EVENTS"/>
    <x v="32"/>
    <m/>
    <m/>
    <m/>
    <m/>
  </r>
  <r>
    <n v="954"/>
    <s v="8/31/2018"/>
    <x v="112"/>
    <s v="GTB - Master Card 0244095070"/>
    <s v="POS/WEB PURCHASE TRANSACTION"/>
    <n v="19600"/>
    <m/>
    <m/>
    <s v="SMILE COMMUNICATIONS"/>
    <x v="23"/>
    <m/>
    <m/>
    <m/>
    <m/>
  </r>
  <r>
    <n v="955"/>
    <s v="8/31/2018"/>
    <x v="112"/>
    <s v="GTB - Master Card 0244095070"/>
    <m/>
    <m/>
    <n v="19600"/>
    <m/>
    <s v="Inter Account Transfer"/>
    <x v="3"/>
    <m/>
    <m/>
    <m/>
    <m/>
  </r>
  <r>
    <n v="956"/>
    <s v="8/31/2018"/>
    <x v="112"/>
    <s v="GTB - Master Card 0244095070"/>
    <m/>
    <m/>
    <n v="10450"/>
    <m/>
    <s v="Inter Account Transfer"/>
    <x v="3"/>
    <m/>
    <m/>
    <m/>
    <m/>
  </r>
  <r>
    <n v="957"/>
    <s v="8/31/2018"/>
    <x v="112"/>
    <s v="GTB - Master Card 0244095070"/>
    <m/>
    <n v="14170"/>
    <m/>
    <m/>
    <s v="Sahad Stores"/>
    <x v="35"/>
    <m/>
    <m/>
    <m/>
    <m/>
  </r>
  <r>
    <n v="958"/>
    <s v="8/31/2018"/>
    <x v="112"/>
    <s v="GTB - Master Card 0244095070"/>
    <s v="POS/WEB PURCHASE TRANSACTION"/>
    <m/>
    <n v="14170"/>
    <m/>
    <s v="Sahad Stores"/>
    <x v="35"/>
    <m/>
    <m/>
    <m/>
    <m/>
  </r>
  <r>
    <n v="959"/>
    <s v="8/31/2018"/>
    <x v="112"/>
    <s v="GTB - Master Card 0244095070"/>
    <s v="POS/WEB PURCHASE TRANSACTION"/>
    <n v="15370"/>
    <m/>
    <m/>
    <s v="Sahad Stores"/>
    <x v="35"/>
    <m/>
    <m/>
    <m/>
    <m/>
  </r>
  <r>
    <n v="960"/>
    <d v="2018-03-09T00:00:00"/>
    <x v="113"/>
    <s v="GTB - Master Card 0244095070"/>
    <m/>
    <m/>
    <n v="39600"/>
    <m/>
    <s v="Inter Account Transfer"/>
    <x v="3"/>
    <m/>
    <m/>
    <m/>
    <m/>
  </r>
  <r>
    <n v="961"/>
    <d v="2018-04-09T00:00:00"/>
    <x v="198"/>
    <s v="GTB - Master Card 0244095070"/>
    <m/>
    <n v="15000"/>
    <m/>
    <m/>
    <s v="CASH WITHDRAWAL "/>
    <x v="37"/>
    <m/>
    <m/>
    <m/>
    <m/>
  </r>
  <r>
    <n v="962"/>
    <d v="2018-04-09T00:00:00"/>
    <x v="198"/>
    <s v="GTB - Master Card 0244095070"/>
    <m/>
    <n v="3500"/>
    <m/>
    <m/>
    <s v="CASH WITHDRAWAL "/>
    <x v="37"/>
    <m/>
    <m/>
    <m/>
    <m/>
  </r>
  <r>
    <n v="963"/>
    <d v="2018-10-09T00:00:00"/>
    <x v="114"/>
    <s v="GTB - Master Card 0244095070"/>
    <s v="POS/WEB PURCHASE TRANSACTION"/>
    <n v="1500"/>
    <m/>
    <m/>
    <s v="SPECIAL EVENTS"/>
    <x v="32"/>
    <m/>
    <m/>
    <m/>
    <m/>
  </r>
  <r>
    <n v="964"/>
    <d v="2018-12-09T00:00:00"/>
    <x v="117"/>
    <s v="GTB - Master Card 0244095070"/>
    <s v="Own Account Transfer"/>
    <n v="39600"/>
    <m/>
    <m/>
    <s v="Internet subscription"/>
    <x v="23"/>
    <m/>
    <m/>
    <m/>
    <m/>
  </r>
  <r>
    <n v="965"/>
    <d v="2018-12-09T00:00:00"/>
    <x v="117"/>
    <s v="GTB - Master Card 0244095070"/>
    <m/>
    <m/>
    <n v="7800"/>
    <m/>
    <s v="Inter Account Transfer"/>
    <x v="3"/>
    <m/>
    <m/>
    <m/>
    <m/>
  </r>
  <r>
    <n v="966"/>
    <s v="9/13/2018"/>
    <x v="118"/>
    <s v="GTB - Master Card 0244095070"/>
    <s v="POS/WEB PURCHASE TRANSACTION"/>
    <n v="1800"/>
    <m/>
    <m/>
    <s v="CHICKEN REPUBLIC"/>
    <x v="32"/>
    <m/>
    <m/>
    <m/>
    <m/>
  </r>
  <r>
    <n v="967"/>
    <s v="9/14/2018"/>
    <x v="119"/>
    <s v="GTB - Master Card 0244095070"/>
    <m/>
    <n v="10000"/>
    <m/>
    <m/>
    <s v="CASH WITHDRAWAL "/>
    <x v="37"/>
    <m/>
    <m/>
    <m/>
    <m/>
  </r>
  <r>
    <n v="968"/>
    <s v="9/14/2018"/>
    <x v="119"/>
    <s v="GTB - Master Card 0244095070"/>
    <s v="POS/WEB PURCHASE TRANSACTION"/>
    <n v="700"/>
    <m/>
    <m/>
    <s v="CHICKEN REPUBLIC"/>
    <x v="32"/>
    <m/>
    <m/>
    <m/>
    <m/>
  </r>
  <r>
    <n v="969"/>
    <s v="9/17/2018"/>
    <x v="199"/>
    <s v="GTB - Master Card 0244095070"/>
    <s v="POS/WEB PURCHASE TRANSACTION"/>
    <n v="1500"/>
    <m/>
    <m/>
    <s v="CUTEMAN RESOURCES LTD"/>
    <x v="43"/>
    <m/>
    <m/>
    <m/>
    <m/>
  </r>
  <r>
    <n v="970"/>
    <s v="9/19/2018"/>
    <x v="120"/>
    <s v="GTB - Master Card 0244095070"/>
    <m/>
    <m/>
    <n v="10000"/>
    <m/>
    <s v="Inter Account Transfer"/>
    <x v="3"/>
    <m/>
    <m/>
    <m/>
    <m/>
  </r>
  <r>
    <n v="971"/>
    <s v="9/19/2018"/>
    <x v="120"/>
    <s v="GTB - Master Card 0244095070"/>
    <m/>
    <n v="8000"/>
    <m/>
    <m/>
    <s v="CASH WITHDRAWAL "/>
    <x v="37"/>
    <m/>
    <m/>
    <m/>
    <m/>
  </r>
  <r>
    <n v="972"/>
    <s v="9/20/2018"/>
    <x v="121"/>
    <s v="GTB - Master Card 0244095070"/>
    <m/>
    <m/>
    <n v="15250"/>
    <m/>
    <s v="Inter Account Transfer"/>
    <x v="3"/>
    <m/>
    <m/>
    <m/>
    <m/>
  </r>
  <r>
    <n v="973"/>
    <s v="9/21/2018"/>
    <x v="24"/>
    <s v="GTB - Master Card 0244095070"/>
    <s v="POS/WEB PURCHASE TRANSACTION"/>
    <n v="9249.24"/>
    <m/>
    <m/>
    <s v="RETAIL SUPERMARKETS"/>
    <x v="32"/>
    <m/>
    <m/>
    <m/>
    <m/>
  </r>
  <r>
    <n v="974"/>
    <s v="9/24/2018"/>
    <x v="200"/>
    <s v="GTB - Master Card 0244095070"/>
    <s v="POS/WEB PURCHASE TRANSACTION"/>
    <n v="1500"/>
    <m/>
    <m/>
    <s v="SPECIAL EVENTS"/>
    <x v="32"/>
    <m/>
    <m/>
    <m/>
    <m/>
  </r>
  <r>
    <n v="975"/>
    <s v="9/27/2018"/>
    <x v="124"/>
    <s v="GTB - Master Card 0244095070"/>
    <s v="POS/WEB PURCHASE TRANSACTION"/>
    <n v="1500"/>
    <m/>
    <m/>
    <s v="SPECIAL EVENTS"/>
    <x v="32"/>
    <m/>
    <m/>
    <m/>
    <m/>
  </r>
  <r>
    <n v="976"/>
    <s v="9/27/2018"/>
    <x v="124"/>
    <s v="GTB - Master Card 0244095070"/>
    <m/>
    <m/>
    <n v="5700"/>
    <m/>
    <s v="Inter Account Transfer"/>
    <x v="3"/>
    <m/>
    <m/>
    <m/>
    <m/>
  </r>
  <r>
    <n v="977"/>
    <s v="9/27/2018"/>
    <x v="124"/>
    <s v="GTB - Master Card 0244095070"/>
    <m/>
    <m/>
    <n v="12100"/>
    <m/>
    <s v="Inter Account Transfer"/>
    <x v="3"/>
    <m/>
    <m/>
    <m/>
    <m/>
  </r>
  <r>
    <n v="978"/>
    <s v="9/27/2018"/>
    <x v="124"/>
    <s v="GTB - Master Card 0244095070"/>
    <s v="Three months subscription for the smile internet device at the office"/>
    <m/>
    <n v="59400"/>
    <m/>
    <s v="Internet subscription"/>
    <x v="1"/>
    <m/>
    <m/>
    <m/>
    <m/>
  </r>
  <r>
    <n v="979"/>
    <s v="9/27/2018"/>
    <x v="124"/>
    <s v="GTB - Master Card 0244095070"/>
    <m/>
    <m/>
    <n v="10000"/>
    <m/>
    <s v="Inter Account Transfer"/>
    <x v="3"/>
    <m/>
    <m/>
    <m/>
    <m/>
  </r>
  <r>
    <n v="980"/>
    <s v="9/27/2018"/>
    <x v="124"/>
    <s v="GTB - Master Card 0244095070"/>
    <m/>
    <m/>
    <n v="5000"/>
    <m/>
    <s v="Inter Account Transfer"/>
    <x v="3"/>
    <m/>
    <m/>
    <m/>
    <m/>
  </r>
  <r>
    <n v="981"/>
    <s v="9/27/2018"/>
    <x v="124"/>
    <s v="GTB - Master Card 0244095070"/>
    <m/>
    <m/>
    <n v="11800"/>
    <m/>
    <s v="Inter Account Transfer"/>
    <x v="3"/>
    <m/>
    <m/>
    <m/>
    <m/>
  </r>
  <r>
    <n v="982"/>
    <s v="9/28/2018"/>
    <x v="125"/>
    <s v="GTB - Master Card 0244095070"/>
    <s v="POS/WEB PURCHASE TRANSACTION"/>
    <n v="19800"/>
    <m/>
    <m/>
    <s v="SMILE COMMUNICATIONS"/>
    <x v="23"/>
    <m/>
    <m/>
    <m/>
    <m/>
  </r>
  <r>
    <n v="983"/>
    <s v="9/28/2018"/>
    <x v="125"/>
    <s v="GTB - Master Card 0244095070"/>
    <s v="POS/WEB PURCHASE TRANSACTION"/>
    <n v="4300"/>
    <m/>
    <m/>
    <s v="CELEBRATIONS CARDS"/>
    <x v="7"/>
    <m/>
    <m/>
    <m/>
    <m/>
  </r>
  <r>
    <n v="984"/>
    <s v="9/28/2018"/>
    <x v="125"/>
    <s v="GTB - Master Card 0244095070"/>
    <m/>
    <n v="15000"/>
    <m/>
    <m/>
    <s v="CASH WITHDRAWAL "/>
    <x v="37"/>
    <m/>
    <m/>
    <m/>
    <m/>
  </r>
  <r>
    <n v="985"/>
    <s v="9/28/2018"/>
    <x v="125"/>
    <s v="GTB - Master Card 0244095070"/>
    <m/>
    <n v="1000"/>
    <m/>
    <m/>
    <s v="CASH WITHDRAWAL "/>
    <x v="37"/>
    <m/>
    <m/>
    <m/>
    <m/>
  </r>
  <r>
    <n v="986"/>
    <s v="9/28/2018"/>
    <x v="125"/>
    <s v="GTB - Master Card 0244095070"/>
    <s v="POS/WEB PURCHASE TRANSACTION"/>
    <n v="20910"/>
    <m/>
    <m/>
    <s v="Sahad Stores"/>
    <x v="35"/>
    <m/>
    <m/>
    <m/>
    <m/>
  </r>
  <r>
    <n v="987"/>
    <s v="9/28/2018"/>
    <x v="125"/>
    <s v="GTB - Master Card 0244095070"/>
    <s v="POS/WEB PURCHASE TRANSACTION"/>
    <n v="4599.9799999999996"/>
    <m/>
    <m/>
    <s v="RETAIL SUPERMARKETS"/>
    <x v="32"/>
    <m/>
    <m/>
    <m/>
    <m/>
  </r>
  <r>
    <n v="988"/>
    <d v="2018-02-10T00:00:00"/>
    <x v="201"/>
    <s v="GTB - Master Card 0244095070"/>
    <s v="POS/WEB PURCHASE TRANSACTION"/>
    <n v="10746.96"/>
    <m/>
    <m/>
    <s v="WEB4AFRICA LIMITED"/>
    <x v="6"/>
    <m/>
    <m/>
    <m/>
    <m/>
  </r>
  <r>
    <n v="989"/>
    <d v="2018-03-10T00:00:00"/>
    <x v="126"/>
    <s v="GTB - Master Card 0244095070"/>
    <m/>
    <m/>
    <n v="4250"/>
    <m/>
    <s v="Inter Account Transfer"/>
    <x v="3"/>
    <m/>
    <m/>
    <m/>
    <m/>
  </r>
  <r>
    <n v="990"/>
    <d v="2018-03-10T00:00:00"/>
    <x v="126"/>
    <s v="GTB - Master Card 0244095070"/>
    <m/>
    <m/>
    <n v="10746.96"/>
    <m/>
    <s v="Inter Account Transfer"/>
    <x v="3"/>
    <m/>
    <m/>
    <m/>
    <m/>
  </r>
  <r>
    <n v="991"/>
    <d v="2018-03-10T00:00:00"/>
    <x v="126"/>
    <s v="GTB - Master Card 0244095070"/>
    <m/>
    <m/>
    <n v="35000"/>
    <m/>
    <s v="Inter Account Transfer"/>
    <x v="3"/>
    <m/>
    <m/>
    <m/>
    <m/>
  </r>
  <r>
    <n v="992"/>
    <d v="2018-06-10T00:00:00"/>
    <x v="202"/>
    <s v="GTB - Master Card 0244095070"/>
    <s v="POS/WEB PURCHASE TRANSACTION"/>
    <n v="1500"/>
    <m/>
    <m/>
    <s v="DONAROSE CONCEPT LTD"/>
    <x v="44"/>
    <m/>
    <m/>
    <m/>
    <m/>
  </r>
  <r>
    <n v="993"/>
    <d v="2018-10-10T00:00:00"/>
    <x v="26"/>
    <s v="GTB - Master Card 0244095070"/>
    <m/>
    <m/>
    <n v="25000"/>
    <m/>
    <s v="Inter Account Transfer"/>
    <x v="3"/>
    <m/>
    <m/>
    <m/>
    <m/>
  </r>
  <r>
    <n v="994"/>
    <d v="2018-10-10T00:00:00"/>
    <x v="26"/>
    <s v="GTB - Master Card 0244095070"/>
    <s v="3months SMILE internet subscription for 2 devices"/>
    <m/>
    <n v="118800"/>
    <m/>
    <s v="Internet subscription"/>
    <x v="1"/>
    <m/>
    <m/>
    <m/>
    <m/>
  </r>
  <r>
    <n v="995"/>
    <d v="2018-10-10T00:00:00"/>
    <x v="26"/>
    <s v="GTB - Master Card 0244095070"/>
    <m/>
    <m/>
    <n v="6400"/>
    <m/>
    <s v="Inter Account Transfer"/>
    <x v="3"/>
    <m/>
    <m/>
    <m/>
    <m/>
  </r>
  <r>
    <n v="996"/>
    <d v="2018-11-10T00:00:00"/>
    <x v="203"/>
    <s v="GTB - Master Card 0244095070"/>
    <s v="POS/WEB PURCHASE TRANSACTION"/>
    <n v="25000"/>
    <m/>
    <m/>
    <s v="SERENDIB HOTELS LIMITED"/>
    <x v="45"/>
    <m/>
    <m/>
    <m/>
    <m/>
  </r>
  <r>
    <n v="997"/>
    <d v="2018-12-10T00:00:00"/>
    <x v="127"/>
    <s v="GTB - Master Card 0244095070"/>
    <m/>
    <m/>
    <n v="7200"/>
    <m/>
    <s v="Inter Account Transfer"/>
    <x v="3"/>
    <m/>
    <m/>
    <m/>
    <m/>
  </r>
  <r>
    <n v="998"/>
    <d v="2018-12-10T00:00:00"/>
    <x v="127"/>
    <s v="GTB - Master Card 0244095070"/>
    <s v="POS/WEB PURCHASE TRANSACTION"/>
    <n v="19800"/>
    <m/>
    <m/>
    <s v="SMILE COMMUNICATIONS"/>
    <x v="23"/>
    <m/>
    <m/>
    <m/>
    <m/>
  </r>
  <r>
    <n v="999"/>
    <d v="2018-12-10T00:00:00"/>
    <x v="127"/>
    <s v="GTB - Master Card 0244095070"/>
    <s v="POS/WEB PURCHASE TRANSACTION"/>
    <n v="19800"/>
    <m/>
    <m/>
    <s v="SMILE COMMUNICATIONS"/>
    <x v="23"/>
    <m/>
    <m/>
    <m/>
    <m/>
  </r>
  <r>
    <n v="1000"/>
    <s v="10/15/2018"/>
    <x v="204"/>
    <s v="GTB - Master Card 0244095070"/>
    <m/>
    <n v="10000"/>
    <m/>
    <m/>
    <s v="CASH WITHDRAWAL "/>
    <x v="37"/>
    <m/>
    <m/>
    <m/>
    <m/>
  </r>
  <r>
    <n v="1001"/>
    <s v="10/15/2018"/>
    <x v="204"/>
    <s v="GTB - Master Card 0244095070"/>
    <m/>
    <n v="10000"/>
    <m/>
    <m/>
    <s v="CASH WITHDRAWAL "/>
    <x v="37"/>
    <m/>
    <m/>
    <m/>
    <m/>
  </r>
  <r>
    <n v="1002"/>
    <s v="10/15/2018"/>
    <x v="204"/>
    <s v="GTB - Master Card 0244095070"/>
    <m/>
    <n v="15000"/>
    <m/>
    <m/>
    <s v="CASH WITHDRAWAL "/>
    <x v="37"/>
    <m/>
    <m/>
    <m/>
    <m/>
  </r>
  <r>
    <n v="1003"/>
    <s v="10/15/2018"/>
    <x v="204"/>
    <s v="GTB - Master Card 0244095070"/>
    <m/>
    <n v="15000"/>
    <m/>
    <m/>
    <s v="CASH WITHDRAWAL "/>
    <x v="37"/>
    <m/>
    <m/>
    <m/>
    <m/>
  </r>
  <r>
    <n v="1004"/>
    <s v="10/15/2018"/>
    <x v="204"/>
    <s v="GTB - Master Card 0244095070"/>
    <m/>
    <n v="3000"/>
    <m/>
    <m/>
    <s v="CASH WITHDRAWAL "/>
    <x v="37"/>
    <m/>
    <m/>
    <m/>
    <m/>
  </r>
  <r>
    <n v="1005"/>
    <s v="10/18/2018"/>
    <x v="129"/>
    <s v="GTB - Master Card 0244095070"/>
    <s v="POS/WEB PURCHASE TRANSACTION"/>
    <n v="1500"/>
    <m/>
    <m/>
    <s v="CUTEMAN RESOURCES LTD"/>
    <x v="43"/>
    <m/>
    <m/>
    <m/>
    <m/>
  </r>
  <r>
    <n v="1006"/>
    <s v="10/18/2018"/>
    <x v="129"/>
    <s v="GTB - Master Card 0244095070"/>
    <m/>
    <m/>
    <n v="8750"/>
    <m/>
    <s v="Inter Account Transfer"/>
    <x v="3"/>
    <m/>
    <m/>
    <m/>
    <m/>
  </r>
  <r>
    <n v="1007"/>
    <s v="10/18/2018"/>
    <x v="129"/>
    <s v="GTB - Master Card 0244095070"/>
    <m/>
    <m/>
    <n v="25300"/>
    <m/>
    <s v="Inter Account Transfer"/>
    <x v="3"/>
    <m/>
    <m/>
    <m/>
    <m/>
  </r>
  <r>
    <n v="1008"/>
    <s v="10/18/2018"/>
    <x v="129"/>
    <s v="GTB - Master Card 0244095070"/>
    <m/>
    <m/>
    <n v="15000"/>
    <m/>
    <s v="Inter Account Transfer"/>
    <x v="3"/>
    <m/>
    <m/>
    <m/>
    <m/>
  </r>
  <r>
    <n v="1009"/>
    <s v="10/18/2018"/>
    <x v="129"/>
    <s v="GTB - Master Card 0244095070"/>
    <s v="POS/WEB PURCHASE TRANSACTION"/>
    <n v="20700"/>
    <m/>
    <m/>
    <s v="Domino Pizza"/>
    <x v="32"/>
    <m/>
    <m/>
    <m/>
    <m/>
  </r>
  <r>
    <n v="1010"/>
    <s v="10/19/2018"/>
    <x v="12"/>
    <s v="GTB - Master Card 0244095070"/>
    <m/>
    <m/>
    <n v="25000"/>
    <m/>
    <s v="Inter Account Transfer"/>
    <x v="3"/>
    <m/>
    <m/>
    <m/>
    <m/>
  </r>
  <r>
    <n v="1011"/>
    <s v="10/19/2018"/>
    <x v="12"/>
    <s v="GTB - Master Card 0244095070"/>
    <m/>
    <m/>
    <n v="11700"/>
    <m/>
    <s v="Inter Account Transfer"/>
    <x v="3"/>
    <m/>
    <m/>
    <m/>
    <m/>
  </r>
  <r>
    <n v="1012"/>
    <s v="10/19/2018"/>
    <x v="12"/>
    <s v="GTB - Master Card 0244095070"/>
    <m/>
    <m/>
    <n v="12100"/>
    <m/>
    <s v="Inter Account Transfer"/>
    <x v="3"/>
    <m/>
    <m/>
    <m/>
    <m/>
  </r>
  <r>
    <n v="1013"/>
    <s v="10/19/2018"/>
    <x v="12"/>
    <s v="GTB - Master Card 0244095070"/>
    <m/>
    <m/>
    <n v="8900"/>
    <m/>
    <s v="Inter Account Transfer"/>
    <x v="3"/>
    <m/>
    <m/>
    <m/>
    <m/>
  </r>
  <r>
    <n v="1014"/>
    <s v="10/19/2018"/>
    <x v="12"/>
    <s v="GTB - Master Card 0244095070"/>
    <m/>
    <m/>
    <n v="10000"/>
    <m/>
    <s v="Inter Account Transfer"/>
    <x v="3"/>
    <m/>
    <m/>
    <m/>
    <m/>
  </r>
  <r>
    <n v="1015"/>
    <s v="10/19/2018"/>
    <x v="12"/>
    <s v="GTB - Master Card 0244095070"/>
    <m/>
    <m/>
    <n v="2500"/>
    <m/>
    <s v="Inter Account Transfer"/>
    <x v="3"/>
    <m/>
    <m/>
    <m/>
    <m/>
  </r>
  <r>
    <n v="1016"/>
    <s v="10/19/2018"/>
    <x v="12"/>
    <s v="GTB - Master Card 0244095070"/>
    <s v="POS/WEB PURCHASE TRANSACTION"/>
    <n v="18260"/>
    <m/>
    <m/>
    <s v="Sahad Stores"/>
    <x v="35"/>
    <m/>
    <m/>
    <m/>
    <m/>
  </r>
  <r>
    <n v="1017"/>
    <s v="10/19/2018"/>
    <x v="12"/>
    <s v="GTB - Master Card 0244095070"/>
    <s v="POS/WEB PURCHASE TRANSACTION"/>
    <n v="14450"/>
    <m/>
    <m/>
    <s v="JEVINIK NIGERIA LIMITED"/>
    <x v="32"/>
    <m/>
    <m/>
    <m/>
    <m/>
  </r>
  <r>
    <n v="1018"/>
    <s v="10/19/2018"/>
    <x v="12"/>
    <s v="GTB - Master Card 0244095070"/>
    <s v="POS/WEB PURCHASE TRANSACTION"/>
    <n v="19800"/>
    <m/>
    <m/>
    <s v="SMILE COMMUNICATIONS"/>
    <x v="23"/>
    <m/>
    <m/>
    <m/>
    <m/>
  </r>
  <r>
    <n v="1019"/>
    <s v="10/22/2018"/>
    <x v="205"/>
    <s v="GTB - Master Card 0244095070"/>
    <s v="POS/WEB PURCHASE TRANSACTION"/>
    <n v="1650"/>
    <m/>
    <m/>
    <s v="H-MEDIX PHARMACY "/>
    <x v="36"/>
    <m/>
    <m/>
    <m/>
    <m/>
  </r>
  <r>
    <n v="1020"/>
    <s v="10/24/2018"/>
    <x v="206"/>
    <s v="GTB - Master Card 0244095070"/>
    <s v="POS/WEB PURCHASE TRANSACTION"/>
    <n v="1100"/>
    <m/>
    <m/>
    <s v="CUTEMAN RESOURCES LTD"/>
    <x v="43"/>
    <m/>
    <m/>
    <m/>
    <m/>
  </r>
  <r>
    <n v="1021"/>
    <s v="10/24/2018"/>
    <x v="206"/>
    <s v="GTB - Master Card 0244095070"/>
    <m/>
    <n v="15000"/>
    <m/>
    <m/>
    <s v="CASH WITHDRAWAL "/>
    <x v="37"/>
    <m/>
    <m/>
    <m/>
    <m/>
  </r>
  <r>
    <n v="1022"/>
    <s v="10/24/2018"/>
    <x v="206"/>
    <s v="GTB - Master Card 0244095070"/>
    <m/>
    <n v="15000"/>
    <m/>
    <m/>
    <s v="CASH WITHDRAWAL "/>
    <x v="37"/>
    <m/>
    <m/>
    <m/>
    <m/>
  </r>
  <r>
    <n v="1023"/>
    <s v="10/24/2018"/>
    <x v="206"/>
    <s v="GTB - Master Card 0244095070"/>
    <m/>
    <n v="7500"/>
    <m/>
    <m/>
    <s v="CASH WITHDRAWAL "/>
    <x v="37"/>
    <m/>
    <m/>
    <m/>
    <m/>
  </r>
  <r>
    <n v="1024"/>
    <s v="10/27/2018"/>
    <x v="207"/>
    <s v="GTB - Master Card 0244095070"/>
    <s v="POS/WEB PURCHASE TRANSACTION"/>
    <n v="25000"/>
    <m/>
    <m/>
    <s v="SERENDIB HOTELS LIMITED"/>
    <x v="45"/>
    <m/>
    <m/>
    <m/>
    <m/>
  </r>
  <r>
    <n v="1025"/>
    <d v="2018-01-11T00:00:00"/>
    <x v="208"/>
    <s v="GTB - Master Card 0244095070"/>
    <s v="POS/WEB PURCHASE TRANSACTION"/>
    <n v="1650"/>
    <m/>
    <m/>
    <s v="CLIMAX UNIVERSAL EMPOR"/>
    <x v="46"/>
    <m/>
    <m/>
    <m/>
    <m/>
  </r>
  <r>
    <n v="1026"/>
    <d v="2018-03-11T00:00:00"/>
    <x v="133"/>
    <s v="GTB - Master Card 0244095070"/>
    <m/>
    <m/>
    <n v="35000"/>
    <m/>
    <s v="Inter Account Transfer"/>
    <x v="3"/>
    <m/>
    <m/>
    <m/>
    <m/>
  </r>
  <r>
    <n v="1027"/>
    <d v="2018-03-11T00:00:00"/>
    <x v="133"/>
    <s v="GTB - Master Card 0244095070"/>
    <m/>
    <m/>
    <n v="35000"/>
    <m/>
    <s v="Inter Account Transfer"/>
    <x v="3"/>
    <m/>
    <m/>
    <m/>
    <m/>
  </r>
  <r>
    <n v="1028"/>
    <d v="2018-06-11T00:00:00"/>
    <x v="209"/>
    <s v="GTB - Master Card 0244095070"/>
    <s v="POS/WEB PURCHASE TRANSACTION"/>
    <n v="1650"/>
    <m/>
    <m/>
    <s v="H-MEDIX PHARMACY LIMITED"/>
    <x v="36"/>
    <m/>
    <m/>
    <m/>
    <m/>
  </r>
  <r>
    <n v="1029"/>
    <d v="2018-07-11T00:00:00"/>
    <x v="134"/>
    <s v="GTB - Master Card 0244095070"/>
    <m/>
    <m/>
    <n v="5900"/>
    <m/>
    <s v="Inter Account Transfer"/>
    <x v="3"/>
    <m/>
    <m/>
    <m/>
    <m/>
  </r>
  <r>
    <n v="1030"/>
    <d v="2018-07-11T00:00:00"/>
    <x v="134"/>
    <s v="GTB - Master Card 0244095070"/>
    <m/>
    <m/>
    <n v="5798"/>
    <m/>
    <s v="Inter Account Transfer"/>
    <x v="3"/>
    <m/>
    <m/>
    <m/>
    <m/>
  </r>
  <r>
    <n v="1031"/>
    <d v="2018-08-11T00:00:00"/>
    <x v="210"/>
    <s v="GTB - Master Card 0244095070"/>
    <m/>
    <n v="15000"/>
    <m/>
    <m/>
    <s v="CASH WITHDRAWAL "/>
    <x v="37"/>
    <m/>
    <m/>
    <m/>
    <m/>
  </r>
  <r>
    <n v="1032"/>
    <d v="2018-08-11T00:00:00"/>
    <x v="210"/>
    <s v="GTB - Master Card 0244095070"/>
    <m/>
    <n v="15000"/>
    <m/>
    <m/>
    <s v="CASH WITHDRAWAL "/>
    <x v="37"/>
    <m/>
    <m/>
    <m/>
    <m/>
  </r>
  <r>
    <n v="1033"/>
    <d v="2018-08-11T00:00:00"/>
    <x v="210"/>
    <s v="GTB - Master Card 0244095070"/>
    <m/>
    <n v="15000"/>
    <m/>
    <m/>
    <s v="CASH WITHDRAWAL "/>
    <x v="37"/>
    <m/>
    <m/>
    <m/>
    <m/>
  </r>
  <r>
    <n v="1034"/>
    <d v="2018-08-11T00:00:00"/>
    <x v="210"/>
    <s v="GTB - Master Card 0244095070"/>
    <m/>
    <n v="15000"/>
    <m/>
    <m/>
    <s v="CASH WITHDRAWAL "/>
    <x v="37"/>
    <m/>
    <m/>
    <m/>
    <m/>
  </r>
  <r>
    <n v="1035"/>
    <d v="2018-08-11T00:00:00"/>
    <x v="210"/>
    <s v="GTB - Master Card 0244095070"/>
    <m/>
    <n v="6000"/>
    <m/>
    <m/>
    <s v="CASH WITHDRAWAL "/>
    <x v="37"/>
    <m/>
    <m/>
    <m/>
    <m/>
  </r>
  <r>
    <n v="1036"/>
    <d v="2018-09-11T00:00:00"/>
    <x v="23"/>
    <s v="GTB - Master Card 0244095070"/>
    <s v="POS/WEB PURCHASE TRANSACTION"/>
    <n v="1650"/>
    <m/>
    <m/>
    <s v="H-MEDIX PHARMACY LIMITED"/>
    <x v="36"/>
    <m/>
    <m/>
    <m/>
    <m/>
  </r>
  <r>
    <n v="1037"/>
    <d v="2018-12-11T00:00:00"/>
    <x v="211"/>
    <s v="GTB - Master Card 0244095070"/>
    <s v="POS/WEB PURCHASE TRANSACTION"/>
    <n v="19800"/>
    <m/>
    <m/>
    <s v="SMILE COMMUNICATIONS"/>
    <x v="23"/>
    <m/>
    <m/>
    <m/>
    <m/>
  </r>
  <r>
    <n v="1038"/>
    <d v="2018-12-11T00:00:00"/>
    <x v="211"/>
    <s v="GTB - Master Card 0244095070"/>
    <s v="POS/WEB PURCHASE TRANSACTION"/>
    <n v="19800"/>
    <m/>
    <m/>
    <s v="SMILE COMMUNICATIONS"/>
    <x v="23"/>
    <m/>
    <m/>
    <m/>
    <m/>
  </r>
  <r>
    <n v="1039"/>
    <s v="11/14/2018"/>
    <x v="136"/>
    <s v="GTB - Master Card 0244095070"/>
    <m/>
    <m/>
    <n v="10300"/>
    <m/>
    <s v="Inter Account Transfer"/>
    <x v="3"/>
    <m/>
    <m/>
    <m/>
    <m/>
  </r>
  <r>
    <n v="1040"/>
    <s v="11/17/2018"/>
    <x v="137"/>
    <s v="GTB - Master Card 0244095070"/>
    <m/>
    <m/>
    <n v="30940"/>
    <m/>
    <s v="Inter Account Transfer"/>
    <x v="3"/>
    <m/>
    <m/>
    <m/>
    <m/>
  </r>
  <r>
    <n v="1041"/>
    <s v="11/19/2018"/>
    <x v="212"/>
    <s v="GTB - Master Card 0244095070"/>
    <s v="POS/WEB PURCHASE TRANSACTION"/>
    <n v="1650"/>
    <m/>
    <m/>
    <s v="CLIMAX UNIVERSAL EMPOR"/>
    <x v="46"/>
    <m/>
    <m/>
    <m/>
    <m/>
  </r>
  <r>
    <n v="1042"/>
    <s v="11/19/2018"/>
    <x v="212"/>
    <s v="GTB - Master Card 0244095070"/>
    <s v="POS/WEB PURCHASE TRANSACTION"/>
    <n v="19800"/>
    <m/>
    <m/>
    <s v="SMILE COMMUNICATIONS"/>
    <x v="23"/>
    <m/>
    <m/>
    <m/>
    <m/>
  </r>
  <r>
    <n v="1043"/>
    <s v="11/21/2018"/>
    <x v="213"/>
    <s v="GTB - Master Card 0244095070"/>
    <m/>
    <n v="15000"/>
    <m/>
    <m/>
    <s v="CASH WITHDRAWAL "/>
    <x v="37"/>
    <m/>
    <m/>
    <m/>
    <m/>
  </r>
  <r>
    <n v="1044"/>
    <s v="11/21/2018"/>
    <x v="213"/>
    <s v="GTB - Master Card 0244095070"/>
    <m/>
    <n v="15000"/>
    <m/>
    <m/>
    <s v="CASH WITHDRAWAL "/>
    <x v="37"/>
    <m/>
    <m/>
    <m/>
    <m/>
  </r>
  <r>
    <n v="1045"/>
    <s v="11/21/2018"/>
    <x v="213"/>
    <s v="GTB - Master Card 0244095070"/>
    <m/>
    <n v="4000"/>
    <m/>
    <m/>
    <s v="CASH WITHDRAWAL "/>
    <x v="37"/>
    <m/>
    <m/>
    <m/>
    <m/>
  </r>
  <r>
    <n v="1046"/>
    <s v="11/22/2018"/>
    <x v="138"/>
    <s v="GTB - Master Card 0244095070"/>
    <m/>
    <m/>
    <n v="9000"/>
    <m/>
    <s v="Inter Account Transfer"/>
    <x v="3"/>
    <m/>
    <m/>
    <m/>
    <m/>
  </r>
  <r>
    <n v="1047"/>
    <s v="11/22/2018"/>
    <x v="138"/>
    <s v="GTB - Master Card 0244095070"/>
    <m/>
    <m/>
    <n v="25000"/>
    <m/>
    <s v="Inter Account Transfer"/>
    <x v="3"/>
    <m/>
    <m/>
    <m/>
    <m/>
  </r>
  <r>
    <n v="1048"/>
    <s v="11/23/2018"/>
    <x v="15"/>
    <s v="GTB - Master Card 0244095070"/>
    <s v="POS/WEB PURCHASE TRANSACTION"/>
    <n v="25000"/>
    <m/>
    <m/>
    <s v="SERENDIB HOTELS LIMITED"/>
    <x v="45"/>
    <m/>
    <m/>
    <m/>
    <m/>
  </r>
  <r>
    <n v="1049"/>
    <s v="11/23/2018"/>
    <x v="15"/>
    <s v="GTB - Master Card 0244095070"/>
    <m/>
    <m/>
    <n v="195000"/>
    <m/>
    <s v="Inter Account Transfer"/>
    <x v="3"/>
    <m/>
    <m/>
    <m/>
    <m/>
  </r>
  <r>
    <n v="1050"/>
    <s v="11/23/2018"/>
    <x v="15"/>
    <s v="GTB - Master Card 0244095070"/>
    <m/>
    <m/>
    <n v="185000"/>
    <m/>
    <s v="Inter Account Transfer"/>
    <x v="3"/>
    <m/>
    <m/>
    <m/>
    <m/>
  </r>
  <r>
    <n v="1051"/>
    <s v="11/23/2018"/>
    <x v="15"/>
    <s v="GTB - Master Card 0244095070"/>
    <s v="POS/WEB PURCHASE TRANSACTION"/>
    <n v="382370"/>
    <m/>
    <m/>
    <s v="Jummia.com "/>
    <x v="9"/>
    <m/>
    <m/>
    <m/>
    <m/>
  </r>
  <r>
    <n v="1052"/>
    <s v="11/28/2018"/>
    <x v="27"/>
    <s v="GTB - Master Card 0244095070"/>
    <m/>
    <m/>
    <n v="11500"/>
    <m/>
    <s v="Inter Account Transfer"/>
    <x v="3"/>
    <m/>
    <m/>
    <m/>
    <m/>
  </r>
  <r>
    <n v="1053"/>
    <s v="11/28/2018"/>
    <x v="27"/>
    <s v="GTB - Master Card 0244095070"/>
    <m/>
    <m/>
    <n v="11200"/>
    <m/>
    <s v="Inter Account Transfer"/>
    <x v="3"/>
    <m/>
    <m/>
    <m/>
    <m/>
  </r>
  <r>
    <n v="1054"/>
    <s v="11/28/2018"/>
    <x v="27"/>
    <s v="GTB - Master Card 0244095070"/>
    <s v="POS/WEB PURCHASE TRANSACTION"/>
    <n v="2500"/>
    <m/>
    <m/>
    <s v="DONAROSE CONCEPT LTD"/>
    <x v="44"/>
    <m/>
    <m/>
    <m/>
    <m/>
  </r>
  <r>
    <n v="1055"/>
    <s v="11/28/2018"/>
    <x v="27"/>
    <s v="GTB - Master Card 0244095070"/>
    <m/>
    <m/>
    <n v="5100"/>
    <m/>
    <s v="Inter Account Transfer"/>
    <x v="3"/>
    <m/>
    <m/>
    <m/>
    <m/>
  </r>
  <r>
    <n v="1056"/>
    <s v="11/28/2018"/>
    <x v="27"/>
    <s v="GTB - Master Card 0244095070"/>
    <m/>
    <m/>
    <n v="4000"/>
    <m/>
    <s v="Inter Account Transfer"/>
    <x v="3"/>
    <m/>
    <m/>
    <m/>
    <m/>
  </r>
  <r>
    <n v="1057"/>
    <s v="11/28/2018"/>
    <x v="27"/>
    <s v="GTB - Master Card 0244095070"/>
    <m/>
    <m/>
    <n v="4700"/>
    <m/>
    <s v="Inter Account Transfer"/>
    <x v="3"/>
    <m/>
    <m/>
    <m/>
    <m/>
  </r>
  <r>
    <n v="1058"/>
    <s v="11/29/2018"/>
    <x v="28"/>
    <s v="GTB - Master Card 0244095070"/>
    <s v="POS/WEB PURCHASE TRANSACTION"/>
    <n v="1650"/>
    <m/>
    <m/>
    <s v="CLIMAX UNIVERSAL EMPOR"/>
    <x v="46"/>
    <m/>
    <m/>
    <m/>
    <m/>
  </r>
  <r>
    <n v="1059"/>
    <s v="11/29/2018"/>
    <x v="28"/>
    <s v="GTB - Master Card 0244095070"/>
    <m/>
    <n v="5000"/>
    <m/>
    <m/>
    <s v="CASH WITHDRAWAL "/>
    <x v="37"/>
    <m/>
    <m/>
    <m/>
    <m/>
  </r>
  <r>
    <n v="1060"/>
    <s v="11/29/2018"/>
    <x v="28"/>
    <s v="GTB - Master Card 0244095070"/>
    <s v="POS/WEB PURCHASE TRANSACTION"/>
    <n v="23200"/>
    <m/>
    <m/>
    <s v="Sahad Stores"/>
    <x v="35"/>
    <m/>
    <m/>
    <m/>
    <m/>
  </r>
  <r>
    <n v="1061"/>
    <s v="11/30/2018"/>
    <x v="29"/>
    <s v="GTB - Master Card 0244095070"/>
    <m/>
    <m/>
    <n v="13200"/>
    <m/>
    <s v="Inter Account Transfer"/>
    <x v="3"/>
    <m/>
    <m/>
    <m/>
    <m/>
  </r>
  <r>
    <n v="1062"/>
    <s v="11/30/2018"/>
    <x v="29"/>
    <s v="GTB - Master Card 0244095070"/>
    <m/>
    <m/>
    <n v="8300"/>
    <m/>
    <s v="Inter Account Transfer"/>
    <x v="3"/>
    <m/>
    <m/>
    <m/>
    <m/>
  </r>
  <r>
    <n v="1063"/>
    <s v="11/30/2018"/>
    <x v="29"/>
    <s v="GTB - Master Card 0244095070"/>
    <m/>
    <m/>
    <n v="10000"/>
    <m/>
    <s v="Inter Account Transfer"/>
    <x v="3"/>
    <m/>
    <m/>
    <m/>
    <m/>
  </r>
  <r>
    <n v="1064"/>
    <d v="2018-03-12T00:00:00"/>
    <x v="214"/>
    <s v="GTB - Master Card 0244095070"/>
    <m/>
    <n v="15000"/>
    <m/>
    <m/>
    <s v="CASH WITHDRAWAL "/>
    <x v="37"/>
    <m/>
    <m/>
    <m/>
    <m/>
  </r>
  <r>
    <n v="1065"/>
    <d v="2018-03-12T00:00:00"/>
    <x v="214"/>
    <s v="GTB - Master Card 0244095070"/>
    <m/>
    <n v="15000"/>
    <m/>
    <m/>
    <s v="CASH WITHDRAWAL "/>
    <x v="37"/>
    <m/>
    <m/>
    <m/>
    <m/>
  </r>
  <r>
    <n v="1066"/>
    <d v="2018-04-12T00:00:00"/>
    <x v="215"/>
    <s v="GTB - Master Card 0244095070"/>
    <s v="POS/WEB PURCHASE TRANSACTION"/>
    <n v="1650"/>
    <m/>
    <m/>
    <s v="H-MEDIX PHARMACY LIMITED"/>
    <x v="36"/>
    <m/>
    <m/>
    <m/>
    <m/>
  </r>
  <r>
    <n v="1067"/>
    <d v="2018-06-12T00:00:00"/>
    <x v="4"/>
    <s v="GTB - Master Card 0244095070"/>
    <m/>
    <m/>
    <n v="3000"/>
    <m/>
    <s v="Inter Account Transfer"/>
    <x v="3"/>
    <m/>
    <m/>
    <m/>
    <m/>
  </r>
  <r>
    <n v="1068"/>
    <d v="2018-07-12T00:00:00"/>
    <x v="91"/>
    <s v="GTB - Master Card 0244095070"/>
    <m/>
    <n v="15000"/>
    <m/>
    <m/>
    <s v="CASH WITHDRAWAL "/>
    <x v="37"/>
    <m/>
    <m/>
    <m/>
    <m/>
  </r>
  <r>
    <n v="1069"/>
    <d v="2018-07-12T00:00:00"/>
    <x v="91"/>
    <s v="GTB - Master Card 0244095070"/>
    <m/>
    <n v="10000"/>
    <m/>
    <m/>
    <s v="CASH WITHDRAWAL "/>
    <x v="37"/>
    <m/>
    <m/>
    <m/>
    <m/>
  </r>
  <r>
    <n v="1070"/>
    <d v="2018-08-12T00:00:00"/>
    <x v="142"/>
    <s v="GTB - Master Card 0244095070"/>
    <m/>
    <m/>
    <n v="25000"/>
    <m/>
    <s v="Inter Account Transfer"/>
    <x v="3"/>
    <m/>
    <m/>
    <m/>
    <m/>
  </r>
  <r>
    <n v="1071"/>
    <d v="2018-08-12T00:00:00"/>
    <x v="142"/>
    <s v="GTB - Master Card 0244095070"/>
    <m/>
    <m/>
    <n v="40400"/>
    <m/>
    <s v="Inter Account Transfer"/>
    <x v="3"/>
    <m/>
    <m/>
    <m/>
    <m/>
  </r>
  <r>
    <n v="1072"/>
    <d v="2018-08-12T00:00:00"/>
    <x v="142"/>
    <s v="GTB - Master Card 0244095070"/>
    <s v="POS/WEB PURCHASE TRANSACTION"/>
    <n v="54860"/>
    <m/>
    <m/>
    <s v="METRO CAFE AND GRILL"/>
    <x v="32"/>
    <m/>
    <m/>
    <m/>
    <m/>
  </r>
  <r>
    <n v="1073"/>
    <d v="2018-10-12T00:00:00"/>
    <x v="128"/>
    <s v="GTB - Master Card 0244095070"/>
    <s v="POS/WEB PURCHASE TRANSACTION"/>
    <n v="2200"/>
    <m/>
    <m/>
    <s v="CLIMAX UNIVERSAL EMPOR"/>
    <x v="46"/>
    <m/>
    <m/>
    <m/>
    <m/>
  </r>
  <r>
    <n v="1074"/>
    <d v="2018-11-12T00:00:00"/>
    <x v="216"/>
    <s v="GTB - Master Card 0244095070"/>
    <m/>
    <n v="3000"/>
    <m/>
    <m/>
    <s v="CASH WITHDRAWAL "/>
    <x v="37"/>
    <m/>
    <m/>
    <m/>
    <m/>
  </r>
  <r>
    <n v="1075"/>
    <d v="2018-12-12T00:00:00"/>
    <x v="217"/>
    <s v="GTB - Master Card 0244095070"/>
    <s v="POS/WEB PURCHASE TRANSACTION"/>
    <n v="19800"/>
    <m/>
    <m/>
    <s v="SMILE COMMUNICATIONS"/>
    <x v="23"/>
    <m/>
    <m/>
    <m/>
    <m/>
  </r>
  <r>
    <n v="1076"/>
    <d v="2018-12-12T00:00:00"/>
    <x v="217"/>
    <s v="GTB - Master Card 0244095070"/>
    <s v="POS/WEB PURCHASE TRANSACTION"/>
    <n v="1650"/>
    <m/>
    <m/>
    <s v="CUTEMAN RESOURCES LTD"/>
    <x v="43"/>
    <m/>
    <m/>
    <m/>
    <m/>
  </r>
  <r>
    <n v="1077"/>
    <d v="2018-12-12T00:00:00"/>
    <x v="217"/>
    <s v="GTB - Master Card 0244095070"/>
    <m/>
    <n v="9500"/>
    <m/>
    <m/>
    <s v="CASH WITHDRAWAL "/>
    <x v="37"/>
    <m/>
    <m/>
    <m/>
    <m/>
  </r>
  <r>
    <n v="1078"/>
    <s v="12/13/2018"/>
    <x v="143"/>
    <s v="GTB - Master Card 0244095070"/>
    <m/>
    <m/>
    <n v="1500"/>
    <m/>
    <s v="Inter Account Transfer"/>
    <x v="3"/>
    <m/>
    <m/>
    <m/>
    <m/>
  </r>
  <r>
    <n v="1079"/>
    <s v="12/14/2018"/>
    <x v="218"/>
    <s v="GTB - Master Card 0244095070"/>
    <s v="POS/WEB PURCHASE TRANSACTION"/>
    <n v="19800"/>
    <m/>
    <m/>
    <s v="SMILE COMMUNICATIONS"/>
    <x v="23"/>
    <m/>
    <m/>
    <m/>
    <m/>
  </r>
  <r>
    <n v="1080"/>
    <s v="12/17/2018"/>
    <x v="144"/>
    <s v="GTB - Master Card 0244095070"/>
    <s v="POS/WEB PURCHASE TRANSACTION"/>
    <n v="1650"/>
    <m/>
    <m/>
    <s v="CLIMAX UNIVERSAL EMPOR"/>
    <x v="46"/>
    <m/>
    <m/>
    <m/>
    <m/>
  </r>
  <r>
    <n v="1081"/>
    <s v="12/19/2018"/>
    <x v="145"/>
    <s v="GTB - Master Card 0244095070"/>
    <m/>
    <m/>
    <n v="9800"/>
    <m/>
    <s v="Inter Account Transfer"/>
    <x v="3"/>
    <m/>
    <m/>
    <m/>
    <m/>
  </r>
  <r>
    <n v="1082"/>
    <s v="12/20/2018"/>
    <x v="219"/>
    <s v="GTB - Master Card 0244095070"/>
    <s v="POS/WEB PURCHASE TRANSACTION"/>
    <n v="1650"/>
    <m/>
    <m/>
    <s v="CLIMAX UNIVERSAL EMPOR"/>
    <x v="46"/>
    <m/>
    <m/>
    <m/>
    <m/>
  </r>
  <r>
    <n v="1083"/>
    <s v="12/20/2018"/>
    <x v="219"/>
    <s v="GTB - Master Card 0244095070"/>
    <m/>
    <n v="14000"/>
    <m/>
    <m/>
    <s v="CASH WITHDRAWAL "/>
    <x v="3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6C829-9F99-49B4-BF58-CE4586D378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54" firstHeaderRow="1" firstDataRow="4" firstDataCol="1"/>
  <pivotFields count="16">
    <pivotField showAll="0"/>
    <pivotField showAll="0"/>
    <pivotField axis="axisCol" showAll="0">
      <items count="221">
        <item x="32"/>
        <item x="41"/>
        <item x="34"/>
        <item x="0"/>
        <item x="148"/>
        <item x="75"/>
        <item x="99"/>
        <item x="18"/>
        <item x="208"/>
        <item x="141"/>
        <item x="36"/>
        <item x="37"/>
        <item x="151"/>
        <item x="152"/>
        <item x="153"/>
        <item x="38"/>
        <item x="39"/>
        <item x="154"/>
        <item x="40"/>
        <item x="42"/>
        <item x="51"/>
        <item x="44"/>
        <item x="173"/>
        <item x="185"/>
        <item x="101"/>
        <item x="201"/>
        <item x="19"/>
        <item x="157"/>
        <item x="1"/>
        <item x="46"/>
        <item x="47"/>
        <item x="158"/>
        <item x="2"/>
        <item x="159"/>
        <item x="48"/>
        <item x="160"/>
        <item x="49"/>
        <item x="50"/>
        <item x="33"/>
        <item x="167"/>
        <item x="67"/>
        <item x="86"/>
        <item x="102"/>
        <item x="113"/>
        <item x="126"/>
        <item x="133"/>
        <item x="214"/>
        <item x="162"/>
        <item x="52"/>
        <item x="53"/>
        <item x="163"/>
        <item x="164"/>
        <item x="54"/>
        <item x="55"/>
        <item x="165"/>
        <item x="56"/>
        <item x="166"/>
        <item x="57"/>
        <item x="58"/>
        <item x="43"/>
        <item x="59"/>
        <item x="180"/>
        <item x="186"/>
        <item x="198"/>
        <item x="61"/>
        <item x="215"/>
        <item x="62"/>
        <item x="170"/>
        <item x="63"/>
        <item x="171"/>
        <item x="64"/>
        <item x="3"/>
        <item x="65"/>
        <item x="172"/>
        <item x="20"/>
        <item x="66"/>
        <item x="35"/>
        <item x="155"/>
        <item x="68"/>
        <item x="187"/>
        <item x="71"/>
        <item x="174"/>
        <item x="72"/>
        <item x="175"/>
        <item x="176"/>
        <item x="177"/>
        <item x="178"/>
        <item x="179"/>
        <item x="73"/>
        <item x="74"/>
        <item x="76"/>
        <item x="161"/>
        <item x="168"/>
        <item x="87"/>
        <item x="192"/>
        <item x="202"/>
        <item x="209"/>
        <item x="4"/>
        <item x="79"/>
        <item x="80"/>
        <item x="182"/>
        <item x="81"/>
        <item x="82"/>
        <item x="183"/>
        <item x="83"/>
        <item x="84"/>
        <item x="184"/>
        <item x="85"/>
        <item x="45"/>
        <item x="5"/>
        <item x="69"/>
        <item x="88"/>
        <item x="193"/>
        <item x="21"/>
        <item x="134"/>
        <item x="91"/>
        <item x="92"/>
        <item x="188"/>
        <item x="189"/>
        <item x="93"/>
        <item x="94"/>
        <item x="190"/>
        <item x="95"/>
        <item x="191"/>
        <item x="6"/>
        <item x="96"/>
        <item x="97"/>
        <item x="98"/>
        <item x="100"/>
        <item x="103"/>
        <item x="181"/>
        <item x="104"/>
        <item x="7"/>
        <item x="210"/>
        <item x="142"/>
        <item x="195"/>
        <item x="105"/>
        <item x="8"/>
        <item x="106"/>
        <item x="107"/>
        <item x="108"/>
        <item x="109"/>
        <item x="110"/>
        <item x="196"/>
        <item x="197"/>
        <item x="111"/>
        <item x="112"/>
        <item x="149"/>
        <item x="9"/>
        <item x="10"/>
        <item x="169"/>
        <item x="22"/>
        <item x="115"/>
        <item x="23"/>
        <item x="11"/>
        <item x="118"/>
        <item x="119"/>
        <item x="199"/>
        <item x="120"/>
        <item x="121"/>
        <item x="24"/>
        <item x="200"/>
        <item x="122"/>
        <item x="123"/>
        <item x="124"/>
        <item x="125"/>
        <item x="150"/>
        <item x="25"/>
        <item x="60"/>
        <item x="89"/>
        <item x="194"/>
        <item x="114"/>
        <item x="26"/>
        <item x="128"/>
        <item x="204"/>
        <item x="129"/>
        <item x="12"/>
        <item x="205"/>
        <item x="13"/>
        <item x="206"/>
        <item x="14"/>
        <item x="207"/>
        <item x="130"/>
        <item x="131"/>
        <item x="132"/>
        <item x="70"/>
        <item x="77"/>
        <item x="135"/>
        <item x="116"/>
        <item x="203"/>
        <item x="216"/>
        <item x="136"/>
        <item x="137"/>
        <item x="212"/>
        <item x="213"/>
        <item x="138"/>
        <item x="15"/>
        <item x="139"/>
        <item x="16"/>
        <item x="140"/>
        <item x="17"/>
        <item x="27"/>
        <item x="28"/>
        <item x="29"/>
        <item x="156"/>
        <item x="30"/>
        <item x="31"/>
        <item x="78"/>
        <item x="90"/>
        <item x="117"/>
        <item x="127"/>
        <item x="211"/>
        <item x="217"/>
        <item x="143"/>
        <item x="218"/>
        <item x="144"/>
        <item x="145"/>
        <item x="219"/>
        <item x="146"/>
        <item x="14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0">
        <item x="13"/>
        <item x="1"/>
        <item m="1" x="47"/>
        <item x="21"/>
        <item x="24"/>
        <item x="17"/>
        <item x="46"/>
        <item x="33"/>
        <item x="25"/>
        <item x="43"/>
        <item x="22"/>
        <item x="44"/>
        <item x="14"/>
        <item x="32"/>
        <item x="2"/>
        <item x="31"/>
        <item x="4"/>
        <item x="5"/>
        <item x="28"/>
        <item x="41"/>
        <item x="45"/>
        <item x="3"/>
        <item x="23"/>
        <item x="20"/>
        <item x="26"/>
        <item x="42"/>
        <item x="19"/>
        <item x="27"/>
        <item x="36"/>
        <item x="40"/>
        <item x="38"/>
        <item x="9"/>
        <item x="0"/>
        <item x="30"/>
        <item x="37"/>
        <item x="10"/>
        <item x="8"/>
        <item x="34"/>
        <item x="16"/>
        <item x="18"/>
        <item m="1" x="48"/>
        <item x="35"/>
        <item x="39"/>
        <item x="12"/>
        <item x="11"/>
        <item x="7"/>
        <item x="6"/>
        <item x="15"/>
        <item x="29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48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3">
    <field x="15"/>
    <field x="14"/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Credit (₦)" fld="6" baseField="0" baseItem="0"/>
  </dataFields>
  <formats count="24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15" type="button" dataOnly="0" labelOnly="1" outline="0" axis="axisCol" fieldPosition="0"/>
    </format>
    <format dxfId="19">
      <pivotArea field="14" type="button" dataOnly="0" labelOnly="1" outline="0" axis="axisCol" fieldPosition="1"/>
    </format>
    <format dxfId="18">
      <pivotArea field="2" type="button" dataOnly="0" labelOnly="1" outline="0" axis="axisCol" fieldPosition="2"/>
    </format>
    <format dxfId="17">
      <pivotArea type="topRight" dataOnly="0" labelOnly="1" outline="0" fieldPosition="0"/>
    </format>
    <format dxfId="16">
      <pivotArea field="9" type="button" dataOnly="0" labelOnly="1" outline="0" axis="axisRow" fieldPosition="0"/>
    </format>
    <format dxfId="15">
      <pivotArea dataOnly="0" labelOnly="1" fieldPosition="0">
        <references count="1">
          <reference field="9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15" type="button" dataOnly="0" labelOnly="1" outline="0" axis="axisCol" fieldPosition="0"/>
    </format>
    <format dxfId="7">
      <pivotArea field="14" type="button" dataOnly="0" labelOnly="1" outline="0" axis="axisCol" fieldPosition="1"/>
    </format>
    <format dxfId="6">
      <pivotArea field="2" type="button" dataOnly="0" labelOnly="1" outline="0" axis="axisCol" fieldPosition="2"/>
    </format>
    <format dxfId="5">
      <pivotArea type="topRight" dataOnly="0" labelOnly="1" outline="0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B0037-5ACA-412C-B85E-8A7B12E902C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N109" firstHeaderRow="1" firstDataRow="4" firstDataCol="1"/>
  <pivotFields count="16">
    <pivotField showAll="0"/>
    <pivotField showAll="0"/>
    <pivotField axis="axisCol" showAll="0">
      <items count="221">
        <item x="32"/>
        <item x="41"/>
        <item x="34"/>
        <item x="0"/>
        <item x="148"/>
        <item x="75"/>
        <item x="99"/>
        <item x="18"/>
        <item x="208"/>
        <item x="141"/>
        <item x="36"/>
        <item x="37"/>
        <item x="151"/>
        <item x="152"/>
        <item x="153"/>
        <item x="38"/>
        <item x="39"/>
        <item x="154"/>
        <item x="40"/>
        <item x="42"/>
        <item x="51"/>
        <item x="44"/>
        <item x="173"/>
        <item x="185"/>
        <item x="101"/>
        <item x="201"/>
        <item x="19"/>
        <item x="157"/>
        <item x="1"/>
        <item x="46"/>
        <item x="47"/>
        <item x="158"/>
        <item x="2"/>
        <item x="159"/>
        <item x="48"/>
        <item x="160"/>
        <item x="49"/>
        <item x="50"/>
        <item x="33"/>
        <item x="167"/>
        <item x="67"/>
        <item x="86"/>
        <item x="102"/>
        <item x="113"/>
        <item x="126"/>
        <item x="133"/>
        <item x="214"/>
        <item x="162"/>
        <item x="52"/>
        <item x="53"/>
        <item x="163"/>
        <item x="164"/>
        <item x="54"/>
        <item x="55"/>
        <item x="165"/>
        <item x="56"/>
        <item x="166"/>
        <item x="57"/>
        <item x="58"/>
        <item x="43"/>
        <item x="59"/>
        <item x="180"/>
        <item x="186"/>
        <item x="198"/>
        <item x="61"/>
        <item x="215"/>
        <item x="62"/>
        <item x="170"/>
        <item x="63"/>
        <item x="171"/>
        <item x="64"/>
        <item x="3"/>
        <item x="65"/>
        <item x="172"/>
        <item x="20"/>
        <item x="66"/>
        <item x="35"/>
        <item x="155"/>
        <item x="68"/>
        <item x="187"/>
        <item x="71"/>
        <item x="174"/>
        <item x="72"/>
        <item x="175"/>
        <item x="176"/>
        <item x="177"/>
        <item x="178"/>
        <item x="179"/>
        <item x="73"/>
        <item x="74"/>
        <item x="76"/>
        <item x="161"/>
        <item x="168"/>
        <item x="87"/>
        <item x="192"/>
        <item x="202"/>
        <item x="209"/>
        <item x="4"/>
        <item x="79"/>
        <item x="80"/>
        <item x="182"/>
        <item x="81"/>
        <item x="82"/>
        <item x="183"/>
        <item x="83"/>
        <item x="84"/>
        <item x="184"/>
        <item x="85"/>
        <item x="45"/>
        <item x="5"/>
        <item x="69"/>
        <item x="88"/>
        <item x="193"/>
        <item x="21"/>
        <item x="134"/>
        <item x="91"/>
        <item x="92"/>
        <item x="188"/>
        <item x="189"/>
        <item x="93"/>
        <item x="94"/>
        <item x="190"/>
        <item x="95"/>
        <item x="191"/>
        <item x="6"/>
        <item x="96"/>
        <item x="97"/>
        <item x="98"/>
        <item x="100"/>
        <item x="103"/>
        <item x="181"/>
        <item x="104"/>
        <item x="7"/>
        <item x="210"/>
        <item x="142"/>
        <item x="195"/>
        <item x="105"/>
        <item x="8"/>
        <item x="106"/>
        <item x="107"/>
        <item x="108"/>
        <item x="109"/>
        <item x="110"/>
        <item x="196"/>
        <item x="197"/>
        <item x="111"/>
        <item x="112"/>
        <item x="149"/>
        <item x="9"/>
        <item x="10"/>
        <item x="169"/>
        <item x="22"/>
        <item x="115"/>
        <item x="23"/>
        <item x="11"/>
        <item x="118"/>
        <item x="119"/>
        <item x="199"/>
        <item x="120"/>
        <item x="121"/>
        <item x="24"/>
        <item x="200"/>
        <item x="122"/>
        <item x="123"/>
        <item x="124"/>
        <item x="125"/>
        <item x="150"/>
        <item x="25"/>
        <item x="60"/>
        <item x="89"/>
        <item x="194"/>
        <item x="114"/>
        <item x="26"/>
        <item x="128"/>
        <item x="204"/>
        <item x="129"/>
        <item x="12"/>
        <item x="205"/>
        <item x="13"/>
        <item x="206"/>
        <item x="14"/>
        <item x="207"/>
        <item x="130"/>
        <item x="131"/>
        <item x="132"/>
        <item x="70"/>
        <item x="77"/>
        <item x="135"/>
        <item x="116"/>
        <item x="203"/>
        <item x="216"/>
        <item x="136"/>
        <item x="137"/>
        <item x="212"/>
        <item x="213"/>
        <item x="138"/>
        <item x="15"/>
        <item x="139"/>
        <item x="16"/>
        <item x="140"/>
        <item x="17"/>
        <item x="27"/>
        <item x="28"/>
        <item x="29"/>
        <item x="156"/>
        <item x="30"/>
        <item x="31"/>
        <item x="78"/>
        <item x="90"/>
        <item x="117"/>
        <item x="127"/>
        <item x="211"/>
        <item x="217"/>
        <item x="143"/>
        <item x="218"/>
        <item x="144"/>
        <item x="145"/>
        <item x="219"/>
        <item x="146"/>
        <item x="147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50">
        <item x="13"/>
        <item x="1"/>
        <item m="1" x="47"/>
        <item x="21"/>
        <item x="24"/>
        <item x="17"/>
        <item x="46"/>
        <item x="33"/>
        <item x="25"/>
        <item x="43"/>
        <item x="22"/>
        <item x="44"/>
        <item x="14"/>
        <item x="32"/>
        <item x="2"/>
        <item x="31"/>
        <item x="4"/>
        <item x="5"/>
        <item x="28"/>
        <item x="41"/>
        <item x="45"/>
        <item x="3"/>
        <item x="23"/>
        <item x="20"/>
        <item x="26"/>
        <item x="42"/>
        <item x="19"/>
        <item x="27"/>
        <item x="36"/>
        <item x="40"/>
        <item x="38"/>
        <item x="9"/>
        <item x="0"/>
        <item x="30"/>
        <item x="37"/>
        <item x="10"/>
        <item x="8"/>
        <item x="34"/>
        <item x="16"/>
        <item x="18"/>
        <item m="1" x="48"/>
        <item x="35"/>
        <item x="39"/>
        <item x="12"/>
        <item x="11"/>
        <item x="7"/>
        <item x="6"/>
        <item x="15"/>
        <item x="29"/>
        <item t="default"/>
      </items>
    </pivotField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48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3">
    <field x="15"/>
    <field x="14"/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Debit (₦)" fld="5" baseField="0" baseItem="0"/>
  </dataFields>
  <formats count="24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5" type="button" dataOnly="0" labelOnly="1" outline="0" axis="axisCol" fieldPosition="0"/>
    </format>
    <format dxfId="43">
      <pivotArea field="14" type="button" dataOnly="0" labelOnly="1" outline="0" axis="axisCol" fieldPosition="1"/>
    </format>
    <format dxfId="42">
      <pivotArea field="2" type="button" dataOnly="0" labelOnly="1" outline="0" axis="axisCol" fieldPosition="2"/>
    </format>
    <format dxfId="41">
      <pivotArea type="topRight" dataOnly="0" labelOnly="1" outline="0" fieldPosition="0"/>
    </format>
    <format dxfId="40">
      <pivotArea field="9" type="button" dataOnly="0" labelOnly="1" outline="0" axis="axisRow" fieldPosition="0"/>
    </format>
    <format dxfId="39">
      <pivotArea dataOnly="0" labelOnly="1" fieldPosition="0">
        <references count="1">
          <reference field="9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5" type="button" dataOnly="0" labelOnly="1" outline="0" axis="axisCol" fieldPosition="0"/>
    </format>
    <format dxfId="31">
      <pivotArea field="14" type="button" dataOnly="0" labelOnly="1" outline="0" axis="axisCol" fieldPosition="1"/>
    </format>
    <format dxfId="30">
      <pivotArea field="2" type="button" dataOnly="0" labelOnly="1" outline="0" axis="axisCol" fieldPosition="2"/>
    </format>
    <format dxfId="29">
      <pivotArea type="topRight" dataOnly="0" labelOnly="1" outline="0" fieldPosition="0"/>
    </format>
    <format dxfId="28">
      <pivotArea field="9" type="button" dataOnly="0" labelOnly="1" outline="0" axis="axisRow" fieldPosition="0"/>
    </format>
    <format dxfId="27">
      <pivotArea dataOnly="0" labelOnly="1" fieldPosition="0">
        <references count="1">
          <reference field="9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1"/>
  <sheetViews>
    <sheetView showGridLines="0" view="pageBreakPreview" zoomScale="86" zoomScaleNormal="100" zoomScaleSheetLayoutView="86" workbookViewId="0">
      <selection activeCell="C4" sqref="C4:F4"/>
    </sheetView>
  </sheetViews>
  <sheetFormatPr defaultColWidth="8.5703125" defaultRowHeight="15"/>
  <cols>
    <col min="1" max="1" width="2" customWidth="1"/>
    <col min="2" max="2" width="20.42578125" bestFit="1" customWidth="1"/>
    <col min="3" max="3" width="30" customWidth="1"/>
    <col min="4" max="5" width="4" customWidth="1"/>
    <col min="6" max="6" width="22" customWidth="1"/>
    <col min="7" max="7" width="19.85546875" customWidth="1"/>
    <col min="8" max="8" width="38" customWidth="1"/>
    <col min="9" max="9" width="4" customWidth="1"/>
    <col min="10" max="10" width="17.42578125" bestFit="1" customWidth="1"/>
  </cols>
  <sheetData>
    <row r="2" spans="2:10" ht="18">
      <c r="B2" s="129" t="s">
        <v>342</v>
      </c>
      <c r="C2" s="129"/>
      <c r="D2" s="129"/>
      <c r="E2" s="129"/>
      <c r="F2" s="129"/>
      <c r="G2" s="129"/>
      <c r="H2" s="129"/>
      <c r="I2" s="129"/>
      <c r="J2" s="129"/>
    </row>
    <row r="4" spans="2:10">
      <c r="B4" s="5" t="s">
        <v>0</v>
      </c>
      <c r="C4" s="126"/>
      <c r="D4" s="126"/>
      <c r="E4" s="126"/>
      <c r="F4" s="126"/>
      <c r="G4" s="5" t="s">
        <v>1</v>
      </c>
      <c r="H4" s="127">
        <v>44927</v>
      </c>
      <c r="I4" s="127"/>
      <c r="J4" s="127"/>
    </row>
    <row r="5" spans="2:10">
      <c r="B5" s="5" t="s">
        <v>2</v>
      </c>
      <c r="C5" s="126"/>
      <c r="D5" s="126"/>
      <c r="E5" s="126"/>
      <c r="F5" s="126"/>
      <c r="G5" s="5" t="s">
        <v>3</v>
      </c>
      <c r="H5" s="127">
        <v>45291</v>
      </c>
      <c r="I5" s="127"/>
      <c r="J5" s="127"/>
    </row>
    <row r="6" spans="2:10">
      <c r="B6" s="5" t="s">
        <v>4</v>
      </c>
      <c r="C6" s="126"/>
      <c r="D6" s="126"/>
      <c r="E6" s="126"/>
      <c r="F6" s="126"/>
      <c r="G6" s="5" t="s">
        <v>5</v>
      </c>
      <c r="H6" s="127"/>
      <c r="I6" s="127"/>
      <c r="J6" s="127"/>
    </row>
    <row r="7" spans="2:10">
      <c r="B7" s="5" t="s">
        <v>6</v>
      </c>
      <c r="C7" s="126"/>
      <c r="D7" s="126"/>
      <c r="E7" s="126"/>
      <c r="F7" s="126"/>
      <c r="G7" s="5" t="s">
        <v>7</v>
      </c>
      <c r="H7" s="126"/>
      <c r="I7" s="126"/>
      <c r="J7" s="126"/>
    </row>
    <row r="10" spans="2:10" ht="15.75">
      <c r="B10" s="128" t="s">
        <v>8</v>
      </c>
      <c r="C10" s="128"/>
      <c r="D10" s="128"/>
      <c r="E10" s="128"/>
      <c r="F10" s="128"/>
      <c r="G10" s="128"/>
      <c r="H10" s="128"/>
      <c r="I10" s="128"/>
      <c r="J10" s="128"/>
    </row>
    <row r="11" spans="2:10">
      <c r="B11" s="4" t="s">
        <v>250</v>
      </c>
      <c r="C11" s="125" t="s">
        <v>10</v>
      </c>
      <c r="D11" s="125"/>
      <c r="E11" s="125"/>
      <c r="F11" s="125" t="s">
        <v>11</v>
      </c>
      <c r="G11" s="125"/>
      <c r="H11" s="125" t="s">
        <v>12</v>
      </c>
      <c r="I11" s="125"/>
      <c r="J11" s="4" t="s">
        <v>13</v>
      </c>
    </row>
    <row r="12" spans="2:10">
      <c r="B12" s="3">
        <v>1</v>
      </c>
      <c r="C12" s="124" t="s">
        <v>14</v>
      </c>
      <c r="D12" s="124"/>
      <c r="E12" s="124"/>
      <c r="F12" s="124" t="s">
        <v>15</v>
      </c>
      <c r="G12" s="124"/>
      <c r="H12" s="124" t="s">
        <v>16</v>
      </c>
      <c r="I12" s="124"/>
      <c r="J12" s="3"/>
    </row>
    <row r="13" spans="2:10">
      <c r="B13" s="2">
        <v>2</v>
      </c>
      <c r="C13" s="123" t="s">
        <v>254</v>
      </c>
      <c r="D13" s="123"/>
      <c r="E13" s="123"/>
      <c r="F13" s="123" t="s">
        <v>17</v>
      </c>
      <c r="G13" s="123"/>
      <c r="H13" s="123" t="s">
        <v>18</v>
      </c>
      <c r="I13" s="123"/>
      <c r="J13" s="2"/>
    </row>
    <row r="14" spans="2:10">
      <c r="B14" s="3">
        <v>3</v>
      </c>
      <c r="C14" s="124" t="s">
        <v>255</v>
      </c>
      <c r="D14" s="124"/>
      <c r="E14" s="124"/>
      <c r="F14" s="124" t="s">
        <v>19</v>
      </c>
      <c r="G14" s="124"/>
      <c r="H14" s="124" t="s">
        <v>20</v>
      </c>
      <c r="I14" s="124"/>
      <c r="J14" s="3"/>
    </row>
    <row r="15" spans="2:10">
      <c r="B15" s="2">
        <v>4</v>
      </c>
      <c r="C15" s="123" t="s">
        <v>21</v>
      </c>
      <c r="D15" s="123"/>
      <c r="E15" s="123"/>
      <c r="F15" s="123" t="s">
        <v>22</v>
      </c>
      <c r="G15" s="123"/>
      <c r="H15" s="123" t="s">
        <v>23</v>
      </c>
      <c r="I15" s="123"/>
      <c r="J15" s="2"/>
    </row>
    <row r="16" spans="2:10">
      <c r="B16" s="3">
        <v>5</v>
      </c>
      <c r="C16" s="124" t="s">
        <v>24</v>
      </c>
      <c r="D16" s="124"/>
      <c r="E16" s="124"/>
      <c r="F16" s="124" t="s">
        <v>256</v>
      </c>
      <c r="G16" s="124"/>
      <c r="H16" s="124" t="s">
        <v>256</v>
      </c>
      <c r="I16" s="124"/>
      <c r="J16" s="3"/>
    </row>
    <row r="17" spans="2:10">
      <c r="B17" s="3">
        <v>6</v>
      </c>
      <c r="C17" s="124" t="s">
        <v>25</v>
      </c>
      <c r="D17" s="124"/>
      <c r="E17" s="124"/>
      <c r="F17" s="124" t="s">
        <v>257</v>
      </c>
      <c r="G17" s="124"/>
      <c r="H17" s="124" t="s">
        <v>26</v>
      </c>
      <c r="I17" s="124"/>
      <c r="J17" s="3"/>
    </row>
    <row r="18" spans="2:10">
      <c r="B18" s="2">
        <v>7</v>
      </c>
      <c r="C18" s="123" t="s">
        <v>27</v>
      </c>
      <c r="D18" s="123"/>
      <c r="E18" s="123"/>
      <c r="F18" s="123" t="s">
        <v>258</v>
      </c>
      <c r="G18" s="123"/>
      <c r="H18" s="123" t="s">
        <v>28</v>
      </c>
      <c r="I18" s="123"/>
      <c r="J18" s="2"/>
    </row>
    <row r="19" spans="2:10">
      <c r="B19" s="2">
        <v>8</v>
      </c>
      <c r="C19" s="123" t="s">
        <v>29</v>
      </c>
      <c r="D19" s="123"/>
      <c r="E19" s="123"/>
      <c r="F19" s="123" t="s">
        <v>259</v>
      </c>
      <c r="G19" s="123"/>
      <c r="H19" s="123" t="s">
        <v>30</v>
      </c>
      <c r="I19" s="123"/>
      <c r="J19" s="2"/>
    </row>
    <row r="20" spans="2:10">
      <c r="B20" s="1" t="s">
        <v>31</v>
      </c>
      <c r="C20" s="122" t="s">
        <v>32</v>
      </c>
      <c r="D20" s="122"/>
      <c r="E20" s="122"/>
      <c r="F20" s="122" t="s">
        <v>33</v>
      </c>
      <c r="G20" s="122"/>
      <c r="H20" s="122" t="s">
        <v>34</v>
      </c>
      <c r="I20" s="122"/>
      <c r="J20" s="6"/>
    </row>
    <row r="21" spans="2:10">
      <c r="B21" s="1" t="s">
        <v>35</v>
      </c>
      <c r="C21" s="122" t="s">
        <v>36</v>
      </c>
      <c r="D21" s="122"/>
      <c r="E21" s="122"/>
      <c r="F21" s="122" t="s">
        <v>37</v>
      </c>
      <c r="G21" s="122"/>
      <c r="H21" s="122" t="s">
        <v>38</v>
      </c>
      <c r="I21" s="122"/>
      <c r="J21" s="6" t="s">
        <v>260</v>
      </c>
    </row>
  </sheetData>
  <mergeCells count="43">
    <mergeCell ref="B2:J2"/>
    <mergeCell ref="C4:F4"/>
    <mergeCell ref="H4:J4"/>
    <mergeCell ref="C5:F5"/>
    <mergeCell ref="H5:J5"/>
    <mergeCell ref="C6:F6"/>
    <mergeCell ref="H6:J6"/>
    <mergeCell ref="C7:F7"/>
    <mergeCell ref="H7:J7"/>
    <mergeCell ref="B10:J10"/>
    <mergeCell ref="C11:E11"/>
    <mergeCell ref="F11:G11"/>
    <mergeCell ref="H11:I11"/>
    <mergeCell ref="C12:E12"/>
    <mergeCell ref="F12:G12"/>
    <mergeCell ref="H12:I12"/>
    <mergeCell ref="C13:E13"/>
    <mergeCell ref="F13:G13"/>
    <mergeCell ref="H13:I13"/>
    <mergeCell ref="C14:E14"/>
    <mergeCell ref="F14:G14"/>
    <mergeCell ref="H14:I14"/>
    <mergeCell ref="C15:E15"/>
    <mergeCell ref="F15:G15"/>
    <mergeCell ref="H15:I15"/>
    <mergeCell ref="C16:E16"/>
    <mergeCell ref="F16:G16"/>
    <mergeCell ref="H16:I16"/>
    <mergeCell ref="C18:E18"/>
    <mergeCell ref="F18:G18"/>
    <mergeCell ref="H18:I18"/>
    <mergeCell ref="C17:E17"/>
    <mergeCell ref="F17:G17"/>
    <mergeCell ref="H17:I17"/>
    <mergeCell ref="C21:E21"/>
    <mergeCell ref="F21:G21"/>
    <mergeCell ref="H21:I21"/>
    <mergeCell ref="C19:E19"/>
    <mergeCell ref="F19:G19"/>
    <mergeCell ref="H19:I19"/>
    <mergeCell ref="C20:E20"/>
    <mergeCell ref="F20:G20"/>
    <mergeCell ref="H20:I20"/>
  </mergeCells>
  <pageMargins left="0.74803149606299213" right="0.74803149606299213" top="0.98425196850393704" bottom="0.98425196850393704" header="0.51181102362204722" footer="0.51181102362204722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DDB7-E6B9-4252-AA35-450994B67593}">
  <dimension ref="A3:N109"/>
  <sheetViews>
    <sheetView topLeftCell="A19" workbookViewId="0">
      <selection activeCell="A113" sqref="A113:XFD170"/>
    </sheetView>
  </sheetViews>
  <sheetFormatPr defaultColWidth="8.7109375" defaultRowHeight="9"/>
  <cols>
    <col min="1" max="1" width="25.42578125" style="34" bestFit="1" customWidth="1"/>
    <col min="2" max="2" width="12.28515625" style="33" bestFit="1" customWidth="1"/>
    <col min="3" max="6" width="9.140625" style="33" bestFit="1" customWidth="1"/>
    <col min="7" max="7" width="9.85546875" style="33" bestFit="1" customWidth="1"/>
    <col min="8" max="9" width="9.140625" style="33" bestFit="1" customWidth="1"/>
    <col min="10" max="10" width="9.85546875" style="33" bestFit="1" customWidth="1"/>
    <col min="11" max="13" width="9.140625" style="33" bestFit="1" customWidth="1"/>
    <col min="14" max="14" width="10.5703125" style="33" bestFit="1" customWidth="1"/>
    <col min="15" max="221" width="10.42578125" style="34" bestFit="1" customWidth="1"/>
    <col min="222" max="222" width="11.85546875" style="34" bestFit="1" customWidth="1"/>
    <col min="223" max="287" width="10.42578125" style="34" bestFit="1" customWidth="1"/>
    <col min="288" max="288" width="11.85546875" style="34" bestFit="1" customWidth="1"/>
    <col min="289" max="16384" width="8.7109375" style="34"/>
  </cols>
  <sheetData>
    <row r="3" spans="1:14">
      <c r="A3" s="51" t="s">
        <v>249</v>
      </c>
      <c r="B3" s="51" t="s">
        <v>247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>
      <c r="B4" s="34" t="s">
        <v>78</v>
      </c>
      <c r="C4" s="34" t="s">
        <v>79</v>
      </c>
      <c r="D4" s="34" t="s">
        <v>80</v>
      </c>
      <c r="E4" s="34" t="s">
        <v>81</v>
      </c>
      <c r="F4" s="34" t="s">
        <v>82</v>
      </c>
      <c r="G4" s="34" t="s">
        <v>83</v>
      </c>
      <c r="H4" s="34" t="s">
        <v>84</v>
      </c>
      <c r="I4" s="34" t="s">
        <v>85</v>
      </c>
      <c r="J4" s="34" t="s">
        <v>253</v>
      </c>
      <c r="K4" s="34" t="s">
        <v>87</v>
      </c>
      <c r="L4" s="34" t="s">
        <v>88</v>
      </c>
      <c r="M4" s="34" t="s">
        <v>89</v>
      </c>
      <c r="N4" s="34" t="s">
        <v>246</v>
      </c>
    </row>
    <row r="5" spans="1:14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>
      <c r="A6" s="51" t="s">
        <v>245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>
      <c r="A7" s="52" t="s">
        <v>232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4">
      <c r="A8" s="52" t="s">
        <v>215</v>
      </c>
      <c r="B8" s="34"/>
      <c r="C8" s="34"/>
      <c r="D8" s="34">
        <v>214000</v>
      </c>
      <c r="E8" s="34">
        <v>48500</v>
      </c>
      <c r="F8" s="34"/>
      <c r="G8" s="34">
        <v>96000</v>
      </c>
      <c r="H8" s="34">
        <v>0</v>
      </c>
      <c r="I8" s="34"/>
      <c r="J8" s="34">
        <v>59400</v>
      </c>
      <c r="K8" s="34">
        <v>118800</v>
      </c>
      <c r="L8" s="34"/>
      <c r="M8" s="34"/>
      <c r="N8" s="34">
        <v>536700</v>
      </c>
    </row>
    <row r="9" spans="1:14">
      <c r="A9" s="52" t="s">
        <v>135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14">
      <c r="A10" s="52" t="s">
        <v>213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>
      <c r="A11" s="52" t="s">
        <v>234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>
      <c r="A12" s="52" t="s">
        <v>231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>
      <c r="A13" s="52" t="s">
        <v>243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>
      <c r="A14" s="52" t="s">
        <v>241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 spans="1:14">
      <c r="A15" s="52" t="s">
        <v>228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>
      <c r="A16" s="52" t="s">
        <v>237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1:14">
      <c r="A17" s="52" t="s">
        <v>229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1:14">
      <c r="A18" s="52" t="s">
        <v>134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 spans="1:14">
      <c r="A19" s="52" t="s">
        <v>220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1:14">
      <c r="A20" s="52" t="s">
        <v>210</v>
      </c>
      <c r="B20" s="34"/>
      <c r="C20" s="34">
        <v>0</v>
      </c>
      <c r="D20" s="34"/>
      <c r="E20" s="34"/>
      <c r="F20" s="34"/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50</v>
      </c>
      <c r="M20" s="34"/>
      <c r="N20" s="34">
        <v>50</v>
      </c>
    </row>
    <row r="21" spans="1:14">
      <c r="A21" s="52" t="s">
        <v>242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>
      <c r="A22" s="52" t="s">
        <v>212</v>
      </c>
      <c r="B22" s="34"/>
      <c r="C22" s="34"/>
      <c r="D22" s="34">
        <v>35000000</v>
      </c>
      <c r="E22" s="34"/>
      <c r="F22" s="34"/>
      <c r="G22" s="34">
        <v>0</v>
      </c>
      <c r="H22" s="34"/>
      <c r="I22" s="34">
        <v>0</v>
      </c>
      <c r="J22" s="34">
        <v>0</v>
      </c>
      <c r="K22" s="34"/>
      <c r="L22" s="34"/>
      <c r="M22" s="34">
        <v>17850000</v>
      </c>
      <c r="N22" s="34">
        <v>52850000</v>
      </c>
    </row>
    <row r="23" spans="1:14">
      <c r="A23" s="52" t="s">
        <v>55</v>
      </c>
      <c r="B23" s="34"/>
      <c r="C23" s="34"/>
      <c r="D23" s="34"/>
      <c r="E23" s="34"/>
      <c r="F23" s="34"/>
      <c r="G23" s="34"/>
      <c r="H23" s="34"/>
      <c r="I23" s="34">
        <v>58724400</v>
      </c>
      <c r="J23" s="34"/>
      <c r="K23" s="34">
        <v>105000000</v>
      </c>
      <c r="L23" s="34"/>
      <c r="M23" s="34"/>
      <c r="N23" s="34">
        <v>163724400</v>
      </c>
    </row>
    <row r="24" spans="1:14">
      <c r="A24" s="52" t="s">
        <v>240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4">
      <c r="A25" s="52" t="s">
        <v>225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>
      <c r="A26" s="52" t="s">
        <v>230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4">
      <c r="A27" s="52" t="s">
        <v>211</v>
      </c>
      <c r="B27" s="34">
        <v>125500</v>
      </c>
      <c r="C27" s="34">
        <v>272132</v>
      </c>
      <c r="D27" s="34">
        <v>267996.95999999996</v>
      </c>
      <c r="E27" s="34">
        <v>44400</v>
      </c>
      <c r="F27" s="34">
        <v>15800</v>
      </c>
      <c r="G27" s="34">
        <v>111750</v>
      </c>
      <c r="H27" s="34">
        <v>79048</v>
      </c>
      <c r="I27" s="34">
        <v>224535</v>
      </c>
      <c r="J27" s="34">
        <v>69850</v>
      </c>
      <c r="K27" s="34">
        <v>150650</v>
      </c>
      <c r="L27" s="34">
        <v>543340</v>
      </c>
      <c r="M27" s="34">
        <v>71150</v>
      </c>
      <c r="N27" s="34">
        <v>1976151.96</v>
      </c>
    </row>
    <row r="28" spans="1:14">
      <c r="A28" s="52" t="s">
        <v>227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4">
      <c r="A29" s="52" t="s">
        <v>236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1:14">
      <c r="A30" s="52" t="s">
        <v>238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>
      <c r="A31" s="52" t="s">
        <v>226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>
      <c r="A32" s="52" t="s">
        <v>235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4">
      <c r="A33" s="52" t="s">
        <v>239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1:14">
      <c r="A34" s="52" t="s">
        <v>221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>
      <c r="A35" s="52" t="s">
        <v>224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>
      <c r="A36" s="52" t="s">
        <v>222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>
      <c r="A37" s="52" t="s">
        <v>217</v>
      </c>
      <c r="B37" s="34">
        <v>0</v>
      </c>
      <c r="C37" s="34"/>
      <c r="D37" s="34"/>
      <c r="E37" s="34">
        <v>0</v>
      </c>
      <c r="F37" s="34"/>
      <c r="G37" s="34"/>
      <c r="H37" s="34">
        <v>0</v>
      </c>
      <c r="I37" s="34"/>
      <c r="J37" s="34"/>
      <c r="K37" s="34">
        <v>0</v>
      </c>
      <c r="L37" s="34">
        <v>682.5</v>
      </c>
      <c r="M37" s="34">
        <v>0</v>
      </c>
      <c r="N37" s="34">
        <v>682.5</v>
      </c>
    </row>
    <row r="38" spans="1:14">
      <c r="A38" s="52" t="s">
        <v>54</v>
      </c>
      <c r="B38" s="34">
        <v>71238397.620000005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>
        <v>71238397.620000005</v>
      </c>
    </row>
    <row r="39" spans="1:14">
      <c r="A39" s="52" t="s">
        <v>56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14">
      <c r="A40" s="52" t="s">
        <v>214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14">
      <c r="A41" s="52" t="s">
        <v>207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14">
      <c r="A42" s="52" t="s">
        <v>205</v>
      </c>
      <c r="B42" s="34"/>
      <c r="C42" s="34"/>
      <c r="D42" s="34"/>
      <c r="E42" s="34"/>
      <c r="F42" s="34">
        <v>238000</v>
      </c>
      <c r="G42" s="34"/>
      <c r="H42" s="34"/>
      <c r="I42" s="34"/>
      <c r="J42" s="34"/>
      <c r="K42" s="34"/>
      <c r="L42" s="34">
        <v>1400000</v>
      </c>
      <c r="M42" s="34"/>
      <c r="N42" s="34">
        <v>1638000</v>
      </c>
    </row>
    <row r="43" spans="1:14">
      <c r="A43" s="52" t="s">
        <v>244</v>
      </c>
      <c r="B43" s="34"/>
      <c r="C43" s="34"/>
      <c r="D43" s="34"/>
      <c r="E43" s="34"/>
      <c r="F43" s="34"/>
      <c r="G43" s="34">
        <v>60750</v>
      </c>
      <c r="H43" s="34"/>
      <c r="I43" s="34"/>
      <c r="J43" s="34"/>
      <c r="K43" s="34"/>
      <c r="L43" s="34"/>
      <c r="M43" s="34"/>
      <c r="N43" s="34">
        <v>60750</v>
      </c>
    </row>
    <row r="44" spans="1:14">
      <c r="A44" s="52" t="s">
        <v>73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14">
      <c r="A45" s="52" t="s">
        <v>219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14">
      <c r="A46" s="52" t="s">
        <v>218</v>
      </c>
      <c r="B46" s="34"/>
      <c r="C46" s="34"/>
      <c r="D46" s="34"/>
      <c r="E46" s="34"/>
      <c r="F46" s="34"/>
      <c r="G46" s="34"/>
      <c r="H46" s="34"/>
      <c r="I46" s="34">
        <v>14170</v>
      </c>
      <c r="J46" s="34"/>
      <c r="K46" s="34"/>
      <c r="L46" s="34"/>
      <c r="M46" s="34"/>
      <c r="N46" s="34">
        <v>14170</v>
      </c>
    </row>
    <row r="47" spans="1:14">
      <c r="A47" s="52" t="s">
        <v>223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14">
      <c r="A48" s="52" t="s">
        <v>157</v>
      </c>
      <c r="B48" s="34"/>
      <c r="C48" s="34"/>
      <c r="D48" s="34"/>
      <c r="E48" s="34">
        <v>51450</v>
      </c>
      <c r="F48" s="34"/>
      <c r="G48" s="34"/>
      <c r="H48" s="34"/>
      <c r="I48" s="34"/>
      <c r="J48" s="34"/>
      <c r="K48" s="34"/>
      <c r="L48" s="34">
        <v>58301</v>
      </c>
      <c r="M48" s="34"/>
      <c r="N48" s="34">
        <v>109751</v>
      </c>
    </row>
    <row r="49" spans="1:14">
      <c r="A49" s="52" t="s">
        <v>208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>
      <c r="A50" s="52" t="s">
        <v>209</v>
      </c>
      <c r="B50" s="34"/>
      <c r="C50" s="34"/>
      <c r="D50" s="34"/>
      <c r="E50" s="34"/>
      <c r="F50" s="34"/>
      <c r="G50" s="34"/>
      <c r="H50" s="34"/>
      <c r="I50" s="34"/>
      <c r="J50" s="34"/>
      <c r="K50" s="34">
        <v>210000</v>
      </c>
      <c r="L50" s="34"/>
      <c r="M50" s="34"/>
      <c r="N50" s="34">
        <v>210000</v>
      </c>
    </row>
    <row r="51" spans="1:14">
      <c r="A51" s="52" t="s">
        <v>206</v>
      </c>
      <c r="B51" s="34"/>
      <c r="C51" s="34"/>
      <c r="D51" s="34"/>
      <c r="E51" s="34">
        <v>20650</v>
      </c>
      <c r="F51" s="34"/>
      <c r="G51" s="34"/>
      <c r="H51" s="34">
        <v>52500</v>
      </c>
      <c r="I51" s="34"/>
      <c r="J51" s="34">
        <v>87500</v>
      </c>
      <c r="K51" s="34">
        <v>0</v>
      </c>
      <c r="L51" s="34"/>
      <c r="M51" s="34"/>
      <c r="N51" s="34">
        <v>160650</v>
      </c>
    </row>
    <row r="52" spans="1:14">
      <c r="A52" s="52" t="s">
        <v>233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1:14">
      <c r="A53" s="52" t="s">
        <v>216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>
      <c r="A54" s="52" t="s">
        <v>246</v>
      </c>
      <c r="B54" s="34">
        <v>71363897.620000005</v>
      </c>
      <c r="C54" s="34">
        <v>272132</v>
      </c>
      <c r="D54" s="34">
        <v>35481996.960000001</v>
      </c>
      <c r="E54" s="34">
        <v>165000</v>
      </c>
      <c r="F54" s="34">
        <v>253800</v>
      </c>
      <c r="G54" s="34">
        <v>268500</v>
      </c>
      <c r="H54" s="34">
        <v>131548</v>
      </c>
      <c r="I54" s="34">
        <v>58963105</v>
      </c>
      <c r="J54" s="34">
        <v>216750</v>
      </c>
      <c r="K54" s="34">
        <v>105479450</v>
      </c>
      <c r="L54" s="34">
        <v>2002373.5</v>
      </c>
      <c r="M54" s="34">
        <v>17921150</v>
      </c>
      <c r="N54" s="34">
        <v>292519703.08000004</v>
      </c>
    </row>
    <row r="55" spans="1:14" ht="1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8" spans="1:14">
      <c r="A58" s="51" t="s">
        <v>248</v>
      </c>
      <c r="B58" s="51" t="s">
        <v>247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spans="1:14">
      <c r="B59" s="34" t="s">
        <v>78</v>
      </c>
      <c r="C59" s="34" t="s">
        <v>79</v>
      </c>
      <c r="D59" s="34" t="s">
        <v>80</v>
      </c>
      <c r="E59" s="34" t="s">
        <v>81</v>
      </c>
      <c r="F59" s="34" t="s">
        <v>82</v>
      </c>
      <c r="G59" s="34" t="s">
        <v>83</v>
      </c>
      <c r="H59" s="34" t="s">
        <v>84</v>
      </c>
      <c r="I59" s="34" t="s">
        <v>85</v>
      </c>
      <c r="J59" s="34" t="s">
        <v>253</v>
      </c>
      <c r="K59" s="34" t="s">
        <v>87</v>
      </c>
      <c r="L59" s="34" t="s">
        <v>88</v>
      </c>
      <c r="M59" s="34" t="s">
        <v>89</v>
      </c>
      <c r="N59" s="34" t="s">
        <v>246</v>
      </c>
    </row>
    <row r="60" spans="1:14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1:14">
      <c r="A61" s="51" t="s">
        <v>245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spans="1:14">
      <c r="A62" s="52" t="s">
        <v>232</v>
      </c>
      <c r="B62" s="34">
        <v>3500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>
        <v>3500</v>
      </c>
    </row>
    <row r="63" spans="1:14">
      <c r="A63" s="52" t="s">
        <v>215</v>
      </c>
      <c r="B63" s="34">
        <v>69648</v>
      </c>
      <c r="C63" s="34">
        <v>246160</v>
      </c>
      <c r="D63" s="34">
        <v>632992.19999999995</v>
      </c>
      <c r="E63" s="34">
        <v>147650</v>
      </c>
      <c r="F63" s="34">
        <v>30000</v>
      </c>
      <c r="G63" s="34">
        <v>265000</v>
      </c>
      <c r="H63" s="34">
        <v>97210.5</v>
      </c>
      <c r="I63" s="34">
        <v>17000</v>
      </c>
      <c r="J63" s="34">
        <v>59400</v>
      </c>
      <c r="K63" s="34">
        <v>244750</v>
      </c>
      <c r="L63" s="34">
        <v>65500</v>
      </c>
      <c r="M63" s="34">
        <v>72300</v>
      </c>
      <c r="N63" s="34">
        <v>1947610.7</v>
      </c>
    </row>
    <row r="64" spans="1:14">
      <c r="A64" s="52" t="s">
        <v>135</v>
      </c>
      <c r="B64" s="34"/>
      <c r="C64" s="34"/>
      <c r="D64" s="34"/>
      <c r="E64" s="34"/>
      <c r="F64" s="34"/>
      <c r="G64" s="34"/>
      <c r="H64" s="34">
        <v>140000</v>
      </c>
      <c r="I64" s="34"/>
      <c r="J64" s="34"/>
      <c r="K64" s="34"/>
      <c r="L64" s="34"/>
      <c r="M64" s="34"/>
      <c r="N64" s="34">
        <v>140000</v>
      </c>
    </row>
    <row r="65" spans="1:14">
      <c r="A65" s="52" t="s">
        <v>213</v>
      </c>
      <c r="B65" s="34">
        <v>20000</v>
      </c>
      <c r="C65" s="34"/>
      <c r="D65" s="34"/>
      <c r="E65" s="34"/>
      <c r="F65" s="34"/>
      <c r="G65" s="34"/>
      <c r="H65" s="34">
        <v>30000</v>
      </c>
      <c r="I65" s="34"/>
      <c r="J65" s="34"/>
      <c r="K65" s="34"/>
      <c r="L65" s="34">
        <v>10000</v>
      </c>
      <c r="M65" s="34"/>
      <c r="N65" s="34">
        <v>60000</v>
      </c>
    </row>
    <row r="66" spans="1:14">
      <c r="A66" s="52" t="s">
        <v>234</v>
      </c>
      <c r="B66" s="34"/>
      <c r="C66" s="34"/>
      <c r="D66" s="34"/>
      <c r="E66" s="34"/>
      <c r="F66" s="34">
        <v>3500</v>
      </c>
      <c r="G66" s="34"/>
      <c r="H66" s="34"/>
      <c r="I66" s="34"/>
      <c r="J66" s="34"/>
      <c r="K66" s="34"/>
      <c r="L66" s="34"/>
      <c r="M66" s="34"/>
      <c r="N66" s="34">
        <v>3500</v>
      </c>
    </row>
    <row r="67" spans="1:14">
      <c r="A67" s="52" t="s">
        <v>231</v>
      </c>
      <c r="B67" s="34">
        <v>1650</v>
      </c>
      <c r="C67" s="34"/>
      <c r="D67" s="34"/>
      <c r="E67" s="34"/>
      <c r="F67" s="34"/>
      <c r="G67" s="34"/>
      <c r="H67" s="34"/>
      <c r="I67" s="34"/>
      <c r="J67" s="34"/>
      <c r="K67" s="34">
        <v>2200</v>
      </c>
      <c r="L67" s="34">
        <v>3300</v>
      </c>
      <c r="M67" s="34">
        <v>3300</v>
      </c>
      <c r="N67" s="34">
        <v>10450</v>
      </c>
    </row>
    <row r="68" spans="1:14">
      <c r="A68" s="52" t="s">
        <v>243</v>
      </c>
      <c r="B68" s="34"/>
      <c r="C68" s="34"/>
      <c r="D68" s="34"/>
      <c r="E68" s="34"/>
      <c r="F68" s="34"/>
      <c r="G68" s="34"/>
      <c r="H68" s="34"/>
      <c r="I68" s="34"/>
      <c r="J68" s="34"/>
      <c r="K68" s="34">
        <v>18500</v>
      </c>
      <c r="L68" s="34"/>
      <c r="M68" s="34"/>
      <c r="N68" s="34">
        <v>18500</v>
      </c>
    </row>
    <row r="69" spans="1:14">
      <c r="A69" s="52" t="s">
        <v>241</v>
      </c>
      <c r="B69" s="34"/>
      <c r="C69" s="34"/>
      <c r="D69" s="34"/>
      <c r="E69" s="34"/>
      <c r="F69" s="34"/>
      <c r="G69" s="34"/>
      <c r="H69" s="34">
        <v>87000</v>
      </c>
      <c r="I69" s="34">
        <v>250000</v>
      </c>
      <c r="J69" s="34"/>
      <c r="K69" s="34"/>
      <c r="L69" s="34"/>
      <c r="M69" s="34"/>
      <c r="N69" s="34">
        <v>337000</v>
      </c>
    </row>
    <row r="70" spans="1:14">
      <c r="A70" s="52" t="s">
        <v>228</v>
      </c>
      <c r="B70" s="34"/>
      <c r="C70" s="34"/>
      <c r="D70" s="34"/>
      <c r="E70" s="34"/>
      <c r="F70" s="34"/>
      <c r="G70" s="34"/>
      <c r="H70" s="34"/>
      <c r="I70" s="34"/>
      <c r="J70" s="34">
        <v>1500</v>
      </c>
      <c r="K70" s="34">
        <v>2600</v>
      </c>
      <c r="L70" s="34"/>
      <c r="M70" s="34">
        <v>1650</v>
      </c>
      <c r="N70" s="34">
        <v>5750</v>
      </c>
    </row>
    <row r="71" spans="1:14">
      <c r="A71" s="52" t="s">
        <v>237</v>
      </c>
      <c r="B71" s="34"/>
      <c r="C71" s="34"/>
      <c r="D71" s="34">
        <v>2810</v>
      </c>
      <c r="E71" s="34"/>
      <c r="F71" s="34"/>
      <c r="G71" s="34"/>
      <c r="H71" s="34">
        <v>39690</v>
      </c>
      <c r="I71" s="34">
        <v>4200</v>
      </c>
      <c r="J71" s="34">
        <v>10331</v>
      </c>
      <c r="K71" s="34"/>
      <c r="L71" s="34"/>
      <c r="M71" s="34">
        <v>18300</v>
      </c>
      <c r="N71" s="34">
        <v>75331</v>
      </c>
    </row>
    <row r="72" spans="1:14">
      <c r="A72" s="52" t="s">
        <v>229</v>
      </c>
      <c r="B72" s="34"/>
      <c r="C72" s="34"/>
      <c r="D72" s="34"/>
      <c r="E72" s="34"/>
      <c r="F72" s="34"/>
      <c r="G72" s="34">
        <v>1500</v>
      </c>
      <c r="H72" s="34"/>
      <c r="I72" s="34"/>
      <c r="J72" s="34"/>
      <c r="K72" s="34"/>
      <c r="L72" s="34">
        <v>2500</v>
      </c>
      <c r="M72" s="34"/>
      <c r="N72" s="34">
        <v>4000</v>
      </c>
    </row>
    <row r="73" spans="1:14">
      <c r="A73" s="52" t="s">
        <v>134</v>
      </c>
      <c r="B73" s="34"/>
      <c r="C73" s="34"/>
      <c r="D73" s="34">
        <v>6500</v>
      </c>
      <c r="E73" s="34"/>
      <c r="F73" s="34"/>
      <c r="G73" s="34"/>
      <c r="H73" s="34"/>
      <c r="I73" s="34"/>
      <c r="J73" s="34"/>
      <c r="K73" s="34"/>
      <c r="L73" s="34"/>
      <c r="M73" s="34"/>
      <c r="N73" s="34">
        <v>6500</v>
      </c>
    </row>
    <row r="74" spans="1:14">
      <c r="A74" s="52" t="s">
        <v>220</v>
      </c>
      <c r="B74" s="34">
        <v>23029.630000000005</v>
      </c>
      <c r="C74" s="34">
        <v>14299.42</v>
      </c>
      <c r="D74" s="34">
        <v>32939.770000000004</v>
      </c>
      <c r="E74" s="34"/>
      <c r="F74" s="34">
        <v>13250</v>
      </c>
      <c r="G74" s="34">
        <v>3649.91</v>
      </c>
      <c r="H74" s="34"/>
      <c r="I74" s="34">
        <v>62909.729999999996</v>
      </c>
      <c r="J74" s="34">
        <v>56349.22</v>
      </c>
      <c r="K74" s="34">
        <v>36650</v>
      </c>
      <c r="L74" s="34"/>
      <c r="M74" s="34"/>
      <c r="N74" s="34">
        <v>243077.68000000002</v>
      </c>
    </row>
    <row r="75" spans="1:14">
      <c r="A75" s="52" t="s">
        <v>210</v>
      </c>
      <c r="B75" s="34">
        <v>4417.2300000000005</v>
      </c>
      <c r="C75" s="34">
        <v>9734</v>
      </c>
      <c r="D75" s="34">
        <v>5542.17</v>
      </c>
      <c r="E75" s="34">
        <v>5923.84</v>
      </c>
      <c r="F75" s="34">
        <v>4602.8900000000003</v>
      </c>
      <c r="G75" s="34">
        <v>96558.239999999991</v>
      </c>
      <c r="H75" s="34">
        <v>14242.84</v>
      </c>
      <c r="I75" s="34">
        <v>88572.62999999999</v>
      </c>
      <c r="J75" s="34">
        <v>307254.38</v>
      </c>
      <c r="K75" s="34">
        <v>6775.72</v>
      </c>
      <c r="L75" s="34">
        <v>65547.14</v>
      </c>
      <c r="M75" s="34">
        <v>46291.360000000001</v>
      </c>
      <c r="N75" s="34">
        <v>655462.43999999994</v>
      </c>
    </row>
    <row r="76" spans="1:14">
      <c r="A76" s="52" t="s">
        <v>242</v>
      </c>
      <c r="B76" s="34"/>
      <c r="C76" s="34"/>
      <c r="D76" s="34"/>
      <c r="E76" s="34"/>
      <c r="F76" s="34"/>
      <c r="G76" s="34"/>
      <c r="H76" s="34"/>
      <c r="I76" s="34"/>
      <c r="J76" s="34">
        <v>42000</v>
      </c>
      <c r="K76" s="34"/>
      <c r="L76" s="34"/>
      <c r="M76" s="34"/>
      <c r="N76" s="34">
        <v>42000</v>
      </c>
    </row>
    <row r="77" spans="1:14">
      <c r="A77" s="52" t="s">
        <v>212</v>
      </c>
      <c r="B77" s="34"/>
      <c r="C77" s="34"/>
      <c r="D77" s="34"/>
      <c r="E77" s="34"/>
      <c r="F77" s="34"/>
      <c r="G77" s="34">
        <v>17500000</v>
      </c>
      <c r="H77" s="34"/>
      <c r="I77" s="34">
        <v>1393735</v>
      </c>
      <c r="J77" s="34">
        <v>35000000</v>
      </c>
      <c r="K77" s="34"/>
      <c r="L77" s="34"/>
      <c r="M77" s="34"/>
      <c r="N77" s="34">
        <v>53893735</v>
      </c>
    </row>
    <row r="78" spans="1:14">
      <c r="A78" s="52" t="s">
        <v>55</v>
      </c>
      <c r="B78" s="34"/>
      <c r="C78" s="34"/>
      <c r="D78" s="34"/>
      <c r="E78" s="34"/>
      <c r="F78" s="34"/>
      <c r="G78" s="34"/>
      <c r="H78" s="34"/>
      <c r="I78" s="34">
        <v>0</v>
      </c>
      <c r="J78" s="34"/>
      <c r="K78" s="34">
        <v>0</v>
      </c>
      <c r="L78" s="34"/>
      <c r="M78" s="34"/>
      <c r="N78" s="34">
        <v>0</v>
      </c>
    </row>
    <row r="79" spans="1:14">
      <c r="A79" s="52" t="s">
        <v>240</v>
      </c>
      <c r="B79" s="34"/>
      <c r="C79" s="34"/>
      <c r="D79" s="34"/>
      <c r="E79" s="34"/>
      <c r="F79" s="34"/>
      <c r="G79" s="34"/>
      <c r="H79" s="34"/>
      <c r="I79" s="34">
        <v>320460</v>
      </c>
      <c r="J79" s="34"/>
      <c r="K79" s="34"/>
      <c r="L79" s="34"/>
      <c r="M79" s="34"/>
      <c r="N79" s="34">
        <v>320460</v>
      </c>
    </row>
    <row r="80" spans="1:14">
      <c r="A80" s="52" t="s">
        <v>225</v>
      </c>
      <c r="B80" s="34"/>
      <c r="C80" s="34"/>
      <c r="D80" s="34"/>
      <c r="E80" s="34"/>
      <c r="F80" s="34">
        <v>96000</v>
      </c>
      <c r="G80" s="34">
        <v>108000</v>
      </c>
      <c r="H80" s="34"/>
      <c r="I80" s="34"/>
      <c r="J80" s="34"/>
      <c r="K80" s="34"/>
      <c r="L80" s="34"/>
      <c r="M80" s="34"/>
      <c r="N80" s="34">
        <v>204000</v>
      </c>
    </row>
    <row r="81" spans="1:14">
      <c r="A81" s="52" t="s">
        <v>230</v>
      </c>
      <c r="B81" s="34"/>
      <c r="C81" s="34"/>
      <c r="D81" s="34"/>
      <c r="E81" s="34"/>
      <c r="F81" s="34"/>
      <c r="G81" s="34"/>
      <c r="H81" s="34"/>
      <c r="I81" s="34"/>
      <c r="J81" s="34"/>
      <c r="K81" s="34">
        <v>25000</v>
      </c>
      <c r="L81" s="34">
        <v>50000</v>
      </c>
      <c r="M81" s="34"/>
      <c r="N81" s="34">
        <v>75000</v>
      </c>
    </row>
    <row r="82" spans="1:14">
      <c r="A82" s="52" t="s">
        <v>211</v>
      </c>
      <c r="B82" s="34">
        <v>125500</v>
      </c>
      <c r="C82" s="34">
        <v>272132</v>
      </c>
      <c r="D82" s="34">
        <v>267996.95999999996</v>
      </c>
      <c r="E82" s="34">
        <v>119350</v>
      </c>
      <c r="F82" s="34">
        <v>349800</v>
      </c>
      <c r="G82" s="34">
        <v>111750</v>
      </c>
      <c r="H82" s="34">
        <v>79048</v>
      </c>
      <c r="I82" s="34">
        <v>320535</v>
      </c>
      <c r="J82" s="34">
        <v>69850</v>
      </c>
      <c r="K82" s="34">
        <v>150650</v>
      </c>
      <c r="L82" s="34">
        <v>543340</v>
      </c>
      <c r="M82" s="34">
        <v>71150</v>
      </c>
      <c r="N82" s="34">
        <v>2481101.96</v>
      </c>
    </row>
    <row r="83" spans="1:14">
      <c r="A83" s="52" t="s">
        <v>227</v>
      </c>
      <c r="B83" s="34"/>
      <c r="C83" s="34"/>
      <c r="D83" s="34"/>
      <c r="E83" s="34">
        <v>17900</v>
      </c>
      <c r="F83" s="34"/>
      <c r="G83" s="34">
        <v>96000</v>
      </c>
      <c r="H83" s="34">
        <v>83000</v>
      </c>
      <c r="I83" s="34">
        <v>39400</v>
      </c>
      <c r="J83" s="34">
        <v>19800</v>
      </c>
      <c r="K83" s="34">
        <v>19800</v>
      </c>
      <c r="L83" s="34">
        <v>19800</v>
      </c>
      <c r="M83" s="34">
        <v>158400</v>
      </c>
      <c r="N83" s="34">
        <v>454100</v>
      </c>
    </row>
    <row r="84" spans="1:14">
      <c r="A84" s="52" t="s">
        <v>236</v>
      </c>
      <c r="B84" s="34"/>
      <c r="C84" s="34"/>
      <c r="D84" s="34">
        <v>3000</v>
      </c>
      <c r="E84" s="34"/>
      <c r="F84" s="34"/>
      <c r="G84" s="34"/>
      <c r="H84" s="34"/>
      <c r="I84" s="34"/>
      <c r="J84" s="34"/>
      <c r="K84" s="34"/>
      <c r="L84" s="34"/>
      <c r="M84" s="34"/>
      <c r="N84" s="34">
        <v>3000</v>
      </c>
    </row>
    <row r="85" spans="1:14">
      <c r="A85" s="52" t="s">
        <v>238</v>
      </c>
      <c r="B85" s="34"/>
      <c r="C85" s="34"/>
      <c r="D85" s="34"/>
      <c r="E85" s="34"/>
      <c r="F85" s="34"/>
      <c r="G85" s="34"/>
      <c r="H85" s="34">
        <v>35150</v>
      </c>
      <c r="I85" s="34"/>
      <c r="J85" s="34"/>
      <c r="K85" s="34"/>
      <c r="L85" s="34"/>
      <c r="M85" s="34"/>
      <c r="N85" s="34">
        <v>35150</v>
      </c>
    </row>
    <row r="86" spans="1:14">
      <c r="A86" s="52" t="s">
        <v>226</v>
      </c>
      <c r="B86" s="34"/>
      <c r="C86" s="34"/>
      <c r="D86" s="34"/>
      <c r="E86" s="34"/>
      <c r="F86" s="34"/>
      <c r="G86" s="34"/>
      <c r="H86" s="34">
        <v>5000</v>
      </c>
      <c r="I86" s="34"/>
      <c r="J86" s="34"/>
      <c r="K86" s="34"/>
      <c r="L86" s="34"/>
      <c r="M86" s="34"/>
      <c r="N86" s="34">
        <v>5000</v>
      </c>
    </row>
    <row r="87" spans="1:14">
      <c r="A87" s="52" t="s">
        <v>235</v>
      </c>
      <c r="B87" s="34"/>
      <c r="C87" s="34"/>
      <c r="D87" s="34"/>
      <c r="E87" s="34"/>
      <c r="F87" s="34"/>
      <c r="G87" s="34">
        <v>57500</v>
      </c>
      <c r="H87" s="34"/>
      <c r="I87" s="34"/>
      <c r="J87" s="34"/>
      <c r="K87" s="34"/>
      <c r="L87" s="34"/>
      <c r="M87" s="34"/>
      <c r="N87" s="34">
        <v>57500</v>
      </c>
    </row>
    <row r="88" spans="1:14">
      <c r="A88" s="52" t="s">
        <v>239</v>
      </c>
      <c r="B88" s="34">
        <v>4000</v>
      </c>
      <c r="C88" s="34"/>
      <c r="D88" s="34">
        <v>10000</v>
      </c>
      <c r="E88" s="34"/>
      <c r="F88" s="34"/>
      <c r="G88" s="34"/>
      <c r="H88" s="34">
        <v>42500</v>
      </c>
      <c r="I88" s="34">
        <v>8000</v>
      </c>
      <c r="J88" s="34"/>
      <c r="K88" s="34"/>
      <c r="L88" s="34"/>
      <c r="M88" s="34"/>
      <c r="N88" s="34">
        <v>64500</v>
      </c>
    </row>
    <row r="89" spans="1:14">
      <c r="A89" s="52" t="s">
        <v>221</v>
      </c>
      <c r="B89" s="34">
        <v>7600</v>
      </c>
      <c r="C89" s="34">
        <v>8900</v>
      </c>
      <c r="D89" s="34">
        <v>7500</v>
      </c>
      <c r="E89" s="34">
        <v>9650</v>
      </c>
      <c r="F89" s="34">
        <v>7500</v>
      </c>
      <c r="G89" s="34">
        <v>5150</v>
      </c>
      <c r="H89" s="34">
        <v>9000</v>
      </c>
      <c r="I89" s="34">
        <v>5000</v>
      </c>
      <c r="J89" s="34">
        <v>4650</v>
      </c>
      <c r="K89" s="34">
        <v>3150</v>
      </c>
      <c r="L89" s="34"/>
      <c r="M89" s="34">
        <v>2850</v>
      </c>
      <c r="N89" s="34">
        <v>70950</v>
      </c>
    </row>
    <row r="90" spans="1:14">
      <c r="A90" s="52" t="s">
        <v>224</v>
      </c>
      <c r="B90" s="34"/>
      <c r="C90" s="34"/>
      <c r="D90" s="34"/>
      <c r="E90" s="34"/>
      <c r="F90" s="34"/>
      <c r="G90" s="34">
        <v>1500</v>
      </c>
      <c r="H90" s="34"/>
      <c r="I90" s="34"/>
      <c r="J90" s="34"/>
      <c r="K90" s="34"/>
      <c r="L90" s="34"/>
      <c r="M90" s="34"/>
      <c r="N90" s="34">
        <v>1500</v>
      </c>
    </row>
    <row r="91" spans="1:14">
      <c r="A91" s="52" t="s">
        <v>222</v>
      </c>
      <c r="B91" s="34"/>
      <c r="C91" s="34">
        <v>212.71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>
        <v>212.71</v>
      </c>
    </row>
    <row r="92" spans="1:14">
      <c r="A92" s="52" t="s">
        <v>217</v>
      </c>
      <c r="B92" s="34">
        <v>3951.4999999999995</v>
      </c>
      <c r="C92" s="34">
        <v>4088</v>
      </c>
      <c r="D92" s="34"/>
      <c r="E92" s="34">
        <v>20650</v>
      </c>
      <c r="F92" s="34"/>
      <c r="G92" s="34"/>
      <c r="H92" s="34">
        <v>41996.5</v>
      </c>
      <c r="I92" s="34"/>
      <c r="J92" s="34"/>
      <c r="K92" s="34">
        <v>160667.5</v>
      </c>
      <c r="L92" s="34">
        <v>1329662.5</v>
      </c>
      <c r="M92" s="34">
        <v>179907</v>
      </c>
      <c r="N92" s="34">
        <v>1740923</v>
      </c>
    </row>
    <row r="93" spans="1:14">
      <c r="A93" s="52" t="s">
        <v>54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</row>
    <row r="94" spans="1:14">
      <c r="A94" s="52" t="s">
        <v>56</v>
      </c>
      <c r="B94" s="34"/>
      <c r="C94" s="34"/>
      <c r="D94" s="34"/>
      <c r="E94" s="34"/>
      <c r="F94" s="34"/>
      <c r="G94" s="34"/>
      <c r="H94" s="34"/>
      <c r="I94" s="34"/>
      <c r="J94" s="34">
        <v>15000</v>
      </c>
      <c r="K94" s="34">
        <v>731200</v>
      </c>
      <c r="L94" s="34"/>
      <c r="M94" s="34"/>
      <c r="N94" s="34">
        <v>746200</v>
      </c>
    </row>
    <row r="95" spans="1:14">
      <c r="A95" s="52" t="s">
        <v>214</v>
      </c>
      <c r="B95" s="34">
        <v>9000</v>
      </c>
      <c r="C95" s="34">
        <v>63300</v>
      </c>
      <c r="D95" s="34">
        <v>92000</v>
      </c>
      <c r="E95" s="34">
        <v>155000</v>
      </c>
      <c r="F95" s="34">
        <v>16500</v>
      </c>
      <c r="G95" s="34">
        <v>66500</v>
      </c>
      <c r="H95" s="34">
        <v>92500</v>
      </c>
      <c r="I95" s="34">
        <v>77500</v>
      </c>
      <c r="J95" s="34">
        <v>44000</v>
      </c>
      <c r="K95" s="34">
        <v>138500</v>
      </c>
      <c r="L95" s="34">
        <v>42000</v>
      </c>
      <c r="M95" s="34">
        <v>23500</v>
      </c>
      <c r="N95" s="34">
        <v>820300</v>
      </c>
    </row>
    <row r="96" spans="1:14">
      <c r="A96" s="52" t="s">
        <v>207</v>
      </c>
      <c r="B96" s="34">
        <v>295000</v>
      </c>
      <c r="C96" s="34">
        <v>10500</v>
      </c>
      <c r="D96" s="34">
        <v>8700</v>
      </c>
      <c r="E96" s="34">
        <v>9000</v>
      </c>
      <c r="F96" s="34"/>
      <c r="G96" s="34">
        <v>162300</v>
      </c>
      <c r="H96" s="34">
        <v>9000</v>
      </c>
      <c r="I96" s="34">
        <v>52400</v>
      </c>
      <c r="J96" s="34">
        <v>61800</v>
      </c>
      <c r="K96" s="34">
        <v>55000</v>
      </c>
      <c r="L96" s="34">
        <v>13200</v>
      </c>
      <c r="M96" s="34">
        <v>140800</v>
      </c>
      <c r="N96" s="34">
        <v>817700</v>
      </c>
    </row>
    <row r="97" spans="1:14">
      <c r="A97" s="52" t="s">
        <v>205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>
        <v>1400000</v>
      </c>
      <c r="M97" s="34"/>
      <c r="N97" s="34">
        <v>1400000</v>
      </c>
    </row>
    <row r="98" spans="1:14">
      <c r="A98" s="52" t="s">
        <v>244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</row>
    <row r="99" spans="1:14">
      <c r="A99" s="52" t="s">
        <v>73</v>
      </c>
      <c r="B99" s="34"/>
      <c r="C99" s="34"/>
      <c r="D99" s="34"/>
      <c r="E99" s="34">
        <v>1500000</v>
      </c>
      <c r="F99" s="34"/>
      <c r="G99" s="34">
        <v>1500000</v>
      </c>
      <c r="H99" s="34"/>
      <c r="I99" s="34">
        <v>30000</v>
      </c>
      <c r="J99" s="34"/>
      <c r="K99" s="34"/>
      <c r="L99" s="34"/>
      <c r="M99" s="34"/>
      <c r="N99" s="34">
        <v>3030000</v>
      </c>
    </row>
    <row r="100" spans="1:14">
      <c r="A100" s="52" t="s">
        <v>219</v>
      </c>
      <c r="B100" s="34"/>
      <c r="C100" s="34"/>
      <c r="D100" s="34"/>
      <c r="E100" s="34"/>
      <c r="F100" s="34"/>
      <c r="G100" s="34">
        <v>2500</v>
      </c>
      <c r="H100" s="34"/>
      <c r="I100" s="34"/>
      <c r="J100" s="34"/>
      <c r="K100" s="34"/>
      <c r="L100" s="34"/>
      <c r="M100" s="34"/>
      <c r="N100" s="34">
        <v>2500</v>
      </c>
    </row>
    <row r="101" spans="1:14">
      <c r="A101" s="52" t="s">
        <v>218</v>
      </c>
      <c r="B101" s="34">
        <v>3300</v>
      </c>
      <c r="C101" s="34">
        <v>5400</v>
      </c>
      <c r="D101" s="34">
        <v>21150</v>
      </c>
      <c r="E101" s="34">
        <v>5000</v>
      </c>
      <c r="F101" s="34">
        <v>21200</v>
      </c>
      <c r="G101" s="34">
        <v>21300</v>
      </c>
      <c r="H101" s="34">
        <v>11420</v>
      </c>
      <c r="I101" s="34">
        <v>62100</v>
      </c>
      <c r="J101" s="34">
        <v>38360</v>
      </c>
      <c r="K101" s="34">
        <v>23760</v>
      </c>
      <c r="L101" s="34">
        <v>23200</v>
      </c>
      <c r="M101" s="34"/>
      <c r="N101" s="34">
        <v>236190</v>
      </c>
    </row>
    <row r="102" spans="1:14">
      <c r="A102" s="52" t="s">
        <v>223</v>
      </c>
      <c r="B102" s="34"/>
      <c r="C102" s="34"/>
      <c r="D102" s="34"/>
      <c r="E102" s="34"/>
      <c r="F102" s="34"/>
      <c r="G102" s="34">
        <v>1500</v>
      </c>
      <c r="H102" s="34"/>
      <c r="I102" s="34"/>
      <c r="J102" s="34">
        <v>1000</v>
      </c>
      <c r="K102" s="34"/>
      <c r="L102" s="34"/>
      <c r="M102" s="34"/>
      <c r="N102" s="34">
        <v>2500</v>
      </c>
    </row>
    <row r="103" spans="1:14">
      <c r="A103" s="52" t="s">
        <v>157</v>
      </c>
      <c r="B103" s="34">
        <v>4298951.68</v>
      </c>
      <c r="C103" s="34">
        <v>4000132.96</v>
      </c>
      <c r="D103" s="34">
        <v>2700080.66</v>
      </c>
      <c r="E103" s="34">
        <v>2347634.5100000002</v>
      </c>
      <c r="F103" s="34">
        <v>2268338.6</v>
      </c>
      <c r="G103" s="34">
        <v>2502717.7200000002</v>
      </c>
      <c r="H103" s="34">
        <v>3210269.5700000003</v>
      </c>
      <c r="I103" s="34">
        <v>2331478.35</v>
      </c>
      <c r="J103" s="34">
        <v>2937155.6100000003</v>
      </c>
      <c r="K103" s="34">
        <v>4380618.87</v>
      </c>
      <c r="L103" s="34">
        <v>4320860.6000000006</v>
      </c>
      <c r="M103" s="34">
        <v>3320752.2600000002</v>
      </c>
      <c r="N103" s="34">
        <v>38618991.390000001</v>
      </c>
    </row>
    <row r="104" spans="1:14">
      <c r="A104" s="52" t="s">
        <v>208</v>
      </c>
      <c r="B104" s="34">
        <v>6500</v>
      </c>
      <c r="C104" s="34">
        <v>6500</v>
      </c>
      <c r="D104" s="34">
        <v>135000</v>
      </c>
      <c r="E104" s="34"/>
      <c r="F104" s="34"/>
      <c r="G104" s="34"/>
      <c r="H104" s="34"/>
      <c r="I104" s="34"/>
      <c r="J104" s="34"/>
      <c r="K104" s="34"/>
      <c r="L104" s="34"/>
      <c r="M104" s="34">
        <v>155250</v>
      </c>
      <c r="N104" s="34">
        <v>303250</v>
      </c>
    </row>
    <row r="105" spans="1:14">
      <c r="A105" s="52" t="s">
        <v>209</v>
      </c>
      <c r="B105" s="34">
        <v>5500</v>
      </c>
      <c r="C105" s="34"/>
      <c r="D105" s="34"/>
      <c r="E105" s="34"/>
      <c r="F105" s="34"/>
      <c r="G105" s="34"/>
      <c r="H105" s="34">
        <v>30000</v>
      </c>
      <c r="I105" s="34"/>
      <c r="J105" s="34">
        <v>4300</v>
      </c>
      <c r="K105" s="34">
        <v>210000</v>
      </c>
      <c r="L105" s="34"/>
      <c r="M105" s="34"/>
      <c r="N105" s="34">
        <v>249800</v>
      </c>
    </row>
    <row r="106" spans="1:14">
      <c r="A106" s="52" t="s">
        <v>206</v>
      </c>
      <c r="B106" s="34"/>
      <c r="C106" s="34">
        <v>36996.959999999999</v>
      </c>
      <c r="D106" s="34"/>
      <c r="E106" s="34">
        <v>0</v>
      </c>
      <c r="F106" s="34"/>
      <c r="G106" s="34"/>
      <c r="H106" s="34">
        <v>0</v>
      </c>
      <c r="I106" s="34"/>
      <c r="J106" s="34">
        <v>131054</v>
      </c>
      <c r="K106" s="34">
        <v>26446</v>
      </c>
      <c r="L106" s="34"/>
      <c r="M106" s="34"/>
      <c r="N106" s="34">
        <v>194496.96</v>
      </c>
    </row>
    <row r="107" spans="1:14">
      <c r="A107" s="52" t="s">
        <v>233</v>
      </c>
      <c r="B107" s="34"/>
      <c r="C107" s="34"/>
      <c r="D107" s="34">
        <v>386400</v>
      </c>
      <c r="E107" s="34"/>
      <c r="F107" s="34"/>
      <c r="G107" s="34">
        <v>150000</v>
      </c>
      <c r="H107" s="34"/>
      <c r="I107" s="34">
        <v>156000</v>
      </c>
      <c r="J107" s="34"/>
      <c r="K107" s="34">
        <v>16500</v>
      </c>
      <c r="L107" s="34"/>
      <c r="M107" s="34">
        <v>35100</v>
      </c>
      <c r="N107" s="34">
        <v>744000</v>
      </c>
    </row>
    <row r="108" spans="1:14">
      <c r="A108" s="52" t="s">
        <v>216</v>
      </c>
      <c r="B108" s="34"/>
      <c r="C108" s="34"/>
      <c r="D108" s="34"/>
      <c r="E108" s="34"/>
      <c r="F108" s="34"/>
      <c r="G108" s="34"/>
      <c r="H108" s="34"/>
      <c r="I108" s="34">
        <v>6000</v>
      </c>
      <c r="J108" s="34"/>
      <c r="K108" s="34">
        <v>7000</v>
      </c>
      <c r="L108" s="34">
        <v>7000</v>
      </c>
      <c r="M108" s="34">
        <v>9000</v>
      </c>
      <c r="N108" s="34">
        <v>29000</v>
      </c>
    </row>
    <row r="109" spans="1:14">
      <c r="A109" s="52" t="s">
        <v>246</v>
      </c>
      <c r="B109" s="34">
        <v>4881548.04</v>
      </c>
      <c r="C109" s="34">
        <v>4678356.05</v>
      </c>
      <c r="D109" s="34">
        <v>4312611.76</v>
      </c>
      <c r="E109" s="34">
        <v>4337758.3499999996</v>
      </c>
      <c r="F109" s="34">
        <v>2810691.49</v>
      </c>
      <c r="G109" s="34">
        <v>22653425.869999997</v>
      </c>
      <c r="H109" s="34">
        <v>4057027.41</v>
      </c>
      <c r="I109" s="34">
        <v>5225290.71</v>
      </c>
      <c r="J109" s="34">
        <v>38803804.210000001</v>
      </c>
      <c r="K109" s="34">
        <v>6259768.0899999999</v>
      </c>
      <c r="L109" s="34">
        <v>7895910.2400000002</v>
      </c>
      <c r="M109" s="34">
        <v>4238550.62</v>
      </c>
      <c r="N109" s="34">
        <v>110154742.84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24"/>
  <sheetViews>
    <sheetView showGridLines="0" zoomScaleNormal="100" workbookViewId="0">
      <pane ySplit="3" topLeftCell="A4" activePane="bottomLeft" state="frozen"/>
      <selection pane="bottomLeft" activeCell="G20" sqref="G20"/>
    </sheetView>
  </sheetViews>
  <sheetFormatPr defaultColWidth="8.5703125" defaultRowHeight="15"/>
  <cols>
    <col min="1" max="1" width="9.42578125" bestFit="1" customWidth="1"/>
    <col min="2" max="2" width="11.140625" style="28" bestFit="1" customWidth="1"/>
    <col min="3" max="3" width="11.140625" style="13" customWidth="1"/>
    <col min="4" max="4" width="11.140625" customWidth="1"/>
    <col min="5" max="5" width="12.5703125" customWidth="1"/>
    <col min="6" max="6" width="15.42578125" style="85" bestFit="1" customWidth="1"/>
    <col min="7" max="7" width="16.28515625" style="85" bestFit="1" customWidth="1"/>
    <col min="8" max="8" width="17.85546875" bestFit="1" customWidth="1"/>
    <col min="9" max="9" width="38.28515625" customWidth="1"/>
    <col min="10" max="10" width="27.5703125" bestFit="1" customWidth="1"/>
    <col min="11" max="11" width="27.28515625" bestFit="1" customWidth="1"/>
    <col min="12" max="12" width="17.85546875" bestFit="1" customWidth="1"/>
    <col min="13" max="13" width="12.42578125" bestFit="1" customWidth="1"/>
    <col min="14" max="14" width="10.7109375" bestFit="1" customWidth="1"/>
  </cols>
  <sheetData>
    <row r="1" spans="1:15" ht="16.5">
      <c r="A1" s="120" t="s">
        <v>39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15">
      <c r="A2" s="121" t="s">
        <v>40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pans="1:15">
      <c r="A3" s="4" t="s">
        <v>204</v>
      </c>
      <c r="B3" s="29" t="s">
        <v>41</v>
      </c>
      <c r="C3" s="30" t="s">
        <v>41</v>
      </c>
      <c r="D3" s="4" t="s">
        <v>42</v>
      </c>
      <c r="E3" s="4" t="s">
        <v>43</v>
      </c>
      <c r="F3" s="84" t="s">
        <v>44</v>
      </c>
      <c r="G3" s="8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</row>
    <row r="4" spans="1:15" s="20" customFormat="1" ht="12.75">
      <c r="A4" s="14">
        <v>1</v>
      </c>
      <c r="B4" s="21">
        <v>44929</v>
      </c>
      <c r="C4" s="15">
        <f t="shared" ref="C4:C6" si="0">B4</f>
        <v>44929</v>
      </c>
      <c r="D4" s="16"/>
      <c r="E4" s="17"/>
      <c r="F4" s="92"/>
      <c r="G4" s="92">
        <v>22768508.23</v>
      </c>
      <c r="H4" s="27"/>
      <c r="I4" s="17" t="s">
        <v>54</v>
      </c>
      <c r="J4" s="17" t="s">
        <v>54</v>
      </c>
      <c r="K4" s="19"/>
      <c r="L4" s="19"/>
      <c r="M4" s="16"/>
    </row>
    <row r="5" spans="1:15" s="20" customFormat="1" ht="12.75">
      <c r="A5" s="14">
        <v>3</v>
      </c>
      <c r="B5" s="21">
        <v>44929</v>
      </c>
      <c r="C5" s="15">
        <f t="shared" si="0"/>
        <v>44929</v>
      </c>
      <c r="D5" s="16"/>
      <c r="E5" s="73"/>
      <c r="F5" s="92">
        <v>96228.17</v>
      </c>
      <c r="G5" s="92"/>
      <c r="H5" s="26">
        <f>IFERROR(H4-F5+G5,"")</f>
        <v>-96228.17</v>
      </c>
      <c r="I5" s="25" t="s">
        <v>271</v>
      </c>
      <c r="J5" s="16"/>
      <c r="K5" s="19"/>
      <c r="L5" s="19"/>
      <c r="M5" s="16"/>
    </row>
    <row r="6" spans="1:15" s="20" customFormat="1" ht="12.75">
      <c r="A6" s="14">
        <v>4</v>
      </c>
      <c r="B6" s="21">
        <v>44936</v>
      </c>
      <c r="C6" s="15">
        <f t="shared" si="0"/>
        <v>44936</v>
      </c>
      <c r="D6" s="16"/>
      <c r="E6" s="73"/>
      <c r="F6" s="92">
        <v>878747.84</v>
      </c>
      <c r="G6" s="92"/>
      <c r="H6" s="26">
        <f t="shared" ref="H6:H69" si="1">IFERROR(H5-F6+G6,"")</f>
        <v>-974976.01</v>
      </c>
      <c r="I6" s="25" t="s">
        <v>272</v>
      </c>
      <c r="J6" s="22"/>
      <c r="K6" s="25"/>
      <c r="L6" s="25"/>
      <c r="M6" s="22"/>
    </row>
    <row r="7" spans="1:15" s="20" customFormat="1" ht="12.75">
      <c r="A7" s="14">
        <v>1000</v>
      </c>
      <c r="B7" s="21">
        <v>44936</v>
      </c>
      <c r="C7" s="15">
        <f t="shared" ref="C7:C45" si="2">B7</f>
        <v>44936</v>
      </c>
      <c r="D7" s="16"/>
      <c r="E7" s="73"/>
      <c r="F7" s="92">
        <v>100</v>
      </c>
      <c r="G7" s="92"/>
      <c r="H7" s="26">
        <f t="shared" si="1"/>
        <v>-975076.01</v>
      </c>
      <c r="I7" s="25" t="s">
        <v>268</v>
      </c>
      <c r="J7" s="22"/>
      <c r="K7" s="25"/>
      <c r="L7" s="25"/>
      <c r="M7" s="22"/>
    </row>
    <row r="8" spans="1:15" s="20" customFormat="1" ht="12.75">
      <c r="A8" s="14">
        <v>1001</v>
      </c>
      <c r="B8" s="21">
        <v>44936</v>
      </c>
      <c r="C8" s="15">
        <f t="shared" si="2"/>
        <v>44936</v>
      </c>
      <c r="D8" s="16"/>
      <c r="E8" s="73"/>
      <c r="F8" s="92">
        <v>22502.04</v>
      </c>
      <c r="G8" s="92"/>
      <c r="H8" s="26">
        <f t="shared" si="1"/>
        <v>-997578.05</v>
      </c>
      <c r="I8" s="25" t="s">
        <v>271</v>
      </c>
      <c r="J8" s="22"/>
      <c r="K8" s="25"/>
      <c r="L8" s="25"/>
      <c r="M8" s="22"/>
    </row>
    <row r="9" spans="1:15" s="20" customFormat="1" ht="12.75">
      <c r="A9" s="14">
        <v>1002</v>
      </c>
      <c r="B9" s="21">
        <v>44936</v>
      </c>
      <c r="C9" s="15">
        <f t="shared" si="2"/>
        <v>44936</v>
      </c>
      <c r="D9" s="16"/>
      <c r="E9" s="73"/>
      <c r="F9" s="92">
        <v>25</v>
      </c>
      <c r="G9" s="92"/>
      <c r="H9" s="26">
        <f t="shared" si="1"/>
        <v>-997603.05</v>
      </c>
      <c r="I9" s="25" t="s">
        <v>268</v>
      </c>
      <c r="J9" s="22"/>
      <c r="K9" s="25"/>
      <c r="L9" s="25"/>
      <c r="M9" s="22"/>
    </row>
    <row r="10" spans="1:15" s="20" customFormat="1" ht="12.75">
      <c r="A10" s="14">
        <v>1003</v>
      </c>
      <c r="B10" s="21">
        <v>44936</v>
      </c>
      <c r="C10" s="15">
        <f t="shared" si="2"/>
        <v>44936</v>
      </c>
      <c r="D10" s="16"/>
      <c r="E10" s="73"/>
      <c r="F10" s="92">
        <v>1.87</v>
      </c>
      <c r="G10" s="92"/>
      <c r="H10" s="26">
        <f t="shared" si="1"/>
        <v>-997604.92</v>
      </c>
      <c r="I10" s="25" t="s">
        <v>268</v>
      </c>
      <c r="J10" s="22"/>
      <c r="K10" s="25"/>
      <c r="L10" s="25"/>
      <c r="M10" s="22"/>
    </row>
    <row r="11" spans="1:15" s="20" customFormat="1" ht="12.75">
      <c r="A11" s="14">
        <v>1004</v>
      </c>
      <c r="B11" s="21">
        <v>44938</v>
      </c>
      <c r="C11" s="15">
        <f t="shared" si="2"/>
        <v>44938</v>
      </c>
      <c r="D11" s="16"/>
      <c r="E11" s="73"/>
      <c r="F11" s="92">
        <v>230000</v>
      </c>
      <c r="G11" s="92"/>
      <c r="H11" s="26">
        <f t="shared" si="1"/>
        <v>-1227604.92</v>
      </c>
      <c r="I11" s="25" t="s">
        <v>273</v>
      </c>
      <c r="J11" s="22"/>
      <c r="K11" s="25"/>
      <c r="L11" s="25"/>
      <c r="M11" s="22"/>
    </row>
    <row r="12" spans="1:15" s="20" customFormat="1" ht="12.75">
      <c r="A12" s="14">
        <v>1005</v>
      </c>
      <c r="B12" s="21">
        <v>44938</v>
      </c>
      <c r="C12" s="15">
        <f t="shared" si="2"/>
        <v>44938</v>
      </c>
      <c r="D12" s="16"/>
      <c r="E12" s="73"/>
      <c r="F12" s="92">
        <v>50</v>
      </c>
      <c r="G12" s="92"/>
      <c r="H12" s="26">
        <f t="shared" si="1"/>
        <v>-1227654.92</v>
      </c>
      <c r="I12" s="25" t="s">
        <v>268</v>
      </c>
      <c r="J12" s="22"/>
      <c r="K12" s="25"/>
      <c r="L12" s="25"/>
      <c r="M12" s="22"/>
    </row>
    <row r="13" spans="1:15" s="20" customFormat="1" ht="12.75">
      <c r="A13" s="14">
        <v>1006</v>
      </c>
      <c r="B13" s="21">
        <v>44938</v>
      </c>
      <c r="C13" s="15">
        <f t="shared" si="2"/>
        <v>44938</v>
      </c>
      <c r="D13" s="16"/>
      <c r="E13" s="73"/>
      <c r="F13" s="92">
        <v>3.75</v>
      </c>
      <c r="G13" s="92"/>
      <c r="H13" s="26">
        <f t="shared" si="1"/>
        <v>-1227658.67</v>
      </c>
      <c r="I13" s="25" t="s">
        <v>268</v>
      </c>
      <c r="J13" s="22"/>
      <c r="K13" s="25"/>
      <c r="L13" s="25"/>
      <c r="M13" s="22"/>
    </row>
    <row r="14" spans="1:15" s="20" customFormat="1" ht="12.75">
      <c r="A14" s="14">
        <v>1007</v>
      </c>
      <c r="B14" s="21">
        <v>44938</v>
      </c>
      <c r="C14" s="15">
        <f t="shared" si="2"/>
        <v>44938</v>
      </c>
      <c r="D14" s="16"/>
      <c r="E14" s="73"/>
      <c r="F14" s="92">
        <v>230000</v>
      </c>
      <c r="G14" s="92"/>
      <c r="H14" s="26">
        <f t="shared" si="1"/>
        <v>-1457658.67</v>
      </c>
      <c r="I14" s="25" t="s">
        <v>273</v>
      </c>
      <c r="J14" s="22"/>
      <c r="K14" s="25"/>
      <c r="L14" s="25"/>
      <c r="M14" s="22"/>
    </row>
    <row r="15" spans="1:15" s="20" customFormat="1" ht="12.75">
      <c r="A15" s="14">
        <v>1008</v>
      </c>
      <c r="B15" s="21">
        <v>44938</v>
      </c>
      <c r="C15" s="15">
        <f t="shared" si="2"/>
        <v>44938</v>
      </c>
      <c r="D15" s="16"/>
      <c r="E15" s="73"/>
      <c r="F15" s="92">
        <v>50</v>
      </c>
      <c r="G15" s="92"/>
      <c r="H15" s="26">
        <f t="shared" si="1"/>
        <v>-1457708.67</v>
      </c>
      <c r="I15" s="25" t="s">
        <v>268</v>
      </c>
      <c r="J15" s="22"/>
      <c r="K15" s="25"/>
      <c r="L15" s="25"/>
      <c r="M15" s="22"/>
    </row>
    <row r="16" spans="1:15" s="20" customFormat="1" ht="12.75">
      <c r="A16" s="14">
        <v>1009</v>
      </c>
      <c r="B16" s="21">
        <v>44938</v>
      </c>
      <c r="C16" s="15">
        <f t="shared" si="2"/>
        <v>44938</v>
      </c>
      <c r="D16" s="16"/>
      <c r="E16" s="73"/>
      <c r="F16" s="92">
        <v>3.75</v>
      </c>
      <c r="G16" s="92"/>
      <c r="H16" s="26">
        <f t="shared" si="1"/>
        <v>-1457712.42</v>
      </c>
      <c r="I16" s="25" t="s">
        <v>268</v>
      </c>
      <c r="J16" s="22"/>
      <c r="K16" s="25"/>
      <c r="L16" s="25"/>
      <c r="M16" s="22"/>
    </row>
    <row r="17" spans="1:13" s="20" customFormat="1" ht="12.75">
      <c r="A17" s="14">
        <v>1010</v>
      </c>
      <c r="B17" s="21">
        <v>44938</v>
      </c>
      <c r="C17" s="15">
        <f t="shared" si="2"/>
        <v>44938</v>
      </c>
      <c r="D17" s="16"/>
      <c r="E17" s="73"/>
      <c r="F17" s="92">
        <v>200000</v>
      </c>
      <c r="G17" s="92"/>
      <c r="H17" s="26">
        <f t="shared" si="1"/>
        <v>-1657712.42</v>
      </c>
      <c r="I17" s="25" t="s">
        <v>274</v>
      </c>
      <c r="J17" s="22"/>
      <c r="K17" s="25"/>
      <c r="L17" s="25"/>
      <c r="M17" s="22"/>
    </row>
    <row r="18" spans="1:13" s="20" customFormat="1" ht="12.75">
      <c r="A18" s="14">
        <v>1011</v>
      </c>
      <c r="B18" s="21">
        <v>44942</v>
      </c>
      <c r="C18" s="15">
        <f t="shared" si="2"/>
        <v>44942</v>
      </c>
      <c r="D18" s="16"/>
      <c r="E18" s="73"/>
      <c r="F18" s="92">
        <v>200000</v>
      </c>
      <c r="G18" s="92"/>
      <c r="H18" s="26">
        <f t="shared" si="1"/>
        <v>-1857712.42</v>
      </c>
      <c r="I18" s="25" t="s">
        <v>275</v>
      </c>
      <c r="J18" s="22"/>
      <c r="K18" s="25"/>
      <c r="L18" s="25"/>
      <c r="M18" s="22"/>
    </row>
    <row r="19" spans="1:13" s="20" customFormat="1" ht="12.75">
      <c r="A19" s="14">
        <v>1012</v>
      </c>
      <c r="B19" s="21">
        <v>44942</v>
      </c>
      <c r="C19" s="15">
        <f t="shared" si="2"/>
        <v>44942</v>
      </c>
      <c r="D19" s="16"/>
      <c r="E19" s="73"/>
      <c r="F19" s="92">
        <v>26.88</v>
      </c>
      <c r="G19" s="92"/>
      <c r="H19" s="26">
        <f t="shared" si="1"/>
        <v>-1857739.2999999998</v>
      </c>
      <c r="I19" s="25" t="s">
        <v>268</v>
      </c>
      <c r="J19" s="22"/>
      <c r="K19" s="25"/>
      <c r="L19" s="25"/>
      <c r="M19" s="22"/>
    </row>
    <row r="20" spans="1:13" s="20" customFormat="1" ht="12.75">
      <c r="A20" s="14">
        <v>1013</v>
      </c>
      <c r="B20" s="21">
        <v>44942</v>
      </c>
      <c r="C20" s="15">
        <f t="shared" si="2"/>
        <v>44942</v>
      </c>
      <c r="D20" s="16"/>
      <c r="E20" s="73"/>
      <c r="F20" s="92">
        <v>135</v>
      </c>
      <c r="G20" s="92"/>
      <c r="H20" s="26">
        <f t="shared" si="1"/>
        <v>-1857874.2999999998</v>
      </c>
      <c r="I20" s="25" t="s">
        <v>268</v>
      </c>
      <c r="J20" s="22"/>
      <c r="K20" s="25"/>
      <c r="L20" s="25"/>
      <c r="M20" s="22"/>
    </row>
    <row r="21" spans="1:13" s="20" customFormat="1" ht="12.75">
      <c r="A21" s="14">
        <v>1014</v>
      </c>
      <c r="B21" s="21">
        <v>44942</v>
      </c>
      <c r="C21" s="15">
        <f t="shared" si="2"/>
        <v>44942</v>
      </c>
      <c r="D21" s="16"/>
      <c r="E21" s="73"/>
      <c r="F21" s="92">
        <v>10.130000000000001</v>
      </c>
      <c r="G21" s="92"/>
      <c r="H21" s="26">
        <f t="shared" si="1"/>
        <v>-1857884.4299999997</v>
      </c>
      <c r="I21" s="25" t="s">
        <v>268</v>
      </c>
      <c r="J21" s="22"/>
      <c r="K21" s="25"/>
      <c r="L21" s="25"/>
      <c r="M21" s="22"/>
    </row>
    <row r="22" spans="1:13" s="20" customFormat="1" ht="12.75">
      <c r="A22" s="14">
        <v>1015</v>
      </c>
      <c r="B22" s="21">
        <v>44942</v>
      </c>
      <c r="C22" s="15">
        <f t="shared" si="2"/>
        <v>44942</v>
      </c>
      <c r="D22" s="16"/>
      <c r="E22" s="73"/>
      <c r="F22" s="92">
        <v>50000</v>
      </c>
      <c r="G22" s="92"/>
      <c r="H22" s="26">
        <f t="shared" si="1"/>
        <v>-1907884.4299999997</v>
      </c>
      <c r="I22" s="25" t="s">
        <v>276</v>
      </c>
      <c r="J22" s="22"/>
      <c r="K22" s="25"/>
      <c r="L22" s="25"/>
      <c r="M22" s="22"/>
    </row>
    <row r="23" spans="1:13" s="20" customFormat="1" ht="12.75">
      <c r="A23" s="14">
        <v>1016</v>
      </c>
      <c r="B23" s="21">
        <v>44942</v>
      </c>
      <c r="C23" s="15">
        <f t="shared" si="2"/>
        <v>44942</v>
      </c>
      <c r="D23" s="16"/>
      <c r="E23" s="73"/>
      <c r="F23" s="92">
        <v>50</v>
      </c>
      <c r="G23" s="92"/>
      <c r="H23" s="26">
        <f t="shared" si="1"/>
        <v>-1907934.4299999997</v>
      </c>
      <c r="I23" s="25" t="s">
        <v>268</v>
      </c>
      <c r="J23" s="22"/>
      <c r="K23" s="25"/>
      <c r="L23" s="25"/>
      <c r="M23" s="22"/>
    </row>
    <row r="24" spans="1:13" s="20" customFormat="1" ht="12.75">
      <c r="A24" s="14">
        <v>1017</v>
      </c>
      <c r="B24" s="21">
        <v>44942</v>
      </c>
      <c r="C24" s="15">
        <f t="shared" si="2"/>
        <v>44942</v>
      </c>
      <c r="D24" s="16"/>
      <c r="E24" s="73"/>
      <c r="F24" s="92">
        <v>50000</v>
      </c>
      <c r="G24" s="92"/>
      <c r="H24" s="26">
        <f t="shared" si="1"/>
        <v>-1957934.4299999997</v>
      </c>
      <c r="I24" s="25" t="s">
        <v>276</v>
      </c>
      <c r="J24" s="22"/>
      <c r="K24" s="25"/>
      <c r="L24" s="25"/>
      <c r="M24" s="22"/>
    </row>
    <row r="25" spans="1:13" s="20" customFormat="1" ht="12.75">
      <c r="A25" s="14">
        <v>1018</v>
      </c>
      <c r="B25" s="21">
        <v>44942</v>
      </c>
      <c r="C25" s="15">
        <f t="shared" si="2"/>
        <v>44942</v>
      </c>
      <c r="D25" s="16"/>
      <c r="E25" s="73"/>
      <c r="F25" s="92">
        <v>50</v>
      </c>
      <c r="G25" s="92"/>
      <c r="H25" s="26">
        <f t="shared" si="1"/>
        <v>-1957984.4299999997</v>
      </c>
      <c r="I25" s="25" t="s">
        <v>268</v>
      </c>
      <c r="J25" s="22"/>
      <c r="K25" s="25"/>
      <c r="L25" s="25"/>
      <c r="M25" s="22"/>
    </row>
    <row r="26" spans="1:13" s="20" customFormat="1" ht="12.75">
      <c r="A26" s="14">
        <v>1019</v>
      </c>
      <c r="B26" s="21">
        <v>44943</v>
      </c>
      <c r="C26" s="15">
        <f t="shared" si="2"/>
        <v>44943</v>
      </c>
      <c r="D26" s="16"/>
      <c r="E26" s="73"/>
      <c r="F26" s="92">
        <v>88695.5</v>
      </c>
      <c r="G26" s="92"/>
      <c r="H26" s="26">
        <f t="shared" si="1"/>
        <v>-2046679.9299999997</v>
      </c>
      <c r="I26" s="25" t="s">
        <v>277</v>
      </c>
      <c r="J26" s="22"/>
      <c r="K26" s="25"/>
      <c r="L26" s="25"/>
      <c r="M26" s="22"/>
    </row>
    <row r="27" spans="1:13" s="20" customFormat="1" ht="12.75">
      <c r="A27" s="14">
        <v>1020</v>
      </c>
      <c r="B27" s="21">
        <v>44943</v>
      </c>
      <c r="C27" s="15">
        <f t="shared" si="2"/>
        <v>44943</v>
      </c>
      <c r="D27" s="16"/>
      <c r="E27" s="73"/>
      <c r="F27" s="92">
        <v>100</v>
      </c>
      <c r="G27" s="92"/>
      <c r="H27" s="26">
        <f t="shared" si="1"/>
        <v>-2046779.9299999997</v>
      </c>
      <c r="I27" s="25" t="s">
        <v>268</v>
      </c>
      <c r="J27" s="22"/>
      <c r="K27" s="25"/>
      <c r="L27" s="25"/>
      <c r="M27" s="22"/>
    </row>
    <row r="28" spans="1:13" s="20" customFormat="1" ht="12.75">
      <c r="A28" s="14">
        <v>1021</v>
      </c>
      <c r="B28" s="21">
        <v>44943</v>
      </c>
      <c r="C28" s="15">
        <f t="shared" si="2"/>
        <v>44943</v>
      </c>
      <c r="D28" s="16"/>
      <c r="E28" s="73"/>
      <c r="F28" s="92">
        <v>4617</v>
      </c>
      <c r="G28" s="92"/>
      <c r="H28" s="26">
        <f t="shared" si="1"/>
        <v>-2051396.9299999997</v>
      </c>
      <c r="I28" s="25" t="s">
        <v>278</v>
      </c>
      <c r="J28" s="22"/>
      <c r="K28" s="25"/>
      <c r="L28" s="25"/>
      <c r="M28" s="22"/>
    </row>
    <row r="29" spans="1:13" s="20" customFormat="1" ht="12.75">
      <c r="A29" s="14">
        <v>1022</v>
      </c>
      <c r="B29" s="21">
        <v>44943</v>
      </c>
      <c r="C29" s="15">
        <f t="shared" si="2"/>
        <v>44943</v>
      </c>
      <c r="D29" s="16"/>
      <c r="E29" s="73"/>
      <c r="F29" s="92">
        <v>10</v>
      </c>
      <c r="G29" s="92"/>
      <c r="H29" s="26">
        <f t="shared" si="1"/>
        <v>-2051406.9299999997</v>
      </c>
      <c r="I29" s="25" t="s">
        <v>268</v>
      </c>
      <c r="J29" s="22"/>
      <c r="K29" s="25"/>
      <c r="L29" s="25"/>
      <c r="M29" s="22"/>
    </row>
    <row r="30" spans="1:13" s="20" customFormat="1" ht="12.75">
      <c r="A30" s="14">
        <v>1023</v>
      </c>
      <c r="B30" s="21">
        <v>44943</v>
      </c>
      <c r="C30" s="15">
        <f t="shared" si="2"/>
        <v>44943</v>
      </c>
      <c r="D30" s="16"/>
      <c r="E30" s="73"/>
      <c r="F30" s="92">
        <v>0.75</v>
      </c>
      <c r="G30" s="92"/>
      <c r="H30" s="26">
        <f t="shared" si="1"/>
        <v>-2051407.6799999997</v>
      </c>
      <c r="I30" s="25" t="s">
        <v>268</v>
      </c>
      <c r="J30" s="22"/>
      <c r="K30" s="25"/>
      <c r="L30" s="25"/>
      <c r="M30" s="22"/>
    </row>
    <row r="31" spans="1:13" s="20" customFormat="1" ht="12.75">
      <c r="A31" s="14">
        <v>1024</v>
      </c>
      <c r="B31" s="21">
        <v>44943</v>
      </c>
      <c r="C31" s="15">
        <f t="shared" si="2"/>
        <v>44943</v>
      </c>
      <c r="D31" s="16"/>
      <c r="E31" s="73"/>
      <c r="F31" s="92">
        <v>445000</v>
      </c>
      <c r="G31" s="92"/>
      <c r="H31" s="26">
        <f t="shared" si="1"/>
        <v>-2496407.6799999997</v>
      </c>
      <c r="I31" s="25" t="s">
        <v>279</v>
      </c>
      <c r="J31" s="22"/>
      <c r="K31" s="25"/>
      <c r="L31" s="25"/>
      <c r="M31" s="22"/>
    </row>
    <row r="32" spans="1:13" s="20" customFormat="1" ht="12.75">
      <c r="A32" s="14">
        <v>1025</v>
      </c>
      <c r="B32" s="21">
        <v>44943</v>
      </c>
      <c r="C32" s="15">
        <f t="shared" si="2"/>
        <v>44943</v>
      </c>
      <c r="D32" s="16"/>
      <c r="E32" s="73"/>
      <c r="F32" s="92">
        <v>50</v>
      </c>
      <c r="G32" s="92"/>
      <c r="H32" s="26">
        <f t="shared" si="1"/>
        <v>-2496457.6799999997</v>
      </c>
      <c r="I32" s="25" t="s">
        <v>268</v>
      </c>
      <c r="J32" s="22"/>
      <c r="K32" s="25"/>
      <c r="L32" s="25"/>
      <c r="M32" s="22"/>
    </row>
    <row r="33" spans="1:13" s="20" customFormat="1" ht="12.75">
      <c r="A33" s="14">
        <v>1026</v>
      </c>
      <c r="B33" s="21">
        <v>44943</v>
      </c>
      <c r="C33" s="15">
        <f t="shared" si="2"/>
        <v>44943</v>
      </c>
      <c r="D33" s="16"/>
      <c r="E33" s="73"/>
      <c r="F33" s="92">
        <v>3.75</v>
      </c>
      <c r="G33" s="92"/>
      <c r="H33" s="26">
        <f t="shared" si="1"/>
        <v>-2496461.4299999997</v>
      </c>
      <c r="I33" s="25" t="s">
        <v>268</v>
      </c>
      <c r="J33" s="22"/>
      <c r="K33" s="25"/>
      <c r="L33" s="25"/>
      <c r="M33" s="22"/>
    </row>
    <row r="34" spans="1:13" s="20" customFormat="1" ht="12.75">
      <c r="A34" s="14">
        <v>1027</v>
      </c>
      <c r="B34" s="21">
        <v>44943</v>
      </c>
      <c r="C34" s="15">
        <f t="shared" si="2"/>
        <v>44943</v>
      </c>
      <c r="D34" s="16"/>
      <c r="E34" s="73"/>
      <c r="F34" s="92">
        <v>6562</v>
      </c>
      <c r="G34" s="92"/>
      <c r="H34" s="26">
        <f t="shared" si="1"/>
        <v>-2503023.4299999997</v>
      </c>
      <c r="I34" s="25" t="s">
        <v>278</v>
      </c>
      <c r="J34" s="22"/>
      <c r="K34" s="25"/>
      <c r="L34" s="25"/>
      <c r="M34" s="22"/>
    </row>
    <row r="35" spans="1:13" s="20" customFormat="1" ht="12.75">
      <c r="A35" s="14">
        <v>1028</v>
      </c>
      <c r="B35" s="21">
        <v>44943</v>
      </c>
      <c r="C35" s="15">
        <f t="shared" si="2"/>
        <v>44943</v>
      </c>
      <c r="D35" s="16"/>
      <c r="E35" s="73"/>
      <c r="F35" s="92">
        <v>25</v>
      </c>
      <c r="G35" s="92"/>
      <c r="H35" s="26">
        <f t="shared" si="1"/>
        <v>-2503048.4299999997</v>
      </c>
      <c r="I35" s="25" t="s">
        <v>268</v>
      </c>
      <c r="J35" s="22"/>
      <c r="K35" s="25"/>
      <c r="L35" s="25"/>
      <c r="M35" s="22"/>
    </row>
    <row r="36" spans="1:13" s="20" customFormat="1" ht="12.75">
      <c r="A36" s="14">
        <v>1029</v>
      </c>
      <c r="B36" s="21">
        <v>44943</v>
      </c>
      <c r="C36" s="15">
        <f t="shared" si="2"/>
        <v>44943</v>
      </c>
      <c r="D36" s="16"/>
      <c r="E36" s="73"/>
      <c r="F36" s="92">
        <v>1.87</v>
      </c>
      <c r="G36" s="92"/>
      <c r="H36" s="26">
        <f t="shared" si="1"/>
        <v>-2503050.2999999998</v>
      </c>
      <c r="I36" s="25" t="s">
        <v>268</v>
      </c>
      <c r="J36" s="22"/>
      <c r="K36" s="25"/>
      <c r="L36" s="25"/>
      <c r="M36" s="22"/>
    </row>
    <row r="37" spans="1:13" s="20" customFormat="1" ht="12.75">
      <c r="A37" s="14">
        <v>1030</v>
      </c>
      <c r="B37" s="21">
        <v>44943</v>
      </c>
      <c r="C37" s="15">
        <f t="shared" si="2"/>
        <v>44943</v>
      </c>
      <c r="D37" s="16"/>
      <c r="E37" s="73"/>
      <c r="F37" s="92">
        <v>21450</v>
      </c>
      <c r="G37" s="92"/>
      <c r="H37" s="26">
        <f t="shared" si="1"/>
        <v>-2524500.2999999998</v>
      </c>
      <c r="I37" s="25" t="s">
        <v>280</v>
      </c>
      <c r="J37" s="22"/>
      <c r="K37" s="25"/>
      <c r="L37" s="25"/>
      <c r="M37" s="22"/>
    </row>
    <row r="38" spans="1:13" s="20" customFormat="1" ht="12.75">
      <c r="A38" s="14">
        <v>1031</v>
      </c>
      <c r="B38" s="21">
        <v>44943</v>
      </c>
      <c r="C38" s="15">
        <f t="shared" si="2"/>
        <v>44943</v>
      </c>
      <c r="D38" s="16"/>
      <c r="E38" s="73"/>
      <c r="F38" s="92">
        <v>40000</v>
      </c>
      <c r="G38" s="92"/>
      <c r="H38" s="26">
        <f t="shared" si="1"/>
        <v>-2564500.2999999998</v>
      </c>
      <c r="I38" s="25" t="s">
        <v>275</v>
      </c>
      <c r="J38" s="22"/>
      <c r="K38" s="25"/>
      <c r="L38" s="25"/>
      <c r="M38" s="22"/>
    </row>
    <row r="39" spans="1:13" s="20" customFormat="1" ht="12.75">
      <c r="A39" s="14">
        <v>1032</v>
      </c>
      <c r="B39" s="21">
        <v>44943</v>
      </c>
      <c r="C39" s="15">
        <f t="shared" si="2"/>
        <v>44943</v>
      </c>
      <c r="D39" s="16"/>
      <c r="E39" s="73"/>
      <c r="F39" s="92">
        <v>40000</v>
      </c>
      <c r="G39" s="92"/>
      <c r="H39" s="26">
        <f t="shared" si="1"/>
        <v>-2604500.2999999998</v>
      </c>
      <c r="I39" s="25" t="s">
        <v>281</v>
      </c>
      <c r="J39" s="22"/>
      <c r="K39" s="25"/>
      <c r="L39" s="25"/>
      <c r="M39" s="22"/>
    </row>
    <row r="40" spans="1:13" s="20" customFormat="1" ht="12.75">
      <c r="A40" s="14">
        <v>1033</v>
      </c>
      <c r="B40" s="21">
        <v>44943</v>
      </c>
      <c r="C40" s="15">
        <f t="shared" si="2"/>
        <v>44943</v>
      </c>
      <c r="D40" s="16"/>
      <c r="E40" s="73"/>
      <c r="F40" s="92">
        <v>1152566.82</v>
      </c>
      <c r="G40" s="92"/>
      <c r="H40" s="26">
        <f t="shared" si="1"/>
        <v>-3757067.12</v>
      </c>
      <c r="I40" s="25" t="s">
        <v>282</v>
      </c>
      <c r="J40" s="22"/>
      <c r="K40" s="25"/>
      <c r="L40" s="25"/>
      <c r="M40" s="22"/>
    </row>
    <row r="41" spans="1:13" s="20" customFormat="1" ht="12.75">
      <c r="A41" s="14">
        <v>1034</v>
      </c>
      <c r="B41" s="21">
        <v>44943</v>
      </c>
      <c r="C41" s="15">
        <f t="shared" si="2"/>
        <v>44943</v>
      </c>
      <c r="D41" s="16"/>
      <c r="E41" s="73"/>
      <c r="F41" s="92">
        <v>50</v>
      </c>
      <c r="G41" s="92"/>
      <c r="H41" s="26">
        <f t="shared" si="1"/>
        <v>-3757117.12</v>
      </c>
      <c r="I41" s="25" t="s">
        <v>268</v>
      </c>
      <c r="J41" s="22"/>
      <c r="K41" s="25"/>
      <c r="L41" s="25"/>
      <c r="M41" s="22"/>
    </row>
    <row r="42" spans="1:13" s="20" customFormat="1" ht="12.75">
      <c r="A42" s="14">
        <v>1035</v>
      </c>
      <c r="B42" s="21">
        <v>44943</v>
      </c>
      <c r="C42" s="15">
        <f t="shared" si="2"/>
        <v>44943</v>
      </c>
      <c r="D42" s="16"/>
      <c r="E42" s="73"/>
      <c r="F42" s="92">
        <v>3.75</v>
      </c>
      <c r="G42" s="92"/>
      <c r="H42" s="26">
        <f t="shared" si="1"/>
        <v>-3757120.87</v>
      </c>
      <c r="I42" s="25" t="s">
        <v>268</v>
      </c>
      <c r="J42" s="22"/>
      <c r="K42" s="25"/>
      <c r="L42" s="25"/>
      <c r="M42" s="22"/>
    </row>
    <row r="43" spans="1:13" s="20" customFormat="1" ht="12.75">
      <c r="A43" s="14">
        <v>1036</v>
      </c>
      <c r="B43" s="21">
        <v>44943</v>
      </c>
      <c r="C43" s="15">
        <f t="shared" si="2"/>
        <v>44943</v>
      </c>
      <c r="D43" s="16"/>
      <c r="E43" s="73"/>
      <c r="F43" s="92">
        <v>133963.95000000001</v>
      </c>
      <c r="G43" s="92"/>
      <c r="H43" s="26">
        <f t="shared" si="1"/>
        <v>-3891084.8200000003</v>
      </c>
      <c r="I43" s="25" t="s">
        <v>271</v>
      </c>
      <c r="J43" s="22"/>
      <c r="K43" s="25"/>
      <c r="L43" s="25"/>
      <c r="M43" s="22"/>
    </row>
    <row r="44" spans="1:13" s="20" customFormat="1" ht="12.75">
      <c r="A44" s="14">
        <v>1037</v>
      </c>
      <c r="B44" s="21">
        <v>44943</v>
      </c>
      <c r="C44" s="15">
        <f t="shared" si="2"/>
        <v>44943</v>
      </c>
      <c r="D44" s="16"/>
      <c r="E44" s="73"/>
      <c r="F44" s="92">
        <v>53.75</v>
      </c>
      <c r="G44" s="92"/>
      <c r="H44" s="26">
        <f t="shared" si="1"/>
        <v>-3891138.5700000003</v>
      </c>
      <c r="I44" s="25" t="s">
        <v>268</v>
      </c>
      <c r="J44" s="22"/>
      <c r="K44" s="25"/>
      <c r="L44" s="25"/>
      <c r="M44" s="22"/>
    </row>
    <row r="45" spans="1:13" s="20" customFormat="1" ht="12.75">
      <c r="A45" s="14">
        <v>1038</v>
      </c>
      <c r="B45" s="21">
        <v>44943</v>
      </c>
      <c r="C45" s="15">
        <f t="shared" si="2"/>
        <v>44943</v>
      </c>
      <c r="D45" s="16"/>
      <c r="E45" s="73"/>
      <c r="F45" s="92">
        <v>45</v>
      </c>
      <c r="G45" s="92"/>
      <c r="H45" s="26">
        <f t="shared" si="1"/>
        <v>-3891183.5700000003</v>
      </c>
      <c r="I45" s="25" t="s">
        <v>268</v>
      </c>
      <c r="J45" s="22"/>
      <c r="K45" s="25"/>
      <c r="L45" s="25"/>
      <c r="M45" s="22"/>
    </row>
    <row r="46" spans="1:13" s="20" customFormat="1" ht="12.75">
      <c r="A46" s="14">
        <v>1039</v>
      </c>
      <c r="B46" s="21">
        <v>44943</v>
      </c>
      <c r="C46" s="15">
        <f t="shared" ref="C46:C109" si="3">B46</f>
        <v>44943</v>
      </c>
      <c r="D46" s="16"/>
      <c r="E46" s="73"/>
      <c r="F46" s="92">
        <v>3.38</v>
      </c>
      <c r="G46" s="92"/>
      <c r="H46" s="26">
        <f t="shared" si="1"/>
        <v>-3891186.95</v>
      </c>
      <c r="I46" s="25" t="s">
        <v>268</v>
      </c>
      <c r="J46" s="22"/>
      <c r="K46" s="25"/>
      <c r="L46" s="25"/>
      <c r="M46" s="22"/>
    </row>
    <row r="47" spans="1:13" s="20" customFormat="1" ht="12.75">
      <c r="A47" s="14">
        <v>1040</v>
      </c>
      <c r="B47" s="21">
        <v>44946</v>
      </c>
      <c r="C47" s="15">
        <f t="shared" si="3"/>
        <v>44946</v>
      </c>
      <c r="D47" s="16"/>
      <c r="E47" s="73"/>
      <c r="F47" s="92">
        <v>8000</v>
      </c>
      <c r="G47" s="92"/>
      <c r="H47" s="26">
        <f t="shared" si="1"/>
        <v>-3899186.95</v>
      </c>
      <c r="I47" s="25" t="s">
        <v>281</v>
      </c>
      <c r="J47" s="22"/>
      <c r="K47" s="25"/>
      <c r="L47" s="25"/>
      <c r="M47" s="22"/>
    </row>
    <row r="48" spans="1:13" s="20" customFormat="1" ht="12.75">
      <c r="A48" s="14">
        <v>1041</v>
      </c>
      <c r="B48" s="21">
        <v>44946</v>
      </c>
      <c r="C48" s="15">
        <f t="shared" si="3"/>
        <v>44946</v>
      </c>
      <c r="D48" s="16"/>
      <c r="E48" s="73"/>
      <c r="F48" s="92">
        <v>130000</v>
      </c>
      <c r="G48" s="92"/>
      <c r="H48" s="26">
        <f t="shared" si="1"/>
        <v>-4029186.95</v>
      </c>
      <c r="I48" s="25" t="s">
        <v>273</v>
      </c>
      <c r="J48" s="22"/>
      <c r="K48" s="25"/>
      <c r="L48" s="25"/>
      <c r="M48" s="22"/>
    </row>
    <row r="49" spans="1:13" s="20" customFormat="1" ht="12.75">
      <c r="A49" s="14">
        <v>1042</v>
      </c>
      <c r="B49" s="21">
        <v>44946</v>
      </c>
      <c r="C49" s="15">
        <f t="shared" si="3"/>
        <v>44946</v>
      </c>
      <c r="D49" s="16"/>
      <c r="E49" s="73"/>
      <c r="F49" s="92">
        <v>50</v>
      </c>
      <c r="G49" s="92"/>
      <c r="H49" s="26">
        <f t="shared" si="1"/>
        <v>-4029236.95</v>
      </c>
      <c r="I49" s="25" t="s">
        <v>268</v>
      </c>
      <c r="J49" s="22"/>
      <c r="K49" s="25"/>
      <c r="L49" s="25"/>
      <c r="M49" s="22"/>
    </row>
    <row r="50" spans="1:13" s="20" customFormat="1" ht="12.75">
      <c r="A50" s="14">
        <v>1043</v>
      </c>
      <c r="B50" s="21">
        <v>44946</v>
      </c>
      <c r="C50" s="15">
        <f t="shared" si="3"/>
        <v>44946</v>
      </c>
      <c r="D50" s="16"/>
      <c r="E50" s="73"/>
      <c r="F50" s="92">
        <v>3.75</v>
      </c>
      <c r="G50" s="92"/>
      <c r="H50" s="26">
        <f t="shared" si="1"/>
        <v>-4029240.7</v>
      </c>
      <c r="I50" s="25" t="s">
        <v>268</v>
      </c>
      <c r="J50" s="22"/>
      <c r="K50" s="25"/>
      <c r="L50" s="25"/>
      <c r="M50" s="22"/>
    </row>
    <row r="51" spans="1:13" s="20" customFormat="1" ht="12.75">
      <c r="A51" s="14">
        <v>1044</v>
      </c>
      <c r="B51" s="21">
        <v>44946</v>
      </c>
      <c r="C51" s="15">
        <f t="shared" si="3"/>
        <v>44946</v>
      </c>
      <c r="D51" s="16"/>
      <c r="E51" s="73"/>
      <c r="F51" s="92">
        <v>6000</v>
      </c>
      <c r="G51" s="92"/>
      <c r="H51" s="26">
        <f t="shared" si="1"/>
        <v>-4035240.7</v>
      </c>
      <c r="I51" s="25" t="s">
        <v>283</v>
      </c>
      <c r="J51" s="22"/>
      <c r="K51" s="25"/>
      <c r="L51" s="25"/>
      <c r="M51" s="22"/>
    </row>
    <row r="52" spans="1:13" s="20" customFormat="1" ht="12.75">
      <c r="A52" s="14">
        <v>1045</v>
      </c>
      <c r="B52" s="21">
        <v>44946</v>
      </c>
      <c r="C52" s="15">
        <f t="shared" si="3"/>
        <v>44946</v>
      </c>
      <c r="D52" s="16"/>
      <c r="E52" s="73"/>
      <c r="F52" s="92">
        <v>100</v>
      </c>
      <c r="G52" s="92"/>
      <c r="H52" s="26">
        <f t="shared" si="1"/>
        <v>-4035340.7</v>
      </c>
      <c r="I52" s="25" t="s">
        <v>268</v>
      </c>
      <c r="J52" s="22"/>
      <c r="K52" s="25"/>
      <c r="L52" s="25"/>
      <c r="M52" s="22"/>
    </row>
    <row r="53" spans="1:13" s="20" customFormat="1" ht="12.75">
      <c r="A53" s="14">
        <v>1046</v>
      </c>
      <c r="B53" s="21">
        <v>44946</v>
      </c>
      <c r="C53" s="15">
        <f t="shared" si="3"/>
        <v>44946</v>
      </c>
      <c r="D53" s="16"/>
      <c r="E53" s="73"/>
      <c r="F53" s="92">
        <v>109375.9</v>
      </c>
      <c r="G53" s="92"/>
      <c r="H53" s="26">
        <f t="shared" si="1"/>
        <v>-4144716.6</v>
      </c>
      <c r="I53" s="25" t="s">
        <v>284</v>
      </c>
      <c r="J53" s="22"/>
      <c r="K53" s="25"/>
      <c r="L53" s="25"/>
      <c r="M53" s="22"/>
    </row>
    <row r="54" spans="1:13" s="20" customFormat="1" ht="12.75">
      <c r="A54" s="14">
        <v>1047</v>
      </c>
      <c r="B54" s="21">
        <v>44946</v>
      </c>
      <c r="C54" s="15">
        <f t="shared" si="3"/>
        <v>44946</v>
      </c>
      <c r="D54" s="16"/>
      <c r="E54" s="73"/>
      <c r="F54" s="92">
        <v>50</v>
      </c>
      <c r="G54" s="92"/>
      <c r="H54" s="26">
        <f t="shared" si="1"/>
        <v>-4144766.6</v>
      </c>
      <c r="I54" s="25" t="s">
        <v>268</v>
      </c>
      <c r="J54" s="22"/>
      <c r="K54" s="25"/>
      <c r="L54" s="25"/>
      <c r="M54" s="22"/>
    </row>
    <row r="55" spans="1:13" s="20" customFormat="1" ht="12.75">
      <c r="A55" s="14">
        <v>1048</v>
      </c>
      <c r="B55" s="21">
        <v>44946</v>
      </c>
      <c r="C55" s="15">
        <f t="shared" si="3"/>
        <v>44946</v>
      </c>
      <c r="D55" s="16"/>
      <c r="E55" s="73"/>
      <c r="F55" s="92">
        <v>3.75</v>
      </c>
      <c r="G55" s="92"/>
      <c r="H55" s="26">
        <f t="shared" si="1"/>
        <v>-4144770.35</v>
      </c>
      <c r="I55" s="25" t="s">
        <v>268</v>
      </c>
      <c r="J55" s="22"/>
      <c r="K55" s="25"/>
      <c r="L55" s="25"/>
      <c r="M55" s="22"/>
    </row>
    <row r="56" spans="1:13" s="20" customFormat="1" ht="12.75">
      <c r="A56" s="14">
        <v>1049</v>
      </c>
      <c r="B56" s="21">
        <v>44946</v>
      </c>
      <c r="C56" s="15">
        <f t="shared" si="3"/>
        <v>44946</v>
      </c>
      <c r="D56" s="16"/>
      <c r="E56" s="73"/>
      <c r="F56" s="92">
        <v>164810.91</v>
      </c>
      <c r="G56" s="92"/>
      <c r="H56" s="26">
        <f t="shared" si="1"/>
        <v>-4309581.26</v>
      </c>
      <c r="I56" s="25" t="s">
        <v>271</v>
      </c>
      <c r="J56" s="22"/>
      <c r="K56" s="25"/>
      <c r="L56" s="25"/>
      <c r="M56" s="22"/>
    </row>
    <row r="57" spans="1:13" s="20" customFormat="1" ht="12.75">
      <c r="A57" s="14">
        <v>1050</v>
      </c>
      <c r="B57" s="21">
        <v>44946</v>
      </c>
      <c r="C57" s="15">
        <f t="shared" si="3"/>
        <v>44946</v>
      </c>
      <c r="D57" s="16"/>
      <c r="E57" s="73"/>
      <c r="F57" s="92">
        <v>45</v>
      </c>
      <c r="G57" s="92"/>
      <c r="H57" s="26">
        <f t="shared" si="1"/>
        <v>-4309626.26</v>
      </c>
      <c r="I57" s="25" t="s">
        <v>268</v>
      </c>
      <c r="J57" s="22"/>
      <c r="K57" s="25"/>
      <c r="L57" s="25"/>
      <c r="M57" s="22"/>
    </row>
    <row r="58" spans="1:13" s="20" customFormat="1" ht="12.75">
      <c r="A58" s="14">
        <v>1051</v>
      </c>
      <c r="B58" s="21">
        <v>44946</v>
      </c>
      <c r="C58" s="15">
        <f t="shared" si="3"/>
        <v>44946</v>
      </c>
      <c r="D58" s="16"/>
      <c r="E58" s="73"/>
      <c r="F58" s="92">
        <v>3.38</v>
      </c>
      <c r="G58" s="92"/>
      <c r="H58" s="26">
        <f t="shared" si="1"/>
        <v>-4309629.6399999997</v>
      </c>
      <c r="I58" s="25" t="s">
        <v>268</v>
      </c>
      <c r="J58" s="22"/>
      <c r="K58" s="25"/>
      <c r="L58" s="25"/>
      <c r="M58" s="22"/>
    </row>
    <row r="59" spans="1:13" s="20" customFormat="1" ht="12.75">
      <c r="A59" s="14">
        <v>1052</v>
      </c>
      <c r="B59" s="21">
        <v>44949</v>
      </c>
      <c r="C59" s="15">
        <f t="shared" si="3"/>
        <v>44949</v>
      </c>
      <c r="D59" s="16"/>
      <c r="E59" s="73"/>
      <c r="F59" s="92">
        <v>1596361.1</v>
      </c>
      <c r="G59" s="92"/>
      <c r="H59" s="26">
        <f t="shared" si="1"/>
        <v>-5905990.7400000002</v>
      </c>
      <c r="I59" s="25" t="s">
        <v>282</v>
      </c>
      <c r="J59" s="22"/>
      <c r="K59" s="25"/>
      <c r="L59" s="25"/>
      <c r="M59" s="22"/>
    </row>
    <row r="60" spans="1:13" s="20" customFormat="1" ht="12.75">
      <c r="A60" s="14">
        <v>1053</v>
      </c>
      <c r="B60" s="21">
        <v>44949</v>
      </c>
      <c r="C60" s="15">
        <f t="shared" si="3"/>
        <v>44949</v>
      </c>
      <c r="D60" s="16"/>
      <c r="E60" s="73"/>
      <c r="F60" s="92">
        <v>50</v>
      </c>
      <c r="G60" s="92"/>
      <c r="H60" s="26">
        <f t="shared" si="1"/>
        <v>-5906040.7400000002</v>
      </c>
      <c r="I60" s="25" t="s">
        <v>268</v>
      </c>
      <c r="J60" s="22"/>
      <c r="K60" s="25"/>
      <c r="L60" s="25"/>
      <c r="M60" s="22"/>
    </row>
    <row r="61" spans="1:13" s="20" customFormat="1" ht="12.75">
      <c r="A61" s="14">
        <v>1054</v>
      </c>
      <c r="B61" s="21">
        <v>44949</v>
      </c>
      <c r="C61" s="15">
        <f t="shared" si="3"/>
        <v>44949</v>
      </c>
      <c r="D61" s="16"/>
      <c r="E61" s="73"/>
      <c r="F61" s="92">
        <v>3.75</v>
      </c>
      <c r="G61" s="92"/>
      <c r="H61" s="26">
        <f t="shared" si="1"/>
        <v>-5906044.4900000002</v>
      </c>
      <c r="I61" s="25" t="s">
        <v>268</v>
      </c>
      <c r="J61" s="22"/>
      <c r="K61" s="25"/>
      <c r="L61" s="25"/>
      <c r="M61" s="22"/>
    </row>
    <row r="62" spans="1:13" s="20" customFormat="1" ht="12.75">
      <c r="A62" s="14">
        <v>1055</v>
      </c>
      <c r="B62" s="21">
        <v>44953</v>
      </c>
      <c r="C62" s="15">
        <f t="shared" si="3"/>
        <v>44953</v>
      </c>
      <c r="D62" s="16"/>
      <c r="E62" s="73"/>
      <c r="F62" s="92">
        <v>27000</v>
      </c>
      <c r="G62" s="92"/>
      <c r="H62" s="26">
        <f t="shared" si="1"/>
        <v>-5933044.4900000002</v>
      </c>
      <c r="I62" s="25" t="s">
        <v>285</v>
      </c>
      <c r="J62" s="22"/>
      <c r="K62" s="25"/>
      <c r="L62" s="25"/>
      <c r="M62" s="22"/>
    </row>
    <row r="63" spans="1:13" s="20" customFormat="1" ht="12.75">
      <c r="A63" s="14">
        <v>1056</v>
      </c>
      <c r="B63" s="21">
        <v>44953</v>
      </c>
      <c r="C63" s="15">
        <f t="shared" si="3"/>
        <v>44953</v>
      </c>
      <c r="D63" s="16"/>
      <c r="E63" s="73"/>
      <c r="F63" s="92">
        <v>50000</v>
      </c>
      <c r="G63" s="92"/>
      <c r="H63" s="26">
        <f t="shared" si="1"/>
        <v>-5983044.4900000002</v>
      </c>
      <c r="I63" s="25" t="s">
        <v>284</v>
      </c>
      <c r="J63" s="22"/>
      <c r="K63" s="25"/>
      <c r="L63" s="25"/>
      <c r="M63" s="22"/>
    </row>
    <row r="64" spans="1:13" s="20" customFormat="1" ht="12.75">
      <c r="A64" s="14">
        <v>1057</v>
      </c>
      <c r="B64" s="21">
        <v>44953</v>
      </c>
      <c r="C64" s="15">
        <f t="shared" si="3"/>
        <v>44953</v>
      </c>
      <c r="D64" s="16"/>
      <c r="E64" s="73"/>
      <c r="F64" s="92">
        <v>25</v>
      </c>
      <c r="G64" s="92"/>
      <c r="H64" s="26">
        <f t="shared" si="1"/>
        <v>-5983069.4900000002</v>
      </c>
      <c r="I64" s="25" t="s">
        <v>268</v>
      </c>
      <c r="J64" s="22"/>
      <c r="K64" s="25"/>
      <c r="L64" s="25"/>
      <c r="M64" s="22"/>
    </row>
    <row r="65" spans="1:13" s="20" customFormat="1" ht="12.75">
      <c r="A65" s="14">
        <v>1058</v>
      </c>
      <c r="B65" s="21">
        <v>44953</v>
      </c>
      <c r="C65" s="15">
        <f t="shared" si="3"/>
        <v>44953</v>
      </c>
      <c r="D65" s="16"/>
      <c r="E65" s="73"/>
      <c r="F65" s="92">
        <v>1.87</v>
      </c>
      <c r="G65" s="92"/>
      <c r="H65" s="26">
        <f t="shared" si="1"/>
        <v>-5983071.3600000003</v>
      </c>
      <c r="I65" s="25" t="s">
        <v>268</v>
      </c>
      <c r="J65" s="22"/>
      <c r="K65" s="25"/>
      <c r="L65" s="25"/>
      <c r="M65" s="22"/>
    </row>
    <row r="66" spans="1:13" s="20" customFormat="1" ht="12.75">
      <c r="A66" s="14">
        <v>1059</v>
      </c>
      <c r="B66" s="21">
        <v>44953</v>
      </c>
      <c r="C66" s="15">
        <f t="shared" si="3"/>
        <v>44953</v>
      </c>
      <c r="D66" s="16"/>
      <c r="E66" s="73"/>
      <c r="F66" s="92">
        <v>18000</v>
      </c>
      <c r="G66" s="92"/>
      <c r="H66" s="26">
        <f t="shared" si="1"/>
        <v>-6001071.3600000003</v>
      </c>
      <c r="I66" s="25" t="s">
        <v>265</v>
      </c>
      <c r="J66" s="22"/>
      <c r="K66" s="25"/>
      <c r="L66" s="25"/>
      <c r="M66" s="22"/>
    </row>
    <row r="67" spans="1:13" s="20" customFormat="1" ht="12.75">
      <c r="A67" s="14">
        <v>1060</v>
      </c>
      <c r="B67" s="21">
        <v>44953</v>
      </c>
      <c r="C67" s="15">
        <f t="shared" si="3"/>
        <v>44953</v>
      </c>
      <c r="D67" s="16"/>
      <c r="E67" s="73"/>
      <c r="F67" s="92">
        <v>25</v>
      </c>
      <c r="G67" s="92"/>
      <c r="H67" s="26">
        <f t="shared" si="1"/>
        <v>-6001096.3600000003</v>
      </c>
      <c r="I67" s="25" t="s">
        <v>268</v>
      </c>
      <c r="J67" s="22"/>
      <c r="K67" s="25"/>
      <c r="L67" s="25"/>
      <c r="M67" s="22"/>
    </row>
    <row r="68" spans="1:13" s="20" customFormat="1" ht="12.75">
      <c r="A68" s="14">
        <v>1061</v>
      </c>
      <c r="B68" s="21">
        <v>44953</v>
      </c>
      <c r="C68" s="15">
        <f t="shared" si="3"/>
        <v>44953</v>
      </c>
      <c r="D68" s="16"/>
      <c r="E68" s="73"/>
      <c r="F68" s="92">
        <v>1.87</v>
      </c>
      <c r="G68" s="92"/>
      <c r="H68" s="26">
        <f t="shared" si="1"/>
        <v>-6001098.2300000004</v>
      </c>
      <c r="I68" s="25" t="s">
        <v>268</v>
      </c>
      <c r="J68" s="22"/>
      <c r="K68" s="25"/>
      <c r="L68" s="25"/>
      <c r="M68" s="22"/>
    </row>
    <row r="69" spans="1:13" s="20" customFormat="1" ht="12.75">
      <c r="A69" s="14">
        <v>1062</v>
      </c>
      <c r="B69" s="21">
        <v>44953</v>
      </c>
      <c r="C69" s="15">
        <f t="shared" si="3"/>
        <v>44953</v>
      </c>
      <c r="D69" s="16"/>
      <c r="E69" s="73"/>
      <c r="F69" s="92">
        <v>20000</v>
      </c>
      <c r="G69" s="92"/>
      <c r="H69" s="26">
        <f t="shared" si="1"/>
        <v>-6021098.2300000004</v>
      </c>
      <c r="I69" s="25" t="s">
        <v>284</v>
      </c>
      <c r="J69" s="22"/>
      <c r="K69" s="25"/>
      <c r="L69" s="25"/>
      <c r="M69" s="22"/>
    </row>
    <row r="70" spans="1:13" s="20" customFormat="1" ht="12.75">
      <c r="A70" s="14">
        <v>1063</v>
      </c>
      <c r="B70" s="21">
        <v>44953</v>
      </c>
      <c r="C70" s="15">
        <f t="shared" si="3"/>
        <v>44953</v>
      </c>
      <c r="D70" s="16"/>
      <c r="E70" s="73"/>
      <c r="F70" s="92">
        <v>25</v>
      </c>
      <c r="G70" s="92"/>
      <c r="H70" s="26">
        <f t="shared" ref="H70:H133" si="4">IFERROR(H69-F70+G70,"")</f>
        <v>-6021123.2300000004</v>
      </c>
      <c r="I70" s="25" t="s">
        <v>268</v>
      </c>
      <c r="J70" s="22"/>
      <c r="K70" s="25"/>
      <c r="L70" s="25"/>
      <c r="M70" s="22"/>
    </row>
    <row r="71" spans="1:13" s="20" customFormat="1" ht="12.75">
      <c r="A71" s="14">
        <v>1064</v>
      </c>
      <c r="B71" s="21">
        <v>44953</v>
      </c>
      <c r="C71" s="15">
        <f t="shared" si="3"/>
        <v>44953</v>
      </c>
      <c r="D71" s="16"/>
      <c r="E71" s="73"/>
      <c r="F71" s="92">
        <v>1.87</v>
      </c>
      <c r="G71" s="92"/>
      <c r="H71" s="26">
        <f t="shared" si="4"/>
        <v>-6021125.1000000006</v>
      </c>
      <c r="I71" s="25" t="s">
        <v>268</v>
      </c>
      <c r="J71" s="22"/>
      <c r="K71" s="25"/>
      <c r="L71" s="25"/>
      <c r="M71" s="22"/>
    </row>
    <row r="72" spans="1:13" s="20" customFormat="1" ht="12.75">
      <c r="A72" s="14">
        <v>1065</v>
      </c>
      <c r="B72" s="21">
        <v>44953</v>
      </c>
      <c r="C72" s="15">
        <f t="shared" si="3"/>
        <v>44953</v>
      </c>
      <c r="D72" s="16"/>
      <c r="E72" s="73"/>
      <c r="F72" s="92">
        <v>50000</v>
      </c>
      <c r="G72" s="92"/>
      <c r="H72" s="26">
        <f t="shared" si="4"/>
        <v>-6071125.1000000006</v>
      </c>
      <c r="I72" s="25" t="s">
        <v>265</v>
      </c>
      <c r="J72" s="22"/>
      <c r="K72" s="25"/>
      <c r="L72" s="25"/>
      <c r="M72" s="22"/>
    </row>
    <row r="73" spans="1:13" s="20" customFormat="1" ht="12.75">
      <c r="A73" s="14">
        <v>1066</v>
      </c>
      <c r="B73" s="21">
        <v>44953</v>
      </c>
      <c r="C73" s="15">
        <f t="shared" si="3"/>
        <v>44953</v>
      </c>
      <c r="D73" s="16"/>
      <c r="E73" s="73"/>
      <c r="F73" s="92">
        <v>25</v>
      </c>
      <c r="G73" s="92"/>
      <c r="H73" s="26">
        <f t="shared" si="4"/>
        <v>-6071150.1000000006</v>
      </c>
      <c r="I73" s="25" t="s">
        <v>268</v>
      </c>
      <c r="J73" s="22"/>
      <c r="K73" s="25"/>
      <c r="L73" s="25"/>
      <c r="M73" s="22"/>
    </row>
    <row r="74" spans="1:13" s="20" customFormat="1" ht="12.75">
      <c r="A74" s="14">
        <v>1067</v>
      </c>
      <c r="B74" s="21">
        <v>44953</v>
      </c>
      <c r="C74" s="15">
        <f t="shared" si="3"/>
        <v>44953</v>
      </c>
      <c r="D74" s="16"/>
      <c r="E74" s="73"/>
      <c r="F74" s="92">
        <v>1.87</v>
      </c>
      <c r="G74" s="92"/>
      <c r="H74" s="26">
        <f t="shared" si="4"/>
        <v>-6071151.9700000007</v>
      </c>
      <c r="I74" s="25" t="s">
        <v>268</v>
      </c>
      <c r="J74" s="22"/>
      <c r="K74" s="25"/>
      <c r="L74" s="25"/>
      <c r="M74" s="22"/>
    </row>
    <row r="75" spans="1:13" s="20" customFormat="1" ht="12.75">
      <c r="A75" s="14">
        <v>1068</v>
      </c>
      <c r="B75" s="21">
        <v>44957</v>
      </c>
      <c r="C75" s="15">
        <f t="shared" si="3"/>
        <v>44957</v>
      </c>
      <c r="D75" s="16"/>
      <c r="E75" s="73"/>
      <c r="F75" s="92">
        <v>40000</v>
      </c>
      <c r="G75" s="92"/>
      <c r="H75" s="26">
        <f t="shared" si="4"/>
        <v>-6111151.9700000007</v>
      </c>
      <c r="I75" s="25" t="s">
        <v>275</v>
      </c>
      <c r="J75" s="22"/>
      <c r="K75" s="25"/>
      <c r="L75" s="25"/>
      <c r="M75" s="22"/>
    </row>
    <row r="76" spans="1:13" s="20" customFormat="1" ht="12.75">
      <c r="A76" s="14">
        <v>1069</v>
      </c>
      <c r="B76" s="21">
        <v>44957</v>
      </c>
      <c r="C76" s="15">
        <f t="shared" si="3"/>
        <v>44957</v>
      </c>
      <c r="D76" s="16"/>
      <c r="E76" s="73"/>
      <c r="F76" s="92">
        <v>412</v>
      </c>
      <c r="G76" s="92"/>
      <c r="H76" s="26">
        <f t="shared" si="4"/>
        <v>-6111563.9700000007</v>
      </c>
      <c r="I76" s="25" t="s">
        <v>268</v>
      </c>
      <c r="J76" s="22"/>
      <c r="K76" s="25"/>
      <c r="L76" s="25"/>
      <c r="M76" s="22"/>
    </row>
    <row r="77" spans="1:13" s="20" customFormat="1" ht="12.75">
      <c r="A77" s="14">
        <v>1070</v>
      </c>
      <c r="B77" s="21">
        <v>44957</v>
      </c>
      <c r="C77" s="15">
        <f t="shared" si="3"/>
        <v>44957</v>
      </c>
      <c r="D77" s="16"/>
      <c r="E77" s="73"/>
      <c r="F77" s="92">
        <v>30.9</v>
      </c>
      <c r="G77" s="92"/>
      <c r="H77" s="26">
        <f t="shared" si="4"/>
        <v>-6111594.870000001</v>
      </c>
      <c r="I77" s="25" t="s">
        <v>268</v>
      </c>
      <c r="J77" s="22"/>
      <c r="K77" s="25"/>
      <c r="L77" s="25"/>
      <c r="M77" s="22"/>
    </row>
    <row r="78" spans="1:13" s="20" customFormat="1" ht="12.75">
      <c r="A78" s="14">
        <v>1071</v>
      </c>
      <c r="B78" s="21">
        <v>44957</v>
      </c>
      <c r="C78" s="15">
        <f t="shared" si="3"/>
        <v>44957</v>
      </c>
      <c r="D78" s="16"/>
      <c r="E78" s="73"/>
      <c r="F78" s="92">
        <v>13250</v>
      </c>
      <c r="G78" s="92"/>
      <c r="H78" s="26">
        <f t="shared" si="4"/>
        <v>-6124844.870000001</v>
      </c>
      <c r="I78" s="25" t="s">
        <v>284</v>
      </c>
      <c r="J78" s="22"/>
      <c r="K78" s="25"/>
      <c r="L78" s="25"/>
      <c r="M78" s="22"/>
    </row>
    <row r="79" spans="1:13" s="20" customFormat="1" ht="12.75">
      <c r="A79" s="14">
        <v>1072</v>
      </c>
      <c r="B79" s="21">
        <v>44957</v>
      </c>
      <c r="C79" s="15">
        <f t="shared" si="3"/>
        <v>44957</v>
      </c>
      <c r="D79" s="16"/>
      <c r="E79" s="73"/>
      <c r="F79" s="92">
        <v>25</v>
      </c>
      <c r="G79" s="92"/>
      <c r="H79" s="26">
        <f t="shared" si="4"/>
        <v>-6124869.870000001</v>
      </c>
      <c r="I79" s="25" t="s">
        <v>268</v>
      </c>
      <c r="J79" s="22"/>
      <c r="K79" s="25"/>
      <c r="L79" s="25"/>
      <c r="M79" s="22"/>
    </row>
    <row r="80" spans="1:13" s="20" customFormat="1" ht="12.75">
      <c r="A80" s="14">
        <v>1073</v>
      </c>
      <c r="B80" s="21">
        <v>44957</v>
      </c>
      <c r="C80" s="15">
        <f t="shared" si="3"/>
        <v>44957</v>
      </c>
      <c r="D80" s="16"/>
      <c r="E80" s="73"/>
      <c r="F80" s="92">
        <v>1.87</v>
      </c>
      <c r="G80" s="92"/>
      <c r="H80" s="26">
        <f t="shared" si="4"/>
        <v>-6124871.7400000012</v>
      </c>
      <c r="I80" s="25" t="s">
        <v>268</v>
      </c>
      <c r="J80" s="22"/>
      <c r="K80" s="25"/>
      <c r="L80" s="25"/>
      <c r="M80" s="22"/>
    </row>
    <row r="81" spans="1:13" s="20" customFormat="1" ht="12.75">
      <c r="A81" s="14">
        <v>1074</v>
      </c>
      <c r="B81" s="21">
        <v>44957</v>
      </c>
      <c r="C81" s="15">
        <f t="shared" si="3"/>
        <v>44957</v>
      </c>
      <c r="D81" s="16"/>
      <c r="E81" s="73"/>
      <c r="F81" s="92">
        <v>26300</v>
      </c>
      <c r="G81" s="92"/>
      <c r="H81" s="26">
        <f t="shared" si="4"/>
        <v>-6151171.7400000012</v>
      </c>
      <c r="I81" s="25" t="s">
        <v>284</v>
      </c>
      <c r="J81" s="22"/>
      <c r="K81" s="25"/>
      <c r="L81" s="25"/>
      <c r="M81" s="22"/>
    </row>
    <row r="82" spans="1:13" s="20" customFormat="1" ht="12.75">
      <c r="A82" s="14">
        <v>1075</v>
      </c>
      <c r="B82" s="21">
        <v>44957</v>
      </c>
      <c r="C82" s="15">
        <f t="shared" si="3"/>
        <v>44957</v>
      </c>
      <c r="D82" s="16"/>
      <c r="E82" s="73"/>
      <c r="F82" s="92">
        <v>25</v>
      </c>
      <c r="G82" s="92"/>
      <c r="H82" s="26">
        <f t="shared" si="4"/>
        <v>-6151196.7400000012</v>
      </c>
      <c r="I82" s="25" t="s">
        <v>268</v>
      </c>
      <c r="J82" s="22"/>
      <c r="K82" s="25"/>
      <c r="L82" s="25"/>
      <c r="M82" s="22"/>
    </row>
    <row r="83" spans="1:13" s="20" customFormat="1" ht="12.75">
      <c r="A83" s="14">
        <v>1076</v>
      </c>
      <c r="B83" s="21">
        <v>44957</v>
      </c>
      <c r="C83" s="15">
        <f t="shared" si="3"/>
        <v>44957</v>
      </c>
      <c r="D83" s="16"/>
      <c r="E83" s="73"/>
      <c r="F83" s="92">
        <v>1.87</v>
      </c>
      <c r="G83" s="92"/>
      <c r="H83" s="26">
        <f t="shared" si="4"/>
        <v>-6151198.6100000013</v>
      </c>
      <c r="I83" s="25" t="s">
        <v>268</v>
      </c>
      <c r="J83" s="22"/>
      <c r="K83" s="25"/>
      <c r="L83" s="25"/>
      <c r="M83" s="22"/>
    </row>
    <row r="84" spans="1:13" s="20" customFormat="1" ht="12.75">
      <c r="A84" s="14">
        <v>1077</v>
      </c>
      <c r="B84" s="21">
        <v>44957</v>
      </c>
      <c r="C84" s="15">
        <f t="shared" si="3"/>
        <v>44957</v>
      </c>
      <c r="D84" s="16"/>
      <c r="E84" s="73"/>
      <c r="F84" s="92">
        <v>25000</v>
      </c>
      <c r="G84" s="92"/>
      <c r="H84" s="26">
        <f t="shared" si="4"/>
        <v>-6176198.6100000013</v>
      </c>
      <c r="I84" s="25" t="s">
        <v>275</v>
      </c>
      <c r="J84" s="22"/>
      <c r="K84" s="25"/>
      <c r="L84" s="25"/>
      <c r="M84" s="22"/>
    </row>
    <row r="85" spans="1:13" s="20" customFormat="1" ht="12.75">
      <c r="A85" s="14">
        <v>1078</v>
      </c>
      <c r="B85" s="21">
        <v>44957</v>
      </c>
      <c r="C85" s="15">
        <f t="shared" si="3"/>
        <v>44957</v>
      </c>
      <c r="D85" s="16"/>
      <c r="E85" s="73"/>
      <c r="F85" s="92">
        <v>25</v>
      </c>
      <c r="G85" s="92"/>
      <c r="H85" s="26">
        <f t="shared" si="4"/>
        <v>-6176223.6100000013</v>
      </c>
      <c r="I85" s="25" t="s">
        <v>268</v>
      </c>
      <c r="J85" s="22"/>
      <c r="K85" s="25"/>
      <c r="L85" s="25"/>
      <c r="M85" s="22"/>
    </row>
    <row r="86" spans="1:13" s="20" customFormat="1" ht="12.75">
      <c r="A86" s="14">
        <v>1079</v>
      </c>
      <c r="B86" s="21">
        <v>44957</v>
      </c>
      <c r="C86" s="15">
        <f t="shared" si="3"/>
        <v>44957</v>
      </c>
      <c r="D86" s="16"/>
      <c r="E86" s="73"/>
      <c r="F86" s="92">
        <v>1.87</v>
      </c>
      <c r="G86" s="92"/>
      <c r="H86" s="26">
        <f t="shared" si="4"/>
        <v>-6176225.4800000014</v>
      </c>
      <c r="I86" s="25" t="s">
        <v>268</v>
      </c>
      <c r="J86" s="22"/>
      <c r="K86" s="25"/>
      <c r="L86" s="25"/>
      <c r="M86" s="22"/>
    </row>
    <row r="87" spans="1:13" s="20" customFormat="1" ht="12.75">
      <c r="A87" s="14">
        <v>1080</v>
      </c>
      <c r="B87" s="21">
        <v>44957</v>
      </c>
      <c r="C87" s="15">
        <f t="shared" si="3"/>
        <v>44957</v>
      </c>
      <c r="D87" s="16"/>
      <c r="E87" s="73"/>
      <c r="F87" s="92">
        <v>92270</v>
      </c>
      <c r="G87" s="92"/>
      <c r="H87" s="26">
        <f t="shared" si="4"/>
        <v>-6268495.4800000014</v>
      </c>
      <c r="I87" s="25" t="s">
        <v>286</v>
      </c>
      <c r="J87" s="22"/>
      <c r="K87" s="25"/>
      <c r="L87" s="25"/>
      <c r="M87" s="22"/>
    </row>
    <row r="88" spans="1:13" s="20" customFormat="1" ht="12.75">
      <c r="A88" s="14">
        <v>1081</v>
      </c>
      <c r="B88" s="21">
        <v>44957</v>
      </c>
      <c r="C88" s="15">
        <f t="shared" si="3"/>
        <v>44957</v>
      </c>
      <c r="D88" s="16"/>
      <c r="E88" s="73"/>
      <c r="F88" s="92">
        <v>71400</v>
      </c>
      <c r="G88" s="92"/>
      <c r="H88" s="26">
        <f t="shared" si="4"/>
        <v>-6339895.4800000014</v>
      </c>
      <c r="I88" s="25" t="s">
        <v>287</v>
      </c>
      <c r="J88" s="22"/>
      <c r="K88" s="25"/>
      <c r="L88" s="25"/>
      <c r="M88" s="22"/>
    </row>
    <row r="89" spans="1:13" s="20" customFormat="1" ht="12.75">
      <c r="A89" s="14">
        <v>1082</v>
      </c>
      <c r="B89" s="21">
        <v>44957</v>
      </c>
      <c r="C89" s="15">
        <f t="shared" si="3"/>
        <v>44957</v>
      </c>
      <c r="D89" s="16"/>
      <c r="E89" s="73"/>
      <c r="F89" s="92">
        <v>30000</v>
      </c>
      <c r="G89" s="92"/>
      <c r="H89" s="26">
        <f t="shared" si="4"/>
        <v>-6369895.4800000014</v>
      </c>
      <c r="I89" s="25" t="s">
        <v>288</v>
      </c>
      <c r="J89" s="22"/>
      <c r="K89" s="25"/>
      <c r="L89" s="25"/>
      <c r="M89" s="22"/>
    </row>
    <row r="90" spans="1:13" s="20" customFormat="1" ht="12.75">
      <c r="A90" s="14">
        <v>1083</v>
      </c>
      <c r="B90" s="21">
        <v>44957</v>
      </c>
      <c r="C90" s="15">
        <f t="shared" si="3"/>
        <v>44957</v>
      </c>
      <c r="D90" s="16"/>
      <c r="E90" s="73"/>
      <c r="F90" s="92">
        <v>100000</v>
      </c>
      <c r="G90" s="92"/>
      <c r="H90" s="26">
        <f t="shared" si="4"/>
        <v>-6469895.4800000014</v>
      </c>
      <c r="I90" s="25" t="s">
        <v>289</v>
      </c>
      <c r="J90" s="22"/>
      <c r="K90" s="25"/>
      <c r="L90" s="25"/>
      <c r="M90" s="22"/>
    </row>
    <row r="91" spans="1:13" s="20" customFormat="1" ht="12.75">
      <c r="A91" s="14">
        <v>1084</v>
      </c>
      <c r="B91" s="21">
        <v>44957</v>
      </c>
      <c r="C91" s="15">
        <f t="shared" si="3"/>
        <v>44957</v>
      </c>
      <c r="D91" s="16"/>
      <c r="E91" s="73"/>
      <c r="F91" s="92">
        <v>100000</v>
      </c>
      <c r="G91" s="92"/>
      <c r="H91" s="26">
        <f t="shared" si="4"/>
        <v>-6569895.4800000014</v>
      </c>
      <c r="I91" s="25" t="s">
        <v>285</v>
      </c>
      <c r="J91" s="22"/>
      <c r="K91" s="25"/>
      <c r="L91" s="25"/>
      <c r="M91" s="22"/>
    </row>
    <row r="92" spans="1:13" s="20" customFormat="1" ht="12.75">
      <c r="A92" s="14">
        <v>1085</v>
      </c>
      <c r="B92" s="21">
        <v>44957</v>
      </c>
      <c r="C92" s="15">
        <f t="shared" si="3"/>
        <v>44957</v>
      </c>
      <c r="D92" s="16"/>
      <c r="E92" s="73"/>
      <c r="F92" s="92">
        <v>50000</v>
      </c>
      <c r="G92" s="92"/>
      <c r="H92" s="26">
        <f t="shared" si="4"/>
        <v>-6619895.4800000014</v>
      </c>
      <c r="I92" s="25" t="s">
        <v>276</v>
      </c>
      <c r="J92" s="22"/>
      <c r="K92" s="25"/>
      <c r="L92" s="25"/>
      <c r="M92" s="22"/>
    </row>
    <row r="93" spans="1:13" s="20" customFormat="1" ht="12.75">
      <c r="A93" s="14">
        <v>1086</v>
      </c>
      <c r="B93" s="21">
        <v>44957</v>
      </c>
      <c r="C93" s="15">
        <f t="shared" si="3"/>
        <v>44957</v>
      </c>
      <c r="D93" s="16"/>
      <c r="E93" s="73"/>
      <c r="F93" s="92">
        <v>50</v>
      </c>
      <c r="G93" s="92"/>
      <c r="H93" s="26">
        <f t="shared" si="4"/>
        <v>-6619945.4800000014</v>
      </c>
      <c r="I93" s="25" t="s">
        <v>268</v>
      </c>
      <c r="J93" s="22"/>
      <c r="K93" s="25"/>
      <c r="L93" s="25"/>
      <c r="M93" s="22"/>
    </row>
    <row r="94" spans="1:13" s="20" customFormat="1" ht="12.75">
      <c r="A94" s="14">
        <v>1087</v>
      </c>
      <c r="B94" s="21">
        <v>44957</v>
      </c>
      <c r="C94" s="15">
        <f t="shared" si="3"/>
        <v>44957</v>
      </c>
      <c r="D94" s="16"/>
      <c r="E94" s="73"/>
      <c r="F94" s="92">
        <v>50000</v>
      </c>
      <c r="G94" s="92"/>
      <c r="H94" s="26">
        <f t="shared" si="4"/>
        <v>-6669945.4800000014</v>
      </c>
      <c r="I94" s="25" t="s">
        <v>276</v>
      </c>
      <c r="J94" s="22"/>
      <c r="K94" s="25"/>
      <c r="L94" s="25"/>
      <c r="M94" s="22"/>
    </row>
    <row r="95" spans="1:13" s="20" customFormat="1" ht="12.75">
      <c r="A95" s="14">
        <v>1088</v>
      </c>
      <c r="B95" s="21">
        <v>44957</v>
      </c>
      <c r="C95" s="15">
        <f t="shared" si="3"/>
        <v>44957</v>
      </c>
      <c r="D95" s="16"/>
      <c r="E95" s="73"/>
      <c r="F95" s="92">
        <v>50</v>
      </c>
      <c r="G95" s="92"/>
      <c r="H95" s="26">
        <f t="shared" si="4"/>
        <v>-6669995.4800000014</v>
      </c>
      <c r="I95" s="25" t="s">
        <v>268</v>
      </c>
      <c r="J95" s="22"/>
      <c r="K95" s="25"/>
      <c r="L95" s="25"/>
      <c r="M95" s="22"/>
    </row>
    <row r="96" spans="1:13" s="20" customFormat="1" ht="12.75">
      <c r="A96" s="14">
        <v>1089</v>
      </c>
      <c r="B96" s="21">
        <v>44957</v>
      </c>
      <c r="C96" s="15">
        <f t="shared" si="3"/>
        <v>44957</v>
      </c>
      <c r="D96" s="16"/>
      <c r="E96" s="73"/>
      <c r="F96" s="92">
        <v>1200000</v>
      </c>
      <c r="G96" s="92"/>
      <c r="H96" s="26">
        <f t="shared" si="4"/>
        <v>-7869995.4800000014</v>
      </c>
      <c r="I96" s="25" t="s">
        <v>276</v>
      </c>
      <c r="J96" s="22"/>
      <c r="K96" s="25"/>
      <c r="L96" s="25"/>
      <c r="M96" s="22"/>
    </row>
    <row r="97" spans="1:13" s="20" customFormat="1" ht="12.75">
      <c r="A97" s="14">
        <v>1090</v>
      </c>
      <c r="B97" s="21">
        <v>44957</v>
      </c>
      <c r="C97" s="15">
        <f t="shared" si="3"/>
        <v>44957</v>
      </c>
      <c r="D97" s="16"/>
      <c r="E97" s="73"/>
      <c r="F97" s="92">
        <v>50</v>
      </c>
      <c r="G97" s="92"/>
      <c r="H97" s="26">
        <f t="shared" si="4"/>
        <v>-7870045.4800000014</v>
      </c>
      <c r="I97" s="25" t="s">
        <v>268</v>
      </c>
      <c r="J97" s="22"/>
      <c r="K97" s="25"/>
      <c r="L97" s="25"/>
      <c r="M97" s="22"/>
    </row>
    <row r="98" spans="1:13" s="20" customFormat="1" ht="12.75">
      <c r="A98" s="14">
        <v>1091</v>
      </c>
      <c r="B98" s="21">
        <v>44957</v>
      </c>
      <c r="C98" s="15">
        <f t="shared" si="3"/>
        <v>44957</v>
      </c>
      <c r="D98" s="16"/>
      <c r="E98" s="73"/>
      <c r="F98" s="92">
        <v>60000</v>
      </c>
      <c r="G98" s="92"/>
      <c r="H98" s="26">
        <f t="shared" si="4"/>
        <v>-7930045.4800000014</v>
      </c>
      <c r="I98" s="25" t="s">
        <v>271</v>
      </c>
      <c r="J98" s="22"/>
      <c r="K98" s="25"/>
      <c r="L98" s="25"/>
      <c r="M98" s="22"/>
    </row>
    <row r="99" spans="1:13" s="20" customFormat="1" ht="12.75">
      <c r="A99" s="14">
        <v>1092</v>
      </c>
      <c r="B99" s="21">
        <v>44957</v>
      </c>
      <c r="C99" s="15">
        <f t="shared" si="3"/>
        <v>44957</v>
      </c>
      <c r="D99" s="16"/>
      <c r="E99" s="73"/>
      <c r="F99" s="92">
        <v>50</v>
      </c>
      <c r="G99" s="92"/>
      <c r="H99" s="26">
        <f t="shared" si="4"/>
        <v>-7930095.4800000014</v>
      </c>
      <c r="I99" s="25" t="s">
        <v>268</v>
      </c>
      <c r="J99" s="22"/>
      <c r="K99" s="25"/>
      <c r="L99" s="25"/>
      <c r="M99" s="22"/>
    </row>
    <row r="100" spans="1:13" s="20" customFormat="1" ht="12.75">
      <c r="A100" s="14">
        <v>1093</v>
      </c>
      <c r="B100" s="21">
        <v>44957</v>
      </c>
      <c r="C100" s="15">
        <f t="shared" si="3"/>
        <v>44957</v>
      </c>
      <c r="D100" s="16"/>
      <c r="E100" s="73"/>
      <c r="F100" s="92">
        <v>3.75</v>
      </c>
      <c r="G100" s="92"/>
      <c r="H100" s="26">
        <f t="shared" si="4"/>
        <v>-7930099.2300000014</v>
      </c>
      <c r="I100" s="25" t="s">
        <v>268</v>
      </c>
      <c r="J100" s="22"/>
      <c r="K100" s="25"/>
      <c r="L100" s="25"/>
      <c r="M100" s="22"/>
    </row>
    <row r="101" spans="1:13" s="20" customFormat="1" ht="12.75">
      <c r="A101" s="14">
        <v>1094</v>
      </c>
      <c r="B101" s="21">
        <v>44957</v>
      </c>
      <c r="C101" s="15">
        <f t="shared" si="3"/>
        <v>44957</v>
      </c>
      <c r="D101" s="16"/>
      <c r="E101" s="73"/>
      <c r="F101" s="92">
        <v>30000</v>
      </c>
      <c r="G101" s="92"/>
      <c r="H101" s="26">
        <f t="shared" si="4"/>
        <v>-7960099.2300000014</v>
      </c>
      <c r="I101" s="25" t="s">
        <v>271</v>
      </c>
      <c r="J101" s="22"/>
      <c r="K101" s="25"/>
      <c r="L101" s="25"/>
      <c r="M101" s="22"/>
    </row>
    <row r="102" spans="1:13" s="20" customFormat="1" ht="12.75">
      <c r="A102" s="14">
        <v>1095</v>
      </c>
      <c r="B102" s="21">
        <v>44957</v>
      </c>
      <c r="C102" s="15">
        <f t="shared" si="3"/>
        <v>44957</v>
      </c>
      <c r="D102" s="16"/>
      <c r="E102" s="73"/>
      <c r="F102" s="92">
        <v>25</v>
      </c>
      <c r="G102" s="92"/>
      <c r="H102" s="26">
        <f t="shared" si="4"/>
        <v>-7960124.2300000014</v>
      </c>
      <c r="I102" s="25" t="s">
        <v>268</v>
      </c>
      <c r="J102" s="22"/>
      <c r="K102" s="25"/>
      <c r="L102" s="25"/>
      <c r="M102" s="22"/>
    </row>
    <row r="103" spans="1:13" s="20" customFormat="1" ht="12.75">
      <c r="A103" s="14">
        <v>1096</v>
      </c>
      <c r="B103" s="21">
        <v>44957</v>
      </c>
      <c r="C103" s="15">
        <f t="shared" si="3"/>
        <v>44957</v>
      </c>
      <c r="D103" s="16"/>
      <c r="E103" s="73"/>
      <c r="F103" s="92">
        <v>1.87</v>
      </c>
      <c r="G103" s="92"/>
      <c r="H103" s="26">
        <f t="shared" si="4"/>
        <v>-7960126.1000000015</v>
      </c>
      <c r="I103" s="25" t="s">
        <v>268</v>
      </c>
      <c r="J103" s="22"/>
      <c r="K103" s="25"/>
      <c r="L103" s="25"/>
      <c r="M103" s="22"/>
    </row>
    <row r="104" spans="1:13" s="20" customFormat="1" ht="12.75">
      <c r="A104" s="14">
        <v>1097</v>
      </c>
      <c r="B104" s="21">
        <v>44957</v>
      </c>
      <c r="C104" s="15">
        <f t="shared" si="3"/>
        <v>44957</v>
      </c>
      <c r="D104" s="16"/>
      <c r="E104" s="73"/>
      <c r="F104" s="92">
        <v>114000</v>
      </c>
      <c r="G104" s="92"/>
      <c r="H104" s="26">
        <f t="shared" si="4"/>
        <v>-8074126.1000000015</v>
      </c>
      <c r="I104" s="25" t="s">
        <v>290</v>
      </c>
      <c r="J104" s="22"/>
      <c r="K104" s="25"/>
      <c r="L104" s="25"/>
      <c r="M104" s="22"/>
    </row>
    <row r="105" spans="1:13" s="20" customFormat="1" ht="12.75">
      <c r="A105" s="14">
        <v>1098</v>
      </c>
      <c r="B105" s="21">
        <v>44957</v>
      </c>
      <c r="C105" s="15">
        <f t="shared" si="3"/>
        <v>44957</v>
      </c>
      <c r="D105" s="16"/>
      <c r="E105" s="73"/>
      <c r="F105" s="92">
        <v>50</v>
      </c>
      <c r="G105" s="92"/>
      <c r="H105" s="26">
        <f t="shared" si="4"/>
        <v>-8074176.1000000015</v>
      </c>
      <c r="I105" s="25" t="s">
        <v>268</v>
      </c>
      <c r="J105" s="22"/>
      <c r="K105" s="25"/>
      <c r="L105" s="25"/>
      <c r="M105" s="22"/>
    </row>
    <row r="106" spans="1:13" s="20" customFormat="1" ht="12.75">
      <c r="A106" s="14">
        <v>1099</v>
      </c>
      <c r="B106" s="21">
        <v>44957</v>
      </c>
      <c r="C106" s="15">
        <f t="shared" si="3"/>
        <v>44957</v>
      </c>
      <c r="D106" s="16"/>
      <c r="E106" s="73"/>
      <c r="F106" s="92">
        <v>3.75</v>
      </c>
      <c r="G106" s="92"/>
      <c r="H106" s="26">
        <f t="shared" si="4"/>
        <v>-8074179.8500000015</v>
      </c>
      <c r="I106" s="25" t="s">
        <v>268</v>
      </c>
      <c r="J106" s="22"/>
      <c r="K106" s="25"/>
      <c r="L106" s="25"/>
      <c r="M106" s="22"/>
    </row>
    <row r="107" spans="1:13" s="20" customFormat="1" ht="12.75">
      <c r="A107" s="14">
        <v>1100</v>
      </c>
      <c r="B107" s="21">
        <v>44957</v>
      </c>
      <c r="C107" s="15">
        <f t="shared" si="3"/>
        <v>44957</v>
      </c>
      <c r="D107" s="16"/>
      <c r="E107" s="73"/>
      <c r="F107" s="92">
        <v>320938.90000000002</v>
      </c>
      <c r="G107" s="92"/>
      <c r="H107" s="26">
        <f t="shared" si="4"/>
        <v>-8395118.7500000019</v>
      </c>
      <c r="I107" s="25" t="s">
        <v>271</v>
      </c>
      <c r="J107" s="22"/>
      <c r="K107" s="25"/>
      <c r="L107" s="25"/>
      <c r="M107" s="22"/>
    </row>
    <row r="108" spans="1:13" s="20" customFormat="1" ht="12.75">
      <c r="A108" s="14">
        <v>1101</v>
      </c>
      <c r="B108" s="21">
        <v>44957</v>
      </c>
      <c r="C108" s="15">
        <f t="shared" si="3"/>
        <v>44957</v>
      </c>
      <c r="D108" s="16"/>
      <c r="E108" s="73"/>
      <c r="F108" s="92">
        <v>6699810.8899999997</v>
      </c>
      <c r="G108" s="92"/>
      <c r="H108" s="26">
        <f t="shared" si="4"/>
        <v>-15094929.640000001</v>
      </c>
      <c r="I108" s="25" t="s">
        <v>271</v>
      </c>
      <c r="J108" s="22"/>
      <c r="K108" s="25"/>
      <c r="L108" s="25"/>
      <c r="M108" s="22"/>
    </row>
    <row r="109" spans="1:13" s="20" customFormat="1" ht="12.75">
      <c r="A109" s="14">
        <v>1102</v>
      </c>
      <c r="B109" s="21">
        <v>44957</v>
      </c>
      <c r="C109" s="15">
        <f t="shared" si="3"/>
        <v>44957</v>
      </c>
      <c r="D109" s="16"/>
      <c r="E109" s="73"/>
      <c r="F109" s="92">
        <v>53.75</v>
      </c>
      <c r="G109" s="92"/>
      <c r="H109" s="26">
        <f t="shared" si="4"/>
        <v>-15094983.390000001</v>
      </c>
      <c r="I109" s="25" t="s">
        <v>268</v>
      </c>
      <c r="J109" s="22"/>
      <c r="K109" s="25"/>
      <c r="L109" s="25"/>
      <c r="M109" s="22"/>
    </row>
    <row r="110" spans="1:13" s="20" customFormat="1" ht="12.75">
      <c r="A110" s="14">
        <v>1103</v>
      </c>
      <c r="B110" s="21">
        <v>44957</v>
      </c>
      <c r="C110" s="15">
        <f t="shared" ref="C110:C173" si="5">B110</f>
        <v>44957</v>
      </c>
      <c r="D110" s="16"/>
      <c r="E110" s="73"/>
      <c r="F110" s="92">
        <v>403.13</v>
      </c>
      <c r="G110" s="92"/>
      <c r="H110" s="26">
        <f t="shared" si="4"/>
        <v>-15095386.520000001</v>
      </c>
      <c r="I110" s="25" t="s">
        <v>268</v>
      </c>
      <c r="J110" s="22"/>
      <c r="K110" s="25"/>
      <c r="L110" s="25"/>
      <c r="M110" s="22"/>
    </row>
    <row r="111" spans="1:13" s="20" customFormat="1" ht="12.75">
      <c r="A111" s="14">
        <v>1104</v>
      </c>
      <c r="B111" s="21">
        <v>44957</v>
      </c>
      <c r="C111" s="15">
        <f t="shared" si="5"/>
        <v>44957</v>
      </c>
      <c r="D111" s="16"/>
      <c r="E111" s="73"/>
      <c r="F111" s="92">
        <v>14632.89</v>
      </c>
      <c r="G111" s="92"/>
      <c r="H111" s="26">
        <f t="shared" si="4"/>
        <v>-15110019.410000002</v>
      </c>
      <c r="I111" s="25" t="s">
        <v>264</v>
      </c>
      <c r="J111" s="22"/>
      <c r="K111" s="25"/>
      <c r="L111" s="25"/>
      <c r="M111" s="22"/>
    </row>
    <row r="112" spans="1:13" s="20" customFormat="1" ht="12.75">
      <c r="A112" s="14">
        <v>1105</v>
      </c>
      <c r="B112" s="21">
        <v>44957</v>
      </c>
      <c r="C112" s="15">
        <f t="shared" si="5"/>
        <v>44957</v>
      </c>
      <c r="D112" s="16"/>
      <c r="E112" s="73"/>
      <c r="F112" s="92">
        <v>1097.47</v>
      </c>
      <c r="G112" s="92"/>
      <c r="H112" s="26">
        <f t="shared" si="4"/>
        <v>-15111116.880000003</v>
      </c>
      <c r="I112" s="25" t="s">
        <v>268</v>
      </c>
      <c r="J112" s="22"/>
      <c r="K112" s="25"/>
      <c r="L112" s="25"/>
      <c r="M112" s="22"/>
    </row>
    <row r="113" spans="1:13" s="20" customFormat="1" ht="12.75">
      <c r="A113" s="14">
        <v>1106</v>
      </c>
      <c r="B113" s="21">
        <v>44958</v>
      </c>
      <c r="C113" s="15">
        <f t="shared" si="5"/>
        <v>44958</v>
      </c>
      <c r="D113" s="16"/>
      <c r="E113" s="73"/>
      <c r="F113" s="92">
        <v>75</v>
      </c>
      <c r="G113" s="92"/>
      <c r="H113" s="26">
        <f t="shared" si="4"/>
        <v>-15111191.880000003</v>
      </c>
      <c r="I113" s="25" t="s">
        <v>268</v>
      </c>
      <c r="J113" s="22"/>
      <c r="K113" s="25"/>
      <c r="L113" s="25"/>
      <c r="M113" s="22"/>
    </row>
    <row r="114" spans="1:13" s="20" customFormat="1" ht="12.75">
      <c r="A114" s="14">
        <v>1107</v>
      </c>
      <c r="B114" s="21">
        <v>44958</v>
      </c>
      <c r="C114" s="15">
        <f t="shared" si="5"/>
        <v>44958</v>
      </c>
      <c r="D114" s="16"/>
      <c r="E114" s="73"/>
      <c r="F114" s="92">
        <v>5.63</v>
      </c>
      <c r="G114" s="92"/>
      <c r="H114" s="26">
        <f t="shared" si="4"/>
        <v>-15111197.510000004</v>
      </c>
      <c r="I114" s="25" t="s">
        <v>268</v>
      </c>
      <c r="J114" s="22"/>
      <c r="K114" s="25"/>
      <c r="L114" s="25"/>
      <c r="M114" s="22"/>
    </row>
    <row r="115" spans="1:13" s="20" customFormat="1" ht="12.75">
      <c r="A115" s="14">
        <v>1108</v>
      </c>
      <c r="B115" s="21">
        <v>44958</v>
      </c>
      <c r="C115" s="15">
        <f t="shared" si="5"/>
        <v>44958</v>
      </c>
      <c r="D115" s="16"/>
      <c r="E115" s="73"/>
      <c r="F115" s="92">
        <v>555</v>
      </c>
      <c r="G115" s="92"/>
      <c r="H115" s="26">
        <f t="shared" si="4"/>
        <v>-15111752.510000004</v>
      </c>
      <c r="I115" s="25" t="s">
        <v>268</v>
      </c>
      <c r="J115" s="22"/>
      <c r="K115" s="25"/>
      <c r="L115" s="25"/>
      <c r="M115" s="22"/>
    </row>
    <row r="116" spans="1:13" s="20" customFormat="1" ht="12.75">
      <c r="A116" s="14">
        <v>1109</v>
      </c>
      <c r="B116" s="21">
        <v>44958</v>
      </c>
      <c r="C116" s="15">
        <f t="shared" si="5"/>
        <v>44958</v>
      </c>
      <c r="D116" s="16"/>
      <c r="E116" s="73"/>
      <c r="F116" s="92">
        <v>41.63</v>
      </c>
      <c r="G116" s="92"/>
      <c r="H116" s="26">
        <f t="shared" si="4"/>
        <v>-15111794.140000004</v>
      </c>
      <c r="I116" s="25" t="s">
        <v>268</v>
      </c>
      <c r="J116" s="22"/>
      <c r="K116" s="25"/>
      <c r="L116" s="25"/>
      <c r="M116" s="22"/>
    </row>
    <row r="117" spans="1:13" s="20" customFormat="1" ht="12.75">
      <c r="A117" s="14">
        <v>1110</v>
      </c>
      <c r="B117" s="21">
        <v>44966</v>
      </c>
      <c r="C117" s="15">
        <f t="shared" si="5"/>
        <v>44966</v>
      </c>
      <c r="D117" s="16"/>
      <c r="E117" s="73"/>
      <c r="F117" s="92">
        <v>14118.47</v>
      </c>
      <c r="G117" s="92"/>
      <c r="H117" s="26">
        <f t="shared" si="4"/>
        <v>-15125912.610000005</v>
      </c>
      <c r="I117" s="25" t="s">
        <v>271</v>
      </c>
      <c r="J117" s="22"/>
      <c r="K117" s="25"/>
      <c r="L117" s="25"/>
      <c r="M117" s="22"/>
    </row>
    <row r="118" spans="1:13" s="20" customFormat="1" ht="12.75">
      <c r="A118" s="14">
        <v>1111</v>
      </c>
      <c r="B118" s="21">
        <v>44966</v>
      </c>
      <c r="C118" s="15">
        <f t="shared" si="5"/>
        <v>44966</v>
      </c>
      <c r="D118" s="16"/>
      <c r="E118" s="73"/>
      <c r="F118" s="92">
        <v>86904.75</v>
      </c>
      <c r="G118" s="92"/>
      <c r="H118" s="26">
        <f t="shared" si="4"/>
        <v>-15212817.360000005</v>
      </c>
      <c r="I118" s="25" t="s">
        <v>277</v>
      </c>
      <c r="J118" s="22"/>
      <c r="K118" s="25"/>
      <c r="L118" s="25"/>
      <c r="M118" s="22"/>
    </row>
    <row r="119" spans="1:13" s="20" customFormat="1" ht="12.75">
      <c r="A119" s="14">
        <v>1112</v>
      </c>
      <c r="B119" s="21">
        <v>44966</v>
      </c>
      <c r="C119" s="15">
        <f t="shared" si="5"/>
        <v>44966</v>
      </c>
      <c r="D119" s="16"/>
      <c r="E119" s="73"/>
      <c r="F119" s="92">
        <v>100</v>
      </c>
      <c r="G119" s="92"/>
      <c r="H119" s="26">
        <f t="shared" si="4"/>
        <v>-15212917.360000005</v>
      </c>
      <c r="I119" s="25" t="s">
        <v>268</v>
      </c>
      <c r="J119" s="22"/>
      <c r="K119" s="25"/>
      <c r="L119" s="25"/>
      <c r="M119" s="22"/>
    </row>
    <row r="120" spans="1:13" s="20" customFormat="1" ht="12.75">
      <c r="A120" s="14">
        <v>1113</v>
      </c>
      <c r="B120" s="21">
        <v>44966</v>
      </c>
      <c r="C120" s="15">
        <f t="shared" si="5"/>
        <v>44966</v>
      </c>
      <c r="D120" s="16"/>
      <c r="E120" s="73"/>
      <c r="F120" s="92">
        <v>4411.25</v>
      </c>
      <c r="G120" s="92"/>
      <c r="H120" s="26">
        <f t="shared" si="4"/>
        <v>-15217328.610000005</v>
      </c>
      <c r="I120" s="25" t="s">
        <v>286</v>
      </c>
      <c r="J120" s="22"/>
      <c r="K120" s="25"/>
      <c r="L120" s="25"/>
      <c r="M120" s="22"/>
    </row>
    <row r="121" spans="1:13" s="20" customFormat="1" ht="12.75">
      <c r="A121" s="14">
        <v>1114</v>
      </c>
      <c r="B121" s="21">
        <v>44966</v>
      </c>
      <c r="C121" s="15">
        <f t="shared" si="5"/>
        <v>44966</v>
      </c>
      <c r="D121" s="16"/>
      <c r="E121" s="73"/>
      <c r="F121" s="92">
        <v>100</v>
      </c>
      <c r="G121" s="92"/>
      <c r="H121" s="26">
        <f t="shared" si="4"/>
        <v>-15217428.610000005</v>
      </c>
      <c r="I121" s="25" t="s">
        <v>268</v>
      </c>
      <c r="J121" s="22"/>
      <c r="K121" s="25"/>
      <c r="L121" s="25"/>
      <c r="M121" s="22"/>
    </row>
    <row r="122" spans="1:13" s="20" customFormat="1" ht="12.75">
      <c r="A122" s="14">
        <v>1115</v>
      </c>
      <c r="B122" s="21">
        <v>44966</v>
      </c>
      <c r="C122" s="15">
        <f t="shared" si="5"/>
        <v>44966</v>
      </c>
      <c r="D122" s="16"/>
      <c r="E122" s="73"/>
      <c r="F122" s="92">
        <v>4411.25</v>
      </c>
      <c r="G122" s="92"/>
      <c r="H122" s="26">
        <f t="shared" si="4"/>
        <v>-15221839.860000005</v>
      </c>
      <c r="I122" s="25" t="s">
        <v>286</v>
      </c>
      <c r="J122" s="22"/>
      <c r="K122" s="25"/>
      <c r="L122" s="25"/>
      <c r="M122" s="22"/>
    </row>
    <row r="123" spans="1:13" s="20" customFormat="1" ht="12.75">
      <c r="A123" s="14">
        <v>1116</v>
      </c>
      <c r="B123" s="21">
        <v>44966</v>
      </c>
      <c r="C123" s="15">
        <f t="shared" si="5"/>
        <v>44966</v>
      </c>
      <c r="D123" s="16"/>
      <c r="E123" s="73"/>
      <c r="F123" s="92">
        <v>100</v>
      </c>
      <c r="G123" s="92"/>
      <c r="H123" s="26">
        <f t="shared" si="4"/>
        <v>-15221939.860000005</v>
      </c>
      <c r="I123" s="25" t="s">
        <v>268</v>
      </c>
      <c r="J123" s="22"/>
      <c r="K123" s="25"/>
      <c r="L123" s="25"/>
      <c r="M123" s="22"/>
    </row>
    <row r="124" spans="1:13" s="20" customFormat="1" ht="12.75">
      <c r="A124" s="14">
        <v>1117</v>
      </c>
      <c r="B124" s="21">
        <v>44966</v>
      </c>
      <c r="C124" s="15">
        <f t="shared" si="5"/>
        <v>44966</v>
      </c>
      <c r="D124" s="16"/>
      <c r="E124" s="73"/>
      <c r="F124" s="92">
        <v>1123363.58</v>
      </c>
      <c r="G124" s="92"/>
      <c r="H124" s="26">
        <f t="shared" si="4"/>
        <v>-16345303.440000005</v>
      </c>
      <c r="I124" s="25" t="s">
        <v>282</v>
      </c>
      <c r="J124" s="22"/>
      <c r="K124" s="25"/>
      <c r="L124" s="25"/>
      <c r="M124" s="22"/>
    </row>
    <row r="125" spans="1:13" s="20" customFormat="1" ht="12.75">
      <c r="A125" s="14">
        <v>1118</v>
      </c>
      <c r="B125" s="21">
        <v>44966</v>
      </c>
      <c r="C125" s="15">
        <f t="shared" si="5"/>
        <v>44966</v>
      </c>
      <c r="D125" s="16"/>
      <c r="E125" s="73"/>
      <c r="F125" s="92">
        <v>50</v>
      </c>
      <c r="G125" s="92"/>
      <c r="H125" s="26">
        <f t="shared" si="4"/>
        <v>-16345353.440000005</v>
      </c>
      <c r="I125" s="25" t="s">
        <v>268</v>
      </c>
      <c r="J125" s="22"/>
      <c r="K125" s="25"/>
      <c r="L125" s="25"/>
      <c r="M125" s="22"/>
    </row>
    <row r="126" spans="1:13" s="20" customFormat="1" ht="12.75">
      <c r="A126" s="14">
        <v>1119</v>
      </c>
      <c r="B126" s="21">
        <v>44966</v>
      </c>
      <c r="C126" s="15">
        <f t="shared" si="5"/>
        <v>44966</v>
      </c>
      <c r="D126" s="16"/>
      <c r="E126" s="73"/>
      <c r="F126" s="92">
        <v>3.75</v>
      </c>
      <c r="G126" s="92"/>
      <c r="H126" s="26">
        <f t="shared" si="4"/>
        <v>-16345357.190000005</v>
      </c>
      <c r="I126" s="25" t="s">
        <v>268</v>
      </c>
      <c r="J126" s="22"/>
      <c r="K126" s="25"/>
      <c r="L126" s="25"/>
      <c r="M126" s="22"/>
    </row>
    <row r="127" spans="1:13" s="20" customFormat="1" ht="12.75">
      <c r="A127" s="14">
        <v>1120</v>
      </c>
      <c r="B127" s="21">
        <v>44967</v>
      </c>
      <c r="C127" s="15">
        <f t="shared" si="5"/>
        <v>44967</v>
      </c>
      <c r="D127" s="16"/>
      <c r="E127" s="73"/>
      <c r="F127" s="92"/>
      <c r="G127" s="92">
        <v>8700000</v>
      </c>
      <c r="H127" s="26">
        <f t="shared" si="4"/>
        <v>-7645357.1900000051</v>
      </c>
      <c r="I127" s="25" t="s">
        <v>300</v>
      </c>
      <c r="J127" s="22"/>
      <c r="K127" s="25"/>
      <c r="L127" s="25"/>
      <c r="M127" s="22"/>
    </row>
    <row r="128" spans="1:13" s="20" customFormat="1" ht="12.75">
      <c r="A128" s="14">
        <v>1121</v>
      </c>
      <c r="B128" s="21">
        <v>44967</v>
      </c>
      <c r="C128" s="15">
        <f t="shared" si="5"/>
        <v>44967</v>
      </c>
      <c r="D128" s="16"/>
      <c r="E128" s="73"/>
      <c r="F128" s="92">
        <v>50</v>
      </c>
      <c r="G128" s="92"/>
      <c r="H128" s="26">
        <f t="shared" si="4"/>
        <v>-7645407.1900000051</v>
      </c>
      <c r="I128" s="25" t="s">
        <v>268</v>
      </c>
      <c r="J128" s="22"/>
      <c r="K128" s="25"/>
      <c r="L128" s="25"/>
      <c r="M128" s="22"/>
    </row>
    <row r="129" spans="1:13" s="20" customFormat="1" ht="12.75">
      <c r="A129" s="14">
        <v>1122</v>
      </c>
      <c r="B129" s="21">
        <v>44970</v>
      </c>
      <c r="C129" s="15">
        <f t="shared" si="5"/>
        <v>44970</v>
      </c>
      <c r="D129" s="16"/>
      <c r="E129" s="73"/>
      <c r="F129" s="92">
        <v>938716.4</v>
      </c>
      <c r="G129" s="92"/>
      <c r="H129" s="26">
        <f t="shared" si="4"/>
        <v>-8584123.5900000054</v>
      </c>
      <c r="I129" s="25" t="s">
        <v>272</v>
      </c>
      <c r="J129" s="22"/>
      <c r="K129" s="25"/>
      <c r="L129" s="25"/>
      <c r="M129" s="22"/>
    </row>
    <row r="130" spans="1:13" s="20" customFormat="1" ht="12.75">
      <c r="A130" s="14">
        <v>1123</v>
      </c>
      <c r="B130" s="21">
        <v>44970</v>
      </c>
      <c r="C130" s="15">
        <f t="shared" si="5"/>
        <v>44970</v>
      </c>
      <c r="D130" s="16"/>
      <c r="E130" s="73"/>
      <c r="F130" s="92">
        <v>100</v>
      </c>
      <c r="G130" s="92"/>
      <c r="H130" s="26">
        <f t="shared" si="4"/>
        <v>-8584223.5900000054</v>
      </c>
      <c r="I130" s="25" t="s">
        <v>268</v>
      </c>
      <c r="J130" s="22"/>
      <c r="K130" s="25"/>
      <c r="L130" s="25"/>
      <c r="M130" s="22"/>
    </row>
    <row r="131" spans="1:13" s="20" customFormat="1" ht="12.75">
      <c r="A131" s="14">
        <v>1124</v>
      </c>
      <c r="B131" s="21">
        <v>44973</v>
      </c>
      <c r="C131" s="15">
        <f t="shared" si="5"/>
        <v>44973</v>
      </c>
      <c r="D131" s="16"/>
      <c r="E131" s="73"/>
      <c r="F131" s="92">
        <v>100000</v>
      </c>
      <c r="G131" s="92"/>
      <c r="H131" s="26">
        <f t="shared" si="4"/>
        <v>-8684223.5900000054</v>
      </c>
      <c r="I131" s="25" t="s">
        <v>291</v>
      </c>
      <c r="J131" s="22"/>
      <c r="K131" s="25"/>
      <c r="L131" s="25"/>
      <c r="M131" s="22"/>
    </row>
    <row r="132" spans="1:13" s="20" customFormat="1" ht="12.75">
      <c r="A132" s="14">
        <v>1125</v>
      </c>
      <c r="B132" s="21">
        <v>44973</v>
      </c>
      <c r="C132" s="15">
        <f t="shared" si="5"/>
        <v>44973</v>
      </c>
      <c r="D132" s="16"/>
      <c r="E132" s="73"/>
      <c r="F132" s="92">
        <v>73407</v>
      </c>
      <c r="G132" s="92"/>
      <c r="H132" s="26">
        <f t="shared" si="4"/>
        <v>-8757630.5900000054</v>
      </c>
      <c r="I132" s="25" t="s">
        <v>278</v>
      </c>
      <c r="J132" s="22"/>
      <c r="K132" s="25"/>
      <c r="L132" s="25"/>
      <c r="M132" s="22"/>
    </row>
    <row r="133" spans="1:13" s="20" customFormat="1" ht="12.75">
      <c r="A133" s="14">
        <v>1126</v>
      </c>
      <c r="B133" s="21">
        <v>44973</v>
      </c>
      <c r="C133" s="15">
        <f t="shared" si="5"/>
        <v>44973</v>
      </c>
      <c r="D133" s="16"/>
      <c r="E133" s="73"/>
      <c r="F133" s="92">
        <v>50</v>
      </c>
      <c r="G133" s="92"/>
      <c r="H133" s="26">
        <f t="shared" si="4"/>
        <v>-8757680.5900000054</v>
      </c>
      <c r="I133" s="25" t="s">
        <v>268</v>
      </c>
      <c r="J133" s="22"/>
      <c r="K133" s="25"/>
      <c r="L133" s="25"/>
      <c r="M133" s="22"/>
    </row>
    <row r="134" spans="1:13" s="20" customFormat="1" ht="12.75">
      <c r="A134" s="14">
        <v>1127</v>
      </c>
      <c r="B134" s="21">
        <v>44973</v>
      </c>
      <c r="C134" s="15">
        <f t="shared" si="5"/>
        <v>44973</v>
      </c>
      <c r="D134" s="16"/>
      <c r="E134" s="73"/>
      <c r="F134" s="92">
        <v>3.75</v>
      </c>
      <c r="G134" s="92"/>
      <c r="H134" s="26">
        <f t="shared" ref="H134:H197" si="6">IFERROR(H133-F134+G134,"")</f>
        <v>-8757684.3400000054</v>
      </c>
      <c r="I134" s="25" t="s">
        <v>268</v>
      </c>
      <c r="J134" s="22"/>
      <c r="K134" s="25"/>
      <c r="L134" s="25"/>
      <c r="M134" s="22"/>
    </row>
    <row r="135" spans="1:13" s="20" customFormat="1" ht="12.75">
      <c r="A135" s="14">
        <v>1128</v>
      </c>
      <c r="B135" s="21">
        <v>44973</v>
      </c>
      <c r="C135" s="15">
        <f t="shared" si="5"/>
        <v>44973</v>
      </c>
      <c r="D135" s="16"/>
      <c r="E135" s="73"/>
      <c r="F135" s="92">
        <v>384000</v>
      </c>
      <c r="G135" s="92"/>
      <c r="H135" s="26">
        <f t="shared" si="6"/>
        <v>-9141684.3400000054</v>
      </c>
      <c r="I135" s="25" t="s">
        <v>281</v>
      </c>
      <c r="J135" s="22"/>
      <c r="K135" s="25"/>
      <c r="L135" s="25"/>
      <c r="M135" s="22"/>
    </row>
    <row r="136" spans="1:13" s="20" customFormat="1" ht="12.75">
      <c r="A136" s="14">
        <v>1129</v>
      </c>
      <c r="B136" s="21">
        <v>44973</v>
      </c>
      <c r="C136" s="15">
        <f t="shared" si="5"/>
        <v>44973</v>
      </c>
      <c r="D136" s="16"/>
      <c r="E136" s="73"/>
      <c r="F136" s="92">
        <v>50</v>
      </c>
      <c r="G136" s="92"/>
      <c r="H136" s="26">
        <f t="shared" si="6"/>
        <v>-9141734.3400000054</v>
      </c>
      <c r="I136" s="25" t="s">
        <v>268</v>
      </c>
      <c r="J136" s="22"/>
      <c r="K136" s="25"/>
      <c r="L136" s="25"/>
      <c r="M136" s="22"/>
    </row>
    <row r="137" spans="1:13" s="20" customFormat="1" ht="12.75">
      <c r="A137" s="14">
        <v>1130</v>
      </c>
      <c r="B137" s="21">
        <v>44973</v>
      </c>
      <c r="C137" s="15">
        <f t="shared" si="5"/>
        <v>44973</v>
      </c>
      <c r="D137" s="16"/>
      <c r="E137" s="73"/>
      <c r="F137" s="92">
        <v>3.75</v>
      </c>
      <c r="G137" s="92"/>
      <c r="H137" s="26">
        <f t="shared" si="6"/>
        <v>-9141738.0900000054</v>
      </c>
      <c r="I137" s="25" t="s">
        <v>268</v>
      </c>
      <c r="J137" s="22"/>
      <c r="K137" s="25"/>
      <c r="L137" s="25"/>
      <c r="M137" s="22"/>
    </row>
    <row r="138" spans="1:13" s="20" customFormat="1" ht="12.75">
      <c r="A138" s="14">
        <v>1131</v>
      </c>
      <c r="B138" s="21">
        <v>44973</v>
      </c>
      <c r="C138" s="15">
        <f t="shared" si="5"/>
        <v>44973</v>
      </c>
      <c r="D138" s="16"/>
      <c r="E138" s="73"/>
      <c r="F138" s="92">
        <v>26100</v>
      </c>
      <c r="G138" s="92"/>
      <c r="H138" s="26">
        <f t="shared" si="6"/>
        <v>-9167838.0900000054</v>
      </c>
      <c r="I138" s="25" t="s">
        <v>284</v>
      </c>
      <c r="J138" s="22"/>
      <c r="K138" s="25"/>
      <c r="L138" s="25"/>
      <c r="M138" s="22"/>
    </row>
    <row r="139" spans="1:13" s="20" customFormat="1" ht="12.75">
      <c r="A139" s="14">
        <v>1132</v>
      </c>
      <c r="B139" s="21">
        <v>44973</v>
      </c>
      <c r="C139" s="15">
        <f t="shared" si="5"/>
        <v>44973</v>
      </c>
      <c r="D139" s="16"/>
      <c r="E139" s="73"/>
      <c r="F139" s="92">
        <v>25</v>
      </c>
      <c r="G139" s="92"/>
      <c r="H139" s="26">
        <f t="shared" si="6"/>
        <v>-9167863.0900000054</v>
      </c>
      <c r="I139" s="25" t="s">
        <v>268</v>
      </c>
      <c r="J139" s="22"/>
      <c r="K139" s="25"/>
      <c r="L139" s="25"/>
      <c r="M139" s="22"/>
    </row>
    <row r="140" spans="1:13" s="20" customFormat="1" ht="12.75">
      <c r="A140" s="14">
        <v>1133</v>
      </c>
      <c r="B140" s="21">
        <v>44973</v>
      </c>
      <c r="C140" s="15">
        <f t="shared" si="5"/>
        <v>44973</v>
      </c>
      <c r="D140" s="16"/>
      <c r="E140" s="73"/>
      <c r="F140" s="92">
        <v>1.87</v>
      </c>
      <c r="G140" s="92"/>
      <c r="H140" s="26">
        <f t="shared" si="6"/>
        <v>-9167864.9600000046</v>
      </c>
      <c r="I140" s="25" t="s">
        <v>268</v>
      </c>
      <c r="J140" s="22"/>
      <c r="K140" s="25"/>
      <c r="L140" s="25"/>
      <c r="M140" s="22"/>
    </row>
    <row r="141" spans="1:13" s="20" customFormat="1" ht="12.75">
      <c r="A141" s="14">
        <v>1134</v>
      </c>
      <c r="B141" s="21">
        <v>44973</v>
      </c>
      <c r="C141" s="15">
        <f t="shared" si="5"/>
        <v>44973</v>
      </c>
      <c r="D141" s="16"/>
      <c r="E141" s="73"/>
      <c r="F141" s="92">
        <v>23000</v>
      </c>
      <c r="G141" s="92"/>
      <c r="H141" s="26">
        <f t="shared" si="6"/>
        <v>-9190864.9600000046</v>
      </c>
      <c r="I141" s="25" t="s">
        <v>281</v>
      </c>
      <c r="J141" s="22"/>
      <c r="K141" s="25"/>
      <c r="L141" s="25"/>
      <c r="M141" s="22"/>
    </row>
    <row r="142" spans="1:13" s="20" customFormat="1" ht="12.75">
      <c r="A142" s="14">
        <v>1135</v>
      </c>
      <c r="B142" s="21">
        <v>44974</v>
      </c>
      <c r="C142" s="15">
        <f t="shared" si="5"/>
        <v>44974</v>
      </c>
      <c r="D142" s="16"/>
      <c r="E142" s="73"/>
      <c r="F142" s="92">
        <v>78000</v>
      </c>
      <c r="G142" s="92"/>
      <c r="H142" s="26">
        <f t="shared" si="6"/>
        <v>-9268864.9600000046</v>
      </c>
      <c r="I142" s="25" t="s">
        <v>281</v>
      </c>
      <c r="J142" s="22"/>
      <c r="K142" s="25"/>
      <c r="L142" s="25"/>
      <c r="M142" s="22"/>
    </row>
    <row r="143" spans="1:13" s="20" customFormat="1" ht="12.75">
      <c r="A143" s="14">
        <v>1136</v>
      </c>
      <c r="B143" s="21">
        <v>44974</v>
      </c>
      <c r="C143" s="15">
        <f t="shared" si="5"/>
        <v>44974</v>
      </c>
      <c r="D143" s="16"/>
      <c r="E143" s="73"/>
      <c r="F143" s="92">
        <v>10000</v>
      </c>
      <c r="G143" s="92"/>
      <c r="H143" s="26">
        <f t="shared" si="6"/>
        <v>-9278864.9600000046</v>
      </c>
      <c r="I143" s="25" t="s">
        <v>292</v>
      </c>
      <c r="J143" s="22"/>
      <c r="K143" s="25"/>
      <c r="L143" s="25"/>
      <c r="M143" s="22"/>
    </row>
    <row r="144" spans="1:13" s="20" customFormat="1" ht="12.75">
      <c r="A144" s="14">
        <v>1137</v>
      </c>
      <c r="B144" s="21">
        <v>44977</v>
      </c>
      <c r="C144" s="15">
        <f t="shared" si="5"/>
        <v>44977</v>
      </c>
      <c r="D144" s="16"/>
      <c r="E144" s="73"/>
      <c r="F144" s="92">
        <v>58205.35</v>
      </c>
      <c r="G144" s="92"/>
      <c r="H144" s="26">
        <f t="shared" si="6"/>
        <v>-9337070.3100000042</v>
      </c>
      <c r="I144" s="25" t="s">
        <v>271</v>
      </c>
      <c r="J144" s="22"/>
      <c r="K144" s="25"/>
      <c r="L144" s="25"/>
      <c r="M144" s="22"/>
    </row>
    <row r="145" spans="1:13" s="20" customFormat="1" ht="12.75">
      <c r="A145" s="14">
        <v>1138</v>
      </c>
      <c r="B145" s="21">
        <v>44977</v>
      </c>
      <c r="C145" s="15">
        <f t="shared" si="5"/>
        <v>44977</v>
      </c>
      <c r="D145" s="16"/>
      <c r="E145" s="73"/>
      <c r="F145" s="92">
        <v>14976.32</v>
      </c>
      <c r="G145" s="92"/>
      <c r="H145" s="26">
        <f t="shared" si="6"/>
        <v>-9352046.6300000045</v>
      </c>
      <c r="I145" s="25" t="s">
        <v>272</v>
      </c>
      <c r="J145" s="22"/>
      <c r="K145" s="25"/>
      <c r="L145" s="25"/>
      <c r="M145" s="22"/>
    </row>
    <row r="146" spans="1:13" s="20" customFormat="1" ht="12.75">
      <c r="A146" s="14">
        <v>1139</v>
      </c>
      <c r="B146" s="21">
        <v>44977</v>
      </c>
      <c r="C146" s="15">
        <f t="shared" si="5"/>
        <v>44977</v>
      </c>
      <c r="D146" s="16"/>
      <c r="E146" s="73"/>
      <c r="F146" s="92">
        <v>100</v>
      </c>
      <c r="G146" s="92"/>
      <c r="H146" s="26">
        <f t="shared" si="6"/>
        <v>-9352146.6300000045</v>
      </c>
      <c r="I146" s="25" t="s">
        <v>268</v>
      </c>
      <c r="J146" s="22"/>
      <c r="K146" s="25"/>
      <c r="L146" s="25"/>
      <c r="M146" s="22"/>
    </row>
    <row r="147" spans="1:13" s="20" customFormat="1" ht="12.75">
      <c r="A147" s="14">
        <v>1140</v>
      </c>
      <c r="B147" s="21">
        <v>44977</v>
      </c>
      <c r="C147" s="15">
        <f t="shared" si="5"/>
        <v>44977</v>
      </c>
      <c r="D147" s="16"/>
      <c r="E147" s="73"/>
      <c r="F147" s="92">
        <v>6000</v>
      </c>
      <c r="G147" s="92"/>
      <c r="H147" s="26">
        <f t="shared" si="6"/>
        <v>-9358146.6300000045</v>
      </c>
      <c r="I147" s="25" t="s">
        <v>283</v>
      </c>
      <c r="J147" s="22"/>
      <c r="K147" s="25"/>
      <c r="L147" s="25"/>
      <c r="M147" s="22"/>
    </row>
    <row r="148" spans="1:13" s="20" customFormat="1" ht="12.75">
      <c r="A148" s="14">
        <v>1141</v>
      </c>
      <c r="B148" s="21">
        <v>44977</v>
      </c>
      <c r="C148" s="15">
        <f t="shared" si="5"/>
        <v>44977</v>
      </c>
      <c r="D148" s="16"/>
      <c r="E148" s="73"/>
      <c r="F148" s="92">
        <v>100</v>
      </c>
      <c r="G148" s="92"/>
      <c r="H148" s="26">
        <f t="shared" si="6"/>
        <v>-9358246.6300000045</v>
      </c>
      <c r="I148" s="25" t="s">
        <v>268</v>
      </c>
      <c r="J148" s="22"/>
      <c r="K148" s="25"/>
      <c r="L148" s="25"/>
      <c r="M148" s="22"/>
    </row>
    <row r="149" spans="1:13" s="20" customFormat="1" ht="12.75">
      <c r="A149" s="14">
        <v>1142</v>
      </c>
      <c r="B149" s="21">
        <v>44978</v>
      </c>
      <c r="C149" s="15">
        <f t="shared" si="5"/>
        <v>44978</v>
      </c>
      <c r="D149" s="16"/>
      <c r="E149" s="73"/>
      <c r="F149" s="92">
        <v>49500</v>
      </c>
      <c r="G149" s="92"/>
      <c r="H149" s="26">
        <f t="shared" si="6"/>
        <v>-9407746.6300000045</v>
      </c>
      <c r="I149" s="25" t="s">
        <v>281</v>
      </c>
      <c r="J149" s="22"/>
      <c r="K149" s="25"/>
      <c r="L149" s="25"/>
      <c r="M149" s="22"/>
    </row>
    <row r="150" spans="1:13" s="20" customFormat="1" ht="12.75">
      <c r="A150" s="14">
        <v>1143</v>
      </c>
      <c r="B150" s="21">
        <v>44984</v>
      </c>
      <c r="C150" s="15">
        <f t="shared" si="5"/>
        <v>44984</v>
      </c>
      <c r="D150" s="16"/>
      <c r="E150" s="73"/>
      <c r="F150" s="92">
        <v>106330.8</v>
      </c>
      <c r="G150" s="92"/>
      <c r="H150" s="26">
        <f t="shared" si="6"/>
        <v>-9514077.4300000053</v>
      </c>
      <c r="I150" s="25" t="s">
        <v>271</v>
      </c>
      <c r="J150" s="22"/>
      <c r="K150" s="25"/>
      <c r="L150" s="25"/>
      <c r="M150" s="22"/>
    </row>
    <row r="151" spans="1:13" s="20" customFormat="1" ht="12.75">
      <c r="A151" s="14">
        <v>1144</v>
      </c>
      <c r="B151" s="21">
        <v>44985</v>
      </c>
      <c r="C151" s="15">
        <f t="shared" si="5"/>
        <v>44985</v>
      </c>
      <c r="D151" s="16"/>
      <c r="E151" s="73"/>
      <c r="F151" s="92">
        <v>6245486.6500000004</v>
      </c>
      <c r="G151" s="92"/>
      <c r="H151" s="26">
        <f t="shared" si="6"/>
        <v>-15759564.080000006</v>
      </c>
      <c r="I151" s="25" t="s">
        <v>271</v>
      </c>
      <c r="J151" s="22"/>
      <c r="K151" s="25"/>
      <c r="L151" s="25"/>
      <c r="M151" s="22"/>
    </row>
    <row r="152" spans="1:13" s="20" customFormat="1" ht="12.75">
      <c r="A152" s="14">
        <v>1145</v>
      </c>
      <c r="B152" s="21">
        <v>44985</v>
      </c>
      <c r="C152" s="15">
        <f t="shared" si="5"/>
        <v>44985</v>
      </c>
      <c r="D152" s="16"/>
      <c r="E152" s="73"/>
      <c r="F152" s="92">
        <v>403.13</v>
      </c>
      <c r="G152" s="92"/>
      <c r="H152" s="26">
        <f t="shared" si="6"/>
        <v>-15759967.210000006</v>
      </c>
      <c r="I152" s="25" t="s">
        <v>268</v>
      </c>
      <c r="J152" s="22"/>
      <c r="K152" s="25"/>
      <c r="L152" s="25"/>
      <c r="M152" s="22"/>
    </row>
    <row r="153" spans="1:13" s="20" customFormat="1" ht="12.75">
      <c r="A153" s="14">
        <v>1146</v>
      </c>
      <c r="B153" s="21">
        <v>44985</v>
      </c>
      <c r="C153" s="15">
        <f t="shared" si="5"/>
        <v>44985</v>
      </c>
      <c r="D153" s="16"/>
      <c r="E153" s="73"/>
      <c r="F153" s="92">
        <v>59819.67</v>
      </c>
      <c r="G153" s="92"/>
      <c r="H153" s="26">
        <f t="shared" si="6"/>
        <v>-15819786.880000006</v>
      </c>
      <c r="I153" s="25" t="s">
        <v>271</v>
      </c>
      <c r="J153" s="22"/>
      <c r="K153" s="25"/>
      <c r="L153" s="25"/>
      <c r="M153" s="22"/>
    </row>
    <row r="154" spans="1:13" s="20" customFormat="1" ht="12.75">
      <c r="A154" s="14">
        <v>1147</v>
      </c>
      <c r="B154" s="21">
        <v>44985</v>
      </c>
      <c r="C154" s="15">
        <f t="shared" si="5"/>
        <v>44985</v>
      </c>
      <c r="D154" s="16"/>
      <c r="E154" s="73"/>
      <c r="F154" s="92">
        <v>152000</v>
      </c>
      <c r="G154" s="92"/>
      <c r="H154" s="26">
        <f t="shared" si="6"/>
        <v>-15971786.880000006</v>
      </c>
      <c r="I154" s="25" t="s">
        <v>290</v>
      </c>
      <c r="J154" s="22"/>
      <c r="K154" s="25"/>
      <c r="L154" s="25"/>
      <c r="M154" s="22"/>
    </row>
    <row r="155" spans="1:13" s="20" customFormat="1" ht="12.75">
      <c r="A155" s="14">
        <v>1148</v>
      </c>
      <c r="B155" s="21">
        <v>44985</v>
      </c>
      <c r="C155" s="15">
        <f t="shared" si="5"/>
        <v>44985</v>
      </c>
      <c r="D155" s="16"/>
      <c r="E155" s="73"/>
      <c r="F155" s="92">
        <v>50</v>
      </c>
      <c r="G155" s="92"/>
      <c r="H155" s="26">
        <f t="shared" si="6"/>
        <v>-15971836.880000006</v>
      </c>
      <c r="I155" s="25" t="s">
        <v>268</v>
      </c>
      <c r="J155" s="22"/>
      <c r="K155" s="25"/>
      <c r="L155" s="25"/>
      <c r="M155" s="22"/>
    </row>
    <row r="156" spans="1:13" s="20" customFormat="1" ht="12.75">
      <c r="A156" s="14">
        <v>1149</v>
      </c>
      <c r="B156" s="21">
        <v>44985</v>
      </c>
      <c r="C156" s="15">
        <f t="shared" si="5"/>
        <v>44985</v>
      </c>
      <c r="D156" s="16"/>
      <c r="E156" s="73"/>
      <c r="F156" s="92">
        <v>3.75</v>
      </c>
      <c r="G156" s="92"/>
      <c r="H156" s="26">
        <f t="shared" si="6"/>
        <v>-15971840.630000006</v>
      </c>
      <c r="I156" s="25" t="s">
        <v>268</v>
      </c>
      <c r="J156" s="22"/>
      <c r="K156" s="25"/>
      <c r="L156" s="25"/>
      <c r="M156" s="22"/>
    </row>
    <row r="157" spans="1:13" s="20" customFormat="1" ht="12.75">
      <c r="A157" s="14">
        <v>1150</v>
      </c>
      <c r="B157" s="21">
        <v>44985</v>
      </c>
      <c r="C157" s="15">
        <f t="shared" si="5"/>
        <v>44985</v>
      </c>
      <c r="D157" s="16"/>
      <c r="E157" s="73"/>
      <c r="F157" s="92">
        <v>60000</v>
      </c>
      <c r="G157" s="92"/>
      <c r="H157" s="26">
        <f t="shared" si="6"/>
        <v>-16031840.630000006</v>
      </c>
      <c r="I157" s="25" t="s">
        <v>271</v>
      </c>
      <c r="J157" s="22"/>
      <c r="K157" s="25"/>
      <c r="L157" s="25"/>
      <c r="M157" s="22"/>
    </row>
    <row r="158" spans="1:13" s="20" customFormat="1" ht="12.75">
      <c r="A158" s="14">
        <v>1151</v>
      </c>
      <c r="B158" s="21">
        <v>44985</v>
      </c>
      <c r="C158" s="15">
        <f t="shared" si="5"/>
        <v>44985</v>
      </c>
      <c r="D158" s="16"/>
      <c r="E158" s="73"/>
      <c r="F158" s="92">
        <v>50</v>
      </c>
      <c r="G158" s="92"/>
      <c r="H158" s="26">
        <f t="shared" si="6"/>
        <v>-16031890.630000006</v>
      </c>
      <c r="I158" s="25" t="s">
        <v>268</v>
      </c>
      <c r="J158" s="22"/>
      <c r="K158" s="25"/>
      <c r="L158" s="25"/>
      <c r="M158" s="22"/>
    </row>
    <row r="159" spans="1:13" s="20" customFormat="1" ht="12.75">
      <c r="A159" s="14">
        <v>1152</v>
      </c>
      <c r="B159" s="21">
        <v>44985</v>
      </c>
      <c r="C159" s="15">
        <f t="shared" si="5"/>
        <v>44985</v>
      </c>
      <c r="D159" s="16"/>
      <c r="E159" s="73"/>
      <c r="F159" s="92">
        <v>3.75</v>
      </c>
      <c r="G159" s="92"/>
      <c r="H159" s="26">
        <f t="shared" si="6"/>
        <v>-16031894.380000006</v>
      </c>
      <c r="I159" s="25" t="s">
        <v>268</v>
      </c>
      <c r="J159" s="22"/>
      <c r="K159" s="25"/>
      <c r="L159" s="25"/>
      <c r="M159" s="22"/>
    </row>
    <row r="160" spans="1:13" s="20" customFormat="1" ht="12.75">
      <c r="A160" s="14">
        <v>1153</v>
      </c>
      <c r="B160" s="21">
        <v>44985</v>
      </c>
      <c r="C160" s="15">
        <f t="shared" si="5"/>
        <v>44985</v>
      </c>
      <c r="D160" s="16"/>
      <c r="E160" s="73"/>
      <c r="F160" s="92">
        <v>30000</v>
      </c>
      <c r="G160" s="92"/>
      <c r="H160" s="26">
        <f t="shared" si="6"/>
        <v>-16061894.380000006</v>
      </c>
      <c r="I160" s="25" t="s">
        <v>271</v>
      </c>
      <c r="J160" s="22"/>
      <c r="K160" s="25"/>
      <c r="L160" s="25"/>
      <c r="M160" s="22"/>
    </row>
    <row r="161" spans="1:13" s="20" customFormat="1" ht="12.75">
      <c r="A161" s="14">
        <v>1154</v>
      </c>
      <c r="B161" s="21">
        <v>44985</v>
      </c>
      <c r="C161" s="15">
        <f t="shared" si="5"/>
        <v>44985</v>
      </c>
      <c r="D161" s="16"/>
      <c r="E161" s="73"/>
      <c r="F161" s="92">
        <v>25</v>
      </c>
      <c r="G161" s="92"/>
      <c r="H161" s="26">
        <f t="shared" si="6"/>
        <v>-16061919.380000006</v>
      </c>
      <c r="I161" s="25" t="s">
        <v>268</v>
      </c>
      <c r="J161" s="22"/>
      <c r="K161" s="25"/>
      <c r="L161" s="25"/>
      <c r="M161" s="22"/>
    </row>
    <row r="162" spans="1:13" s="20" customFormat="1" ht="12.75">
      <c r="A162" s="14">
        <v>1155</v>
      </c>
      <c r="B162" s="21">
        <v>44985</v>
      </c>
      <c r="C162" s="15">
        <f t="shared" si="5"/>
        <v>44985</v>
      </c>
      <c r="D162" s="16"/>
      <c r="E162" s="73"/>
      <c r="F162" s="92">
        <v>1.87</v>
      </c>
      <c r="G162" s="92"/>
      <c r="H162" s="26">
        <f t="shared" si="6"/>
        <v>-16061921.250000006</v>
      </c>
      <c r="I162" s="25" t="s">
        <v>268</v>
      </c>
      <c r="J162" s="22"/>
      <c r="K162" s="25"/>
      <c r="L162" s="25"/>
      <c r="M162" s="22"/>
    </row>
    <row r="163" spans="1:13" s="20" customFormat="1" ht="12.75">
      <c r="A163" s="14">
        <v>1156</v>
      </c>
      <c r="B163" s="21">
        <v>44985</v>
      </c>
      <c r="C163" s="15">
        <f t="shared" si="5"/>
        <v>44985</v>
      </c>
      <c r="D163" s="16"/>
      <c r="E163" s="73"/>
      <c r="F163" s="92">
        <v>9649.0499999999993</v>
      </c>
      <c r="G163" s="92"/>
      <c r="H163" s="26">
        <f t="shared" si="6"/>
        <v>-16071570.300000006</v>
      </c>
      <c r="I163" s="25" t="s">
        <v>264</v>
      </c>
      <c r="J163" s="22"/>
      <c r="K163" s="25"/>
      <c r="L163" s="25"/>
      <c r="M163" s="22"/>
    </row>
    <row r="164" spans="1:13" s="20" customFormat="1" ht="12.75">
      <c r="A164" s="14">
        <v>1157</v>
      </c>
      <c r="B164" s="21">
        <v>44985</v>
      </c>
      <c r="C164" s="15">
        <f t="shared" si="5"/>
        <v>44985</v>
      </c>
      <c r="D164" s="16"/>
      <c r="E164" s="73"/>
      <c r="F164" s="92">
        <v>723.68</v>
      </c>
      <c r="G164" s="92"/>
      <c r="H164" s="26">
        <f t="shared" si="6"/>
        <v>-16072293.980000006</v>
      </c>
      <c r="I164" s="25" t="s">
        <v>264</v>
      </c>
      <c r="J164" s="22"/>
      <c r="K164" s="25"/>
      <c r="L164" s="25"/>
      <c r="M164" s="22"/>
    </row>
    <row r="165" spans="1:13" s="20" customFormat="1" ht="12.75">
      <c r="A165" s="14">
        <v>1158</v>
      </c>
      <c r="B165" s="21">
        <v>44985</v>
      </c>
      <c r="C165" s="15">
        <f t="shared" si="5"/>
        <v>44985</v>
      </c>
      <c r="D165" s="16"/>
      <c r="E165" s="73"/>
      <c r="F165" s="92">
        <v>396</v>
      </c>
      <c r="G165" s="92"/>
      <c r="H165" s="26">
        <f t="shared" si="6"/>
        <v>-16072689.980000006</v>
      </c>
      <c r="I165" s="25" t="s">
        <v>268</v>
      </c>
      <c r="J165" s="22"/>
      <c r="K165" s="25"/>
      <c r="L165" s="25"/>
      <c r="M165" s="22"/>
    </row>
    <row r="166" spans="1:13" s="20" customFormat="1" ht="12.75">
      <c r="A166" s="14">
        <v>1159</v>
      </c>
      <c r="B166" s="21">
        <v>44985</v>
      </c>
      <c r="C166" s="15">
        <f t="shared" si="5"/>
        <v>44985</v>
      </c>
      <c r="D166" s="16"/>
      <c r="E166" s="73"/>
      <c r="F166" s="92">
        <v>29.7</v>
      </c>
      <c r="G166" s="92"/>
      <c r="H166" s="26">
        <f t="shared" si="6"/>
        <v>-16072719.680000005</v>
      </c>
      <c r="I166" s="25" t="s">
        <v>268</v>
      </c>
      <c r="J166" s="22"/>
      <c r="K166" s="25"/>
      <c r="L166" s="25"/>
      <c r="M166" s="22"/>
    </row>
    <row r="167" spans="1:13" s="20" customFormat="1" ht="12.75">
      <c r="A167" s="14">
        <v>1160</v>
      </c>
      <c r="B167" s="21">
        <v>44986</v>
      </c>
      <c r="C167" s="15">
        <f t="shared" si="5"/>
        <v>44986</v>
      </c>
      <c r="D167" s="16"/>
      <c r="E167" s="73"/>
      <c r="F167" s="92">
        <v>540</v>
      </c>
      <c r="G167" s="92"/>
      <c r="H167" s="26">
        <f t="shared" si="6"/>
        <v>-16073259.680000005</v>
      </c>
      <c r="I167" s="25" t="s">
        <v>268</v>
      </c>
      <c r="J167" s="22"/>
      <c r="K167" s="25"/>
      <c r="L167" s="25"/>
      <c r="M167" s="22"/>
    </row>
    <row r="168" spans="1:13" s="20" customFormat="1" ht="12.75">
      <c r="A168" s="14">
        <v>1161</v>
      </c>
      <c r="B168" s="21">
        <v>44986</v>
      </c>
      <c r="C168" s="15">
        <f t="shared" si="5"/>
        <v>44986</v>
      </c>
      <c r="D168" s="16"/>
      <c r="E168" s="73"/>
      <c r="F168" s="92">
        <v>40.5</v>
      </c>
      <c r="G168" s="92"/>
      <c r="H168" s="26">
        <f t="shared" si="6"/>
        <v>-16073300.180000005</v>
      </c>
      <c r="I168" s="25" t="s">
        <v>268</v>
      </c>
      <c r="J168" s="22"/>
      <c r="K168" s="25"/>
      <c r="L168" s="25"/>
      <c r="M168" s="22"/>
    </row>
    <row r="169" spans="1:13" s="20" customFormat="1" ht="12.75">
      <c r="A169" s="14">
        <v>1162</v>
      </c>
      <c r="B169" s="21">
        <v>44995</v>
      </c>
      <c r="C169" s="15">
        <f t="shared" si="5"/>
        <v>44995</v>
      </c>
      <c r="D169" s="16"/>
      <c r="E169" s="73"/>
      <c r="F169" s="92">
        <v>788391.8</v>
      </c>
      <c r="G169" s="92"/>
      <c r="H169" s="26">
        <f t="shared" si="6"/>
        <v>-16861691.980000004</v>
      </c>
      <c r="I169" s="25" t="s">
        <v>272</v>
      </c>
      <c r="J169" s="22"/>
      <c r="K169" s="25"/>
      <c r="L169" s="25"/>
      <c r="M169" s="22"/>
    </row>
    <row r="170" spans="1:13" s="20" customFormat="1" ht="12.75">
      <c r="A170" s="14">
        <v>1163</v>
      </c>
      <c r="B170" s="21">
        <v>44995</v>
      </c>
      <c r="C170" s="15">
        <f t="shared" si="5"/>
        <v>44995</v>
      </c>
      <c r="D170" s="16"/>
      <c r="E170" s="73"/>
      <c r="F170" s="92">
        <v>100</v>
      </c>
      <c r="G170" s="92"/>
      <c r="H170" s="26">
        <f t="shared" si="6"/>
        <v>-16861791.980000004</v>
      </c>
      <c r="I170" s="25" t="s">
        <v>268</v>
      </c>
      <c r="J170" s="22"/>
      <c r="K170" s="25"/>
      <c r="L170" s="25"/>
      <c r="M170" s="22"/>
    </row>
    <row r="171" spans="1:13" s="20" customFormat="1" ht="12.75">
      <c r="A171" s="14">
        <v>1164</v>
      </c>
      <c r="B171" s="21">
        <v>44995</v>
      </c>
      <c r="C171" s="15">
        <f t="shared" si="5"/>
        <v>44995</v>
      </c>
      <c r="D171" s="16"/>
      <c r="E171" s="73"/>
      <c r="F171" s="92">
        <v>1347889.8</v>
      </c>
      <c r="G171" s="92"/>
      <c r="H171" s="26">
        <f t="shared" si="6"/>
        <v>-18209681.780000005</v>
      </c>
      <c r="I171" s="25" t="s">
        <v>293</v>
      </c>
      <c r="J171" s="22"/>
      <c r="K171" s="25"/>
      <c r="L171" s="25"/>
      <c r="M171" s="22"/>
    </row>
    <row r="172" spans="1:13" s="20" customFormat="1" ht="12.75">
      <c r="A172" s="14">
        <v>1165</v>
      </c>
      <c r="B172" s="21">
        <v>44995</v>
      </c>
      <c r="C172" s="15">
        <f t="shared" si="5"/>
        <v>44995</v>
      </c>
      <c r="D172" s="16"/>
      <c r="E172" s="73"/>
      <c r="F172" s="92">
        <v>53.75</v>
      </c>
      <c r="G172" s="92"/>
      <c r="H172" s="26">
        <f t="shared" si="6"/>
        <v>-18209735.530000005</v>
      </c>
      <c r="I172" s="25" t="s">
        <v>268</v>
      </c>
      <c r="J172" s="22"/>
      <c r="K172" s="25"/>
      <c r="L172" s="25"/>
      <c r="M172" s="22"/>
    </row>
    <row r="173" spans="1:13" s="20" customFormat="1" ht="12.75">
      <c r="A173" s="14">
        <v>1166</v>
      </c>
      <c r="B173" s="21">
        <v>44995</v>
      </c>
      <c r="C173" s="15">
        <f t="shared" si="5"/>
        <v>44995</v>
      </c>
      <c r="D173" s="16"/>
      <c r="E173" s="73"/>
      <c r="F173" s="92">
        <v>345</v>
      </c>
      <c r="G173" s="92"/>
      <c r="H173" s="26">
        <f t="shared" si="6"/>
        <v>-18210080.530000005</v>
      </c>
      <c r="I173" s="25" t="s">
        <v>268</v>
      </c>
      <c r="J173" s="22"/>
      <c r="K173" s="25"/>
      <c r="L173" s="25"/>
      <c r="M173" s="22"/>
    </row>
    <row r="174" spans="1:13" s="20" customFormat="1" ht="12.75">
      <c r="A174" s="14">
        <v>1167</v>
      </c>
      <c r="B174" s="21">
        <v>44995</v>
      </c>
      <c r="C174" s="15">
        <f t="shared" ref="C174:C237" si="7">B174</f>
        <v>44995</v>
      </c>
      <c r="D174" s="16"/>
      <c r="E174" s="73"/>
      <c r="F174" s="92">
        <v>25.88</v>
      </c>
      <c r="G174" s="92"/>
      <c r="H174" s="26">
        <f t="shared" si="6"/>
        <v>-18210106.410000004</v>
      </c>
      <c r="I174" s="25" t="s">
        <v>268</v>
      </c>
      <c r="J174" s="22"/>
      <c r="K174" s="25"/>
      <c r="L174" s="25"/>
      <c r="M174" s="22"/>
    </row>
    <row r="175" spans="1:13" s="20" customFormat="1" ht="12.75">
      <c r="A175" s="14">
        <v>1168</v>
      </c>
      <c r="B175" s="21">
        <v>44995</v>
      </c>
      <c r="C175" s="15">
        <f t="shared" si="7"/>
        <v>44995</v>
      </c>
      <c r="D175" s="16"/>
      <c r="E175" s="73"/>
      <c r="F175" s="92">
        <v>10939.39</v>
      </c>
      <c r="G175" s="92"/>
      <c r="H175" s="26">
        <f t="shared" si="6"/>
        <v>-18221045.800000004</v>
      </c>
      <c r="I175" s="25" t="s">
        <v>271</v>
      </c>
      <c r="J175" s="22"/>
      <c r="K175" s="25"/>
      <c r="L175" s="25"/>
      <c r="M175" s="22"/>
    </row>
    <row r="176" spans="1:13" s="20" customFormat="1" ht="12.75">
      <c r="A176" s="14">
        <v>1169</v>
      </c>
      <c r="B176" s="21">
        <v>44995</v>
      </c>
      <c r="C176" s="15">
        <f t="shared" si="7"/>
        <v>44995</v>
      </c>
      <c r="D176" s="16"/>
      <c r="E176" s="73"/>
      <c r="F176" s="92">
        <v>25</v>
      </c>
      <c r="G176" s="92"/>
      <c r="H176" s="26">
        <f t="shared" si="6"/>
        <v>-18221070.800000004</v>
      </c>
      <c r="I176" s="25" t="s">
        <v>268</v>
      </c>
      <c r="J176" s="22"/>
      <c r="K176" s="25"/>
      <c r="L176" s="25"/>
      <c r="M176" s="22"/>
    </row>
    <row r="177" spans="1:13" s="20" customFormat="1" ht="12.75">
      <c r="A177" s="14">
        <v>1170</v>
      </c>
      <c r="B177" s="21">
        <v>44995</v>
      </c>
      <c r="C177" s="15">
        <f t="shared" si="7"/>
        <v>44995</v>
      </c>
      <c r="D177" s="16"/>
      <c r="E177" s="73"/>
      <c r="F177" s="92">
        <v>1.87</v>
      </c>
      <c r="G177" s="92"/>
      <c r="H177" s="26">
        <f t="shared" si="6"/>
        <v>-18221072.670000006</v>
      </c>
      <c r="I177" s="25" t="s">
        <v>268</v>
      </c>
      <c r="J177" s="22"/>
      <c r="K177" s="25"/>
      <c r="L177" s="25"/>
      <c r="M177" s="22"/>
    </row>
    <row r="178" spans="1:13" s="20" customFormat="1" ht="12.75">
      <c r="A178" s="14">
        <v>1171</v>
      </c>
      <c r="B178" s="21">
        <v>44995</v>
      </c>
      <c r="C178" s="15">
        <f t="shared" si="7"/>
        <v>44995</v>
      </c>
      <c r="D178" s="16"/>
      <c r="E178" s="73"/>
      <c r="F178" s="92">
        <v>48379.199999999997</v>
      </c>
      <c r="G178" s="92"/>
      <c r="H178" s="26">
        <f t="shared" si="6"/>
        <v>-18269451.870000005</v>
      </c>
      <c r="I178" s="25" t="s">
        <v>271</v>
      </c>
      <c r="J178" s="22"/>
      <c r="K178" s="25"/>
      <c r="L178" s="25"/>
      <c r="M178" s="22"/>
    </row>
    <row r="179" spans="1:13" s="20" customFormat="1" ht="12.75">
      <c r="A179" s="14">
        <v>1172</v>
      </c>
      <c r="B179" s="21">
        <v>44995</v>
      </c>
      <c r="C179" s="15">
        <f t="shared" si="7"/>
        <v>44995</v>
      </c>
      <c r="D179" s="16"/>
      <c r="E179" s="73"/>
      <c r="F179" s="92">
        <v>25</v>
      </c>
      <c r="G179" s="92"/>
      <c r="H179" s="26">
        <f t="shared" si="6"/>
        <v>-18269476.870000005</v>
      </c>
      <c r="I179" s="25" t="s">
        <v>268</v>
      </c>
      <c r="J179" s="22"/>
      <c r="K179" s="25"/>
      <c r="L179" s="25"/>
      <c r="M179" s="22"/>
    </row>
    <row r="180" spans="1:13" s="20" customFormat="1" ht="12.75">
      <c r="A180" s="14">
        <v>1173</v>
      </c>
      <c r="B180" s="21">
        <v>44995</v>
      </c>
      <c r="C180" s="15">
        <f t="shared" si="7"/>
        <v>44995</v>
      </c>
      <c r="D180" s="16"/>
      <c r="E180" s="73"/>
      <c r="F180" s="92">
        <v>1.87</v>
      </c>
      <c r="G180" s="92"/>
      <c r="H180" s="26">
        <f t="shared" si="6"/>
        <v>-18269478.740000006</v>
      </c>
      <c r="I180" s="25" t="s">
        <v>268</v>
      </c>
      <c r="J180" s="22"/>
      <c r="K180" s="25"/>
      <c r="L180" s="25"/>
      <c r="M180" s="22"/>
    </row>
    <row r="181" spans="1:13" s="20" customFormat="1" ht="12.75">
      <c r="A181" s="14">
        <v>1174</v>
      </c>
      <c r="B181" s="21">
        <v>44995</v>
      </c>
      <c r="C181" s="15">
        <f t="shared" si="7"/>
        <v>44995</v>
      </c>
      <c r="D181" s="16"/>
      <c r="E181" s="73"/>
      <c r="F181" s="92">
        <v>5911.25</v>
      </c>
      <c r="G181" s="92"/>
      <c r="H181" s="26">
        <f t="shared" si="6"/>
        <v>-18275389.990000006</v>
      </c>
      <c r="I181" s="25" t="s">
        <v>286</v>
      </c>
      <c r="J181" s="22"/>
      <c r="K181" s="25"/>
      <c r="L181" s="25"/>
      <c r="M181" s="22"/>
    </row>
    <row r="182" spans="1:13" s="20" customFormat="1" ht="12.75">
      <c r="A182" s="14">
        <v>1175</v>
      </c>
      <c r="B182" s="21">
        <v>44995</v>
      </c>
      <c r="C182" s="15">
        <f t="shared" si="7"/>
        <v>44995</v>
      </c>
      <c r="D182" s="16"/>
      <c r="E182" s="73"/>
      <c r="F182" s="92">
        <v>100</v>
      </c>
      <c r="G182" s="92"/>
      <c r="H182" s="26">
        <f t="shared" si="6"/>
        <v>-18275489.990000006</v>
      </c>
      <c r="I182" s="25" t="s">
        <v>268</v>
      </c>
      <c r="J182" s="22"/>
      <c r="K182" s="25"/>
      <c r="L182" s="25"/>
      <c r="M182" s="22"/>
    </row>
    <row r="183" spans="1:13" s="20" customFormat="1" ht="12.75">
      <c r="A183" s="14">
        <v>1176</v>
      </c>
      <c r="B183" s="21">
        <v>44995</v>
      </c>
      <c r="C183" s="15">
        <f t="shared" si="7"/>
        <v>44995</v>
      </c>
      <c r="D183" s="16"/>
      <c r="E183" s="73"/>
      <c r="F183" s="92">
        <v>1070405.01</v>
      </c>
      <c r="G183" s="92"/>
      <c r="H183" s="26">
        <f t="shared" si="6"/>
        <v>-19345895.000000007</v>
      </c>
      <c r="I183" s="25" t="s">
        <v>282</v>
      </c>
      <c r="J183" s="22"/>
      <c r="K183" s="25"/>
      <c r="L183" s="25"/>
      <c r="M183" s="22"/>
    </row>
    <row r="184" spans="1:13" s="20" customFormat="1" ht="12.75">
      <c r="A184" s="14">
        <v>1177</v>
      </c>
      <c r="B184" s="21">
        <v>44995</v>
      </c>
      <c r="C184" s="15">
        <f t="shared" si="7"/>
        <v>44995</v>
      </c>
      <c r="D184" s="16"/>
      <c r="E184" s="73"/>
      <c r="F184" s="92">
        <v>50</v>
      </c>
      <c r="G184" s="92"/>
      <c r="H184" s="26">
        <f t="shared" si="6"/>
        <v>-19345945.000000007</v>
      </c>
      <c r="I184" s="25" t="s">
        <v>268</v>
      </c>
      <c r="J184" s="22"/>
      <c r="K184" s="25"/>
      <c r="L184" s="25"/>
      <c r="M184" s="22"/>
    </row>
    <row r="185" spans="1:13" s="20" customFormat="1" ht="12.75">
      <c r="A185" s="14">
        <v>1178</v>
      </c>
      <c r="B185" s="21">
        <v>44995</v>
      </c>
      <c r="C185" s="15">
        <f t="shared" si="7"/>
        <v>44995</v>
      </c>
      <c r="D185" s="16"/>
      <c r="E185" s="73"/>
      <c r="F185" s="92">
        <v>3.75</v>
      </c>
      <c r="G185" s="92"/>
      <c r="H185" s="26">
        <f t="shared" si="6"/>
        <v>-19345948.750000007</v>
      </c>
      <c r="I185" s="25" t="s">
        <v>268</v>
      </c>
      <c r="J185" s="22"/>
      <c r="K185" s="25"/>
      <c r="L185" s="25"/>
      <c r="M185" s="22"/>
    </row>
    <row r="186" spans="1:13" s="20" customFormat="1" ht="12.75">
      <c r="A186" s="14">
        <v>1179</v>
      </c>
      <c r="B186" s="21">
        <v>44995</v>
      </c>
      <c r="C186" s="15">
        <f t="shared" si="7"/>
        <v>44995</v>
      </c>
      <c r="D186" s="16"/>
      <c r="E186" s="73"/>
      <c r="F186" s="92">
        <v>91923.68</v>
      </c>
      <c r="G186" s="92"/>
      <c r="H186" s="26">
        <f t="shared" si="6"/>
        <v>-19437872.430000007</v>
      </c>
      <c r="I186" s="25" t="s">
        <v>277</v>
      </c>
      <c r="J186" s="22"/>
      <c r="K186" s="25"/>
      <c r="L186" s="25"/>
      <c r="M186" s="22"/>
    </row>
    <row r="187" spans="1:13" s="20" customFormat="1" ht="12.75">
      <c r="A187" s="14">
        <v>1180</v>
      </c>
      <c r="B187" s="21">
        <v>44995</v>
      </c>
      <c r="C187" s="15">
        <f t="shared" si="7"/>
        <v>44995</v>
      </c>
      <c r="D187" s="16"/>
      <c r="E187" s="73"/>
      <c r="F187" s="92">
        <v>100</v>
      </c>
      <c r="G187" s="92"/>
      <c r="H187" s="26">
        <f t="shared" si="6"/>
        <v>-19437972.430000007</v>
      </c>
      <c r="I187" s="25" t="s">
        <v>268</v>
      </c>
      <c r="J187" s="22"/>
      <c r="K187" s="25"/>
      <c r="L187" s="25"/>
      <c r="M187" s="22"/>
    </row>
    <row r="188" spans="1:13" s="20" customFormat="1" ht="12.75">
      <c r="A188" s="14">
        <v>1181</v>
      </c>
      <c r="B188" s="21">
        <v>44995</v>
      </c>
      <c r="C188" s="15">
        <f t="shared" si="7"/>
        <v>44995</v>
      </c>
      <c r="D188" s="16"/>
      <c r="E188" s="73"/>
      <c r="F188" s="92">
        <v>50000</v>
      </c>
      <c r="G188" s="92"/>
      <c r="H188" s="26">
        <f t="shared" si="6"/>
        <v>-19487972.430000007</v>
      </c>
      <c r="I188" s="25" t="s">
        <v>276</v>
      </c>
      <c r="J188" s="22"/>
      <c r="K188" s="25"/>
      <c r="L188" s="25"/>
      <c r="M188" s="22"/>
    </row>
    <row r="189" spans="1:13" s="20" customFormat="1" ht="12.75">
      <c r="A189" s="14">
        <v>1182</v>
      </c>
      <c r="B189" s="21">
        <v>44995</v>
      </c>
      <c r="C189" s="15">
        <f t="shared" si="7"/>
        <v>44995</v>
      </c>
      <c r="D189" s="16"/>
      <c r="E189" s="73"/>
      <c r="F189" s="92">
        <v>50</v>
      </c>
      <c r="G189" s="92"/>
      <c r="H189" s="26">
        <f t="shared" si="6"/>
        <v>-19488022.430000007</v>
      </c>
      <c r="I189" s="25" t="s">
        <v>268</v>
      </c>
      <c r="J189" s="22"/>
      <c r="K189" s="25"/>
      <c r="L189" s="25"/>
      <c r="M189" s="22"/>
    </row>
    <row r="190" spans="1:13" s="20" customFormat="1" ht="12.75">
      <c r="A190" s="14">
        <v>1183</v>
      </c>
      <c r="B190" s="21">
        <v>44995</v>
      </c>
      <c r="C190" s="15">
        <f t="shared" si="7"/>
        <v>44995</v>
      </c>
      <c r="D190" s="16"/>
      <c r="E190" s="73"/>
      <c r="F190" s="92">
        <v>50000</v>
      </c>
      <c r="G190" s="92"/>
      <c r="H190" s="26">
        <f t="shared" si="6"/>
        <v>-19538022.430000007</v>
      </c>
      <c r="I190" s="25" t="s">
        <v>276</v>
      </c>
      <c r="J190" s="22"/>
      <c r="K190" s="25"/>
      <c r="L190" s="25"/>
      <c r="M190" s="22"/>
    </row>
    <row r="191" spans="1:13" s="20" customFormat="1" ht="12.75">
      <c r="A191" s="14">
        <v>1184</v>
      </c>
      <c r="B191" s="21">
        <v>44995</v>
      </c>
      <c r="C191" s="15">
        <f t="shared" si="7"/>
        <v>44995</v>
      </c>
      <c r="D191" s="16"/>
      <c r="E191" s="73"/>
      <c r="F191" s="92">
        <v>50</v>
      </c>
      <c r="G191" s="92"/>
      <c r="H191" s="26">
        <f t="shared" si="6"/>
        <v>-19538072.430000007</v>
      </c>
      <c r="I191" s="25" t="s">
        <v>268</v>
      </c>
      <c r="J191" s="22"/>
      <c r="K191" s="25"/>
      <c r="L191" s="25"/>
      <c r="M191" s="22"/>
    </row>
    <row r="192" spans="1:13" s="20" customFormat="1" ht="12.75">
      <c r="A192" s="14">
        <v>1185</v>
      </c>
      <c r="B192" s="21">
        <v>44995</v>
      </c>
      <c r="C192" s="15">
        <f t="shared" si="7"/>
        <v>44995</v>
      </c>
      <c r="D192" s="16"/>
      <c r="E192" s="73"/>
      <c r="F192" s="92">
        <v>1200000</v>
      </c>
      <c r="G192" s="92"/>
      <c r="H192" s="26">
        <f t="shared" si="6"/>
        <v>-20738072.430000007</v>
      </c>
      <c r="I192" s="25" t="s">
        <v>276</v>
      </c>
      <c r="J192" s="22"/>
      <c r="K192" s="25"/>
      <c r="L192" s="25"/>
      <c r="M192" s="22"/>
    </row>
    <row r="193" spans="1:13" s="20" customFormat="1" ht="12.75">
      <c r="A193" s="14">
        <v>1186</v>
      </c>
      <c r="B193" s="21">
        <v>44995</v>
      </c>
      <c r="C193" s="15">
        <f t="shared" si="7"/>
        <v>44995</v>
      </c>
      <c r="D193" s="16"/>
      <c r="E193" s="73"/>
      <c r="F193" s="92">
        <v>50</v>
      </c>
      <c r="G193" s="92"/>
      <c r="H193" s="26">
        <f t="shared" si="6"/>
        <v>-20738122.430000007</v>
      </c>
      <c r="I193" s="25" t="s">
        <v>268</v>
      </c>
      <c r="J193" s="22"/>
      <c r="K193" s="25"/>
      <c r="L193" s="25"/>
      <c r="M193" s="22"/>
    </row>
    <row r="194" spans="1:13" s="20" customFormat="1" ht="12.75">
      <c r="A194" s="14">
        <v>1187</v>
      </c>
      <c r="B194" s="21">
        <v>45000</v>
      </c>
      <c r="C194" s="15">
        <f t="shared" si="7"/>
        <v>45000</v>
      </c>
      <c r="D194" s="16"/>
      <c r="E194" s="73"/>
      <c r="F194" s="92"/>
      <c r="G194" s="92">
        <v>13560000</v>
      </c>
      <c r="H194" s="26">
        <f t="shared" si="6"/>
        <v>-7178122.4300000072</v>
      </c>
      <c r="I194" s="25" t="s">
        <v>300</v>
      </c>
      <c r="J194" s="22"/>
      <c r="K194" s="25"/>
      <c r="L194" s="25"/>
      <c r="M194" s="22"/>
    </row>
    <row r="195" spans="1:13" s="20" customFormat="1" ht="12.75">
      <c r="A195" s="14">
        <v>1188</v>
      </c>
      <c r="B195" s="21">
        <v>45000</v>
      </c>
      <c r="C195" s="15">
        <f t="shared" si="7"/>
        <v>45000</v>
      </c>
      <c r="D195" s="16"/>
      <c r="E195" s="73"/>
      <c r="F195" s="92">
        <v>50</v>
      </c>
      <c r="G195" s="92"/>
      <c r="H195" s="26">
        <f t="shared" si="6"/>
        <v>-7178172.4300000072</v>
      </c>
      <c r="I195" s="25" t="s">
        <v>268</v>
      </c>
      <c r="J195" s="22"/>
      <c r="K195" s="25"/>
      <c r="L195" s="25"/>
      <c r="M195" s="22"/>
    </row>
    <row r="196" spans="1:13" s="20" customFormat="1" ht="12.75">
      <c r="A196" s="14">
        <v>1189</v>
      </c>
      <c r="B196" s="21">
        <v>45001</v>
      </c>
      <c r="C196" s="15">
        <f t="shared" si="7"/>
        <v>45001</v>
      </c>
      <c r="D196" s="16"/>
      <c r="E196" s="73"/>
      <c r="F196" s="92">
        <v>22000</v>
      </c>
      <c r="G196" s="92"/>
      <c r="H196" s="26">
        <f t="shared" si="6"/>
        <v>-7200172.4300000072</v>
      </c>
      <c r="I196" s="25" t="s">
        <v>265</v>
      </c>
      <c r="J196" s="22"/>
      <c r="K196" s="25"/>
      <c r="L196" s="25"/>
      <c r="M196" s="22"/>
    </row>
    <row r="197" spans="1:13" s="20" customFormat="1" ht="12.75">
      <c r="A197" s="14">
        <v>1190</v>
      </c>
      <c r="B197" s="21">
        <v>45001</v>
      </c>
      <c r="C197" s="15">
        <f t="shared" si="7"/>
        <v>45001</v>
      </c>
      <c r="D197" s="16"/>
      <c r="E197" s="73"/>
      <c r="F197" s="92">
        <v>25</v>
      </c>
      <c r="G197" s="92"/>
      <c r="H197" s="26">
        <f t="shared" si="6"/>
        <v>-7200197.4300000072</v>
      </c>
      <c r="I197" s="25" t="s">
        <v>268</v>
      </c>
      <c r="J197" s="22"/>
      <c r="K197" s="25"/>
      <c r="L197" s="25"/>
      <c r="M197" s="22"/>
    </row>
    <row r="198" spans="1:13" s="20" customFormat="1" ht="12.75">
      <c r="A198" s="14">
        <v>1191</v>
      </c>
      <c r="B198" s="21">
        <v>45001</v>
      </c>
      <c r="C198" s="15">
        <f t="shared" si="7"/>
        <v>45001</v>
      </c>
      <c r="D198" s="16"/>
      <c r="E198" s="73"/>
      <c r="F198" s="92">
        <v>1.87</v>
      </c>
      <c r="G198" s="92"/>
      <c r="H198" s="26">
        <f t="shared" ref="H198:H261" si="8">IFERROR(H197-F198+G198,"")</f>
        <v>-7200199.3000000073</v>
      </c>
      <c r="I198" s="25" t="s">
        <v>268</v>
      </c>
      <c r="J198" s="22"/>
      <c r="K198" s="25"/>
      <c r="L198" s="25"/>
      <c r="M198" s="22"/>
    </row>
    <row r="199" spans="1:13" s="20" customFormat="1" ht="12.75">
      <c r="A199" s="14">
        <v>1192</v>
      </c>
      <c r="B199" s="21">
        <v>45001</v>
      </c>
      <c r="C199" s="15">
        <f t="shared" si="7"/>
        <v>45001</v>
      </c>
      <c r="D199" s="16"/>
      <c r="E199" s="73"/>
      <c r="F199" s="92">
        <v>150000</v>
      </c>
      <c r="G199" s="92"/>
      <c r="H199" s="26">
        <f t="shared" si="8"/>
        <v>-7350199.3000000073</v>
      </c>
      <c r="I199" s="25" t="s">
        <v>280</v>
      </c>
      <c r="J199" s="22"/>
      <c r="K199" s="25"/>
      <c r="L199" s="25"/>
      <c r="M199" s="22"/>
    </row>
    <row r="200" spans="1:13" s="20" customFormat="1" ht="12.75">
      <c r="A200" s="14">
        <v>1193</v>
      </c>
      <c r="B200" s="21">
        <v>45001</v>
      </c>
      <c r="C200" s="15">
        <f t="shared" si="7"/>
        <v>45001</v>
      </c>
      <c r="D200" s="16"/>
      <c r="E200" s="73"/>
      <c r="F200" s="92">
        <v>372439.84</v>
      </c>
      <c r="G200" s="92"/>
      <c r="H200" s="26">
        <f t="shared" si="8"/>
        <v>-7722639.1400000071</v>
      </c>
      <c r="I200" s="25" t="s">
        <v>271</v>
      </c>
      <c r="J200" s="22"/>
      <c r="K200" s="25"/>
      <c r="L200" s="25"/>
      <c r="M200" s="22"/>
    </row>
    <row r="201" spans="1:13" s="20" customFormat="1" ht="12.75">
      <c r="A201" s="14">
        <v>1194</v>
      </c>
      <c r="B201" s="21">
        <v>45001</v>
      </c>
      <c r="C201" s="15">
        <f t="shared" si="7"/>
        <v>45001</v>
      </c>
      <c r="D201" s="16"/>
      <c r="E201" s="73"/>
      <c r="F201" s="92">
        <v>150</v>
      </c>
      <c r="G201" s="92"/>
      <c r="H201" s="26">
        <f t="shared" si="8"/>
        <v>-7722789.1400000071</v>
      </c>
      <c r="I201" s="25" t="s">
        <v>268</v>
      </c>
      <c r="J201" s="22"/>
      <c r="K201" s="25"/>
      <c r="L201" s="25"/>
      <c r="M201" s="22"/>
    </row>
    <row r="202" spans="1:13" s="20" customFormat="1" ht="12.75">
      <c r="A202" s="14">
        <v>1195</v>
      </c>
      <c r="B202" s="21">
        <v>45001</v>
      </c>
      <c r="C202" s="15">
        <f t="shared" si="7"/>
        <v>45001</v>
      </c>
      <c r="D202" s="16"/>
      <c r="E202" s="73"/>
      <c r="F202" s="92">
        <v>11.25</v>
      </c>
      <c r="G202" s="92"/>
      <c r="H202" s="26">
        <f t="shared" si="8"/>
        <v>-7722800.3900000071</v>
      </c>
      <c r="I202" s="25" t="s">
        <v>268</v>
      </c>
      <c r="J202" s="22"/>
      <c r="K202" s="25"/>
      <c r="L202" s="25"/>
      <c r="M202" s="22"/>
    </row>
    <row r="203" spans="1:13" s="20" customFormat="1" ht="12.75">
      <c r="A203" s="14">
        <v>1196</v>
      </c>
      <c r="B203" s="21">
        <v>45001</v>
      </c>
      <c r="C203" s="15">
        <f t="shared" si="7"/>
        <v>45001</v>
      </c>
      <c r="D203" s="16"/>
      <c r="E203" s="73"/>
      <c r="F203" s="92">
        <v>60</v>
      </c>
      <c r="G203" s="92"/>
      <c r="H203" s="26">
        <f t="shared" si="8"/>
        <v>-7722860.3900000071</v>
      </c>
      <c r="I203" s="25" t="s">
        <v>268</v>
      </c>
      <c r="J203" s="22"/>
      <c r="K203" s="25"/>
      <c r="L203" s="25"/>
      <c r="M203" s="22"/>
    </row>
    <row r="204" spans="1:13" s="20" customFormat="1" ht="12.75">
      <c r="A204" s="14">
        <v>1197</v>
      </c>
      <c r="B204" s="21">
        <v>45001</v>
      </c>
      <c r="C204" s="15">
        <f t="shared" si="7"/>
        <v>45001</v>
      </c>
      <c r="D204" s="16"/>
      <c r="E204" s="73"/>
      <c r="F204" s="92">
        <v>4.5</v>
      </c>
      <c r="G204" s="92"/>
      <c r="H204" s="26">
        <f t="shared" si="8"/>
        <v>-7722864.8900000071</v>
      </c>
      <c r="I204" s="25" t="s">
        <v>268</v>
      </c>
      <c r="J204" s="22"/>
      <c r="K204" s="25"/>
      <c r="L204" s="25"/>
      <c r="M204" s="22"/>
    </row>
    <row r="205" spans="1:13" s="20" customFormat="1" ht="12.75">
      <c r="A205" s="14">
        <v>1198</v>
      </c>
      <c r="B205" s="21">
        <v>45003</v>
      </c>
      <c r="C205" s="15">
        <f t="shared" si="7"/>
        <v>45003</v>
      </c>
      <c r="D205" s="16"/>
      <c r="E205" s="73"/>
      <c r="F205" s="92">
        <v>7850</v>
      </c>
      <c r="G205" s="92"/>
      <c r="H205" s="26">
        <f t="shared" si="8"/>
        <v>-7730714.8900000071</v>
      </c>
      <c r="I205" s="25" t="s">
        <v>284</v>
      </c>
      <c r="J205" s="22"/>
      <c r="K205" s="25"/>
      <c r="L205" s="25"/>
      <c r="M205" s="22"/>
    </row>
    <row r="206" spans="1:13" s="20" customFormat="1" ht="12.75">
      <c r="A206" s="14">
        <v>1199</v>
      </c>
      <c r="B206" s="21">
        <v>45003</v>
      </c>
      <c r="C206" s="15">
        <f t="shared" si="7"/>
        <v>45003</v>
      </c>
      <c r="D206" s="16"/>
      <c r="E206" s="73"/>
      <c r="F206" s="92">
        <v>25</v>
      </c>
      <c r="G206" s="92"/>
      <c r="H206" s="26">
        <f t="shared" si="8"/>
        <v>-7730739.8900000071</v>
      </c>
      <c r="I206" s="25" t="s">
        <v>268</v>
      </c>
      <c r="J206" s="22"/>
      <c r="K206" s="25"/>
      <c r="L206" s="25"/>
      <c r="M206" s="22"/>
    </row>
    <row r="207" spans="1:13" s="20" customFormat="1" ht="12.75">
      <c r="A207" s="14">
        <v>1200</v>
      </c>
      <c r="B207" s="21">
        <v>45003</v>
      </c>
      <c r="C207" s="15">
        <f t="shared" si="7"/>
        <v>45003</v>
      </c>
      <c r="D207" s="16"/>
      <c r="E207" s="73"/>
      <c r="F207" s="92">
        <v>1.87</v>
      </c>
      <c r="G207" s="92"/>
      <c r="H207" s="26">
        <f t="shared" si="8"/>
        <v>-7730741.7600000072</v>
      </c>
      <c r="I207" s="25" t="s">
        <v>268</v>
      </c>
      <c r="J207" s="22"/>
      <c r="K207" s="25"/>
      <c r="L207" s="25"/>
      <c r="M207" s="22"/>
    </row>
    <row r="208" spans="1:13" s="20" customFormat="1" ht="12.75">
      <c r="A208" s="14">
        <v>1201</v>
      </c>
      <c r="B208" s="21">
        <v>45003</v>
      </c>
      <c r="C208" s="15">
        <f t="shared" si="7"/>
        <v>45003</v>
      </c>
      <c r="D208" s="16"/>
      <c r="E208" s="73"/>
      <c r="F208" s="92">
        <v>30000</v>
      </c>
      <c r="G208" s="92"/>
      <c r="H208" s="26">
        <f t="shared" si="8"/>
        <v>-7760741.7600000072</v>
      </c>
      <c r="I208" s="25" t="s">
        <v>268</v>
      </c>
      <c r="J208" s="22"/>
      <c r="K208" s="25"/>
      <c r="L208" s="25"/>
      <c r="M208" s="22"/>
    </row>
    <row r="209" spans="1:13" s="20" customFormat="1" ht="12.75">
      <c r="A209" s="14">
        <v>1202</v>
      </c>
      <c r="B209" s="21">
        <v>45003</v>
      </c>
      <c r="C209" s="15">
        <f t="shared" si="7"/>
        <v>45003</v>
      </c>
      <c r="D209" s="16"/>
      <c r="E209" s="73"/>
      <c r="F209" s="92">
        <v>25</v>
      </c>
      <c r="G209" s="92"/>
      <c r="H209" s="26">
        <f t="shared" si="8"/>
        <v>-7760766.7600000072</v>
      </c>
      <c r="I209" s="25" t="s">
        <v>268</v>
      </c>
      <c r="J209" s="22"/>
      <c r="K209" s="25"/>
      <c r="L209" s="25"/>
      <c r="M209" s="22"/>
    </row>
    <row r="210" spans="1:13" s="20" customFormat="1" ht="12.75">
      <c r="A210" s="14">
        <v>1203</v>
      </c>
      <c r="B210" s="21">
        <v>45003</v>
      </c>
      <c r="C210" s="15">
        <f t="shared" si="7"/>
        <v>45003</v>
      </c>
      <c r="D210" s="16"/>
      <c r="E210" s="73"/>
      <c r="F210" s="92">
        <v>1.87</v>
      </c>
      <c r="G210" s="92"/>
      <c r="H210" s="26">
        <f t="shared" si="8"/>
        <v>-7760768.6300000073</v>
      </c>
      <c r="I210" s="25" t="s">
        <v>268</v>
      </c>
      <c r="J210" s="22"/>
      <c r="K210" s="25"/>
      <c r="L210" s="25"/>
      <c r="M210" s="22"/>
    </row>
    <row r="211" spans="1:13" s="20" customFormat="1" ht="12.75">
      <c r="A211" s="14">
        <v>1204</v>
      </c>
      <c r="B211" s="21">
        <v>45007</v>
      </c>
      <c r="C211" s="15">
        <f t="shared" si="7"/>
        <v>45007</v>
      </c>
      <c r="D211" s="16"/>
      <c r="E211" s="73"/>
      <c r="F211" s="92">
        <v>128553.33</v>
      </c>
      <c r="G211" s="92"/>
      <c r="H211" s="26">
        <f t="shared" si="8"/>
        <v>-7889321.9600000074</v>
      </c>
      <c r="I211" s="25" t="s">
        <v>271</v>
      </c>
      <c r="J211" s="22"/>
      <c r="K211" s="25"/>
      <c r="L211" s="25"/>
      <c r="M211" s="22"/>
    </row>
    <row r="212" spans="1:13" s="20" customFormat="1" ht="12.75">
      <c r="A212" s="14">
        <v>1205</v>
      </c>
      <c r="B212" s="21">
        <v>45015</v>
      </c>
      <c r="C212" s="15">
        <f t="shared" si="7"/>
        <v>45015</v>
      </c>
      <c r="D212" s="16"/>
      <c r="E212" s="73"/>
      <c r="F212" s="92">
        <v>50000</v>
      </c>
      <c r="G212" s="92"/>
      <c r="H212" s="26">
        <f t="shared" si="8"/>
        <v>-7939321.9600000074</v>
      </c>
      <c r="I212" s="25" t="s">
        <v>276</v>
      </c>
      <c r="J212" s="22"/>
      <c r="K212" s="25"/>
      <c r="L212" s="25"/>
      <c r="M212" s="22"/>
    </row>
    <row r="213" spans="1:13" s="20" customFormat="1" ht="12.75">
      <c r="A213" s="14">
        <v>1206</v>
      </c>
      <c r="B213" s="21">
        <v>45015</v>
      </c>
      <c r="C213" s="15">
        <f t="shared" si="7"/>
        <v>45015</v>
      </c>
      <c r="D213" s="16"/>
      <c r="E213" s="73"/>
      <c r="F213" s="92">
        <v>50</v>
      </c>
      <c r="G213" s="92"/>
      <c r="H213" s="26">
        <f t="shared" si="8"/>
        <v>-7939371.9600000074</v>
      </c>
      <c r="I213" s="25" t="s">
        <v>268</v>
      </c>
      <c r="J213" s="22"/>
      <c r="K213" s="25"/>
      <c r="L213" s="25"/>
      <c r="M213" s="22"/>
    </row>
    <row r="214" spans="1:13" s="20" customFormat="1" ht="12.75">
      <c r="A214" s="14">
        <v>1207</v>
      </c>
      <c r="B214" s="21">
        <v>45015</v>
      </c>
      <c r="C214" s="15">
        <f t="shared" si="7"/>
        <v>45015</v>
      </c>
      <c r="D214" s="16"/>
      <c r="E214" s="73"/>
      <c r="F214" s="92">
        <v>50000</v>
      </c>
      <c r="G214" s="92"/>
      <c r="H214" s="26">
        <f t="shared" si="8"/>
        <v>-7989371.9600000074</v>
      </c>
      <c r="I214" s="25" t="s">
        <v>276</v>
      </c>
      <c r="J214" s="22"/>
      <c r="K214" s="25"/>
      <c r="L214" s="25"/>
      <c r="M214" s="22"/>
    </row>
    <row r="215" spans="1:13" s="20" customFormat="1" ht="12.75">
      <c r="A215" s="14">
        <v>1208</v>
      </c>
      <c r="B215" s="21">
        <v>45015</v>
      </c>
      <c r="C215" s="15">
        <f t="shared" si="7"/>
        <v>45015</v>
      </c>
      <c r="D215" s="16"/>
      <c r="E215" s="73"/>
      <c r="F215" s="92">
        <v>50</v>
      </c>
      <c r="G215" s="92"/>
      <c r="H215" s="26">
        <f t="shared" si="8"/>
        <v>-7989421.9600000074</v>
      </c>
      <c r="I215" s="25" t="s">
        <v>268</v>
      </c>
      <c r="J215" s="22"/>
      <c r="K215" s="25"/>
      <c r="L215" s="25"/>
      <c r="M215" s="22"/>
    </row>
    <row r="216" spans="1:13" s="20" customFormat="1" ht="12.75">
      <c r="A216" s="14">
        <v>1209</v>
      </c>
      <c r="B216" s="21">
        <v>45015</v>
      </c>
      <c r="C216" s="15">
        <f t="shared" si="7"/>
        <v>45015</v>
      </c>
      <c r="D216" s="16"/>
      <c r="E216" s="73"/>
      <c r="F216" s="92">
        <v>1200000</v>
      </c>
      <c r="G216" s="92"/>
      <c r="H216" s="26">
        <f t="shared" si="8"/>
        <v>-9189421.9600000083</v>
      </c>
      <c r="I216" s="25" t="s">
        <v>276</v>
      </c>
      <c r="J216" s="22"/>
      <c r="K216" s="25"/>
      <c r="L216" s="25"/>
      <c r="M216" s="22"/>
    </row>
    <row r="217" spans="1:13" s="20" customFormat="1" ht="12.75">
      <c r="A217" s="14">
        <v>1210</v>
      </c>
      <c r="B217" s="21">
        <v>45015</v>
      </c>
      <c r="C217" s="15">
        <f t="shared" si="7"/>
        <v>45015</v>
      </c>
      <c r="D217" s="16"/>
      <c r="E217" s="73"/>
      <c r="F217" s="92">
        <v>50</v>
      </c>
      <c r="G217" s="92"/>
      <c r="H217" s="26">
        <f t="shared" si="8"/>
        <v>-9189471.9600000083</v>
      </c>
      <c r="I217" s="25" t="s">
        <v>268</v>
      </c>
      <c r="J217" s="22"/>
      <c r="K217" s="25"/>
      <c r="L217" s="25"/>
      <c r="M217" s="22"/>
    </row>
    <row r="218" spans="1:13" s="20" customFormat="1" ht="12.75">
      <c r="A218" s="14">
        <v>1211</v>
      </c>
      <c r="B218" s="21">
        <v>45015</v>
      </c>
      <c r="C218" s="15">
        <f t="shared" si="7"/>
        <v>45015</v>
      </c>
      <c r="D218" s="16"/>
      <c r="E218" s="73"/>
      <c r="F218" s="92">
        <v>8000</v>
      </c>
      <c r="G218" s="92"/>
      <c r="H218" s="26">
        <f t="shared" si="8"/>
        <v>-9197471.9600000083</v>
      </c>
      <c r="I218" s="25" t="s">
        <v>281</v>
      </c>
      <c r="J218" s="22"/>
      <c r="K218" s="25"/>
      <c r="L218" s="25"/>
      <c r="M218" s="22"/>
    </row>
    <row r="219" spans="1:13" s="20" customFormat="1" ht="12.75">
      <c r="A219" s="14">
        <v>1212</v>
      </c>
      <c r="B219" s="21">
        <v>45015</v>
      </c>
      <c r="C219" s="15">
        <f t="shared" si="7"/>
        <v>45015</v>
      </c>
      <c r="D219" s="16"/>
      <c r="E219" s="73"/>
      <c r="F219" s="92">
        <v>25</v>
      </c>
      <c r="G219" s="92"/>
      <c r="H219" s="26">
        <f t="shared" si="8"/>
        <v>-9197496.9600000083</v>
      </c>
      <c r="I219" s="25" t="s">
        <v>268</v>
      </c>
      <c r="J219" s="22"/>
      <c r="K219" s="25"/>
      <c r="L219" s="25"/>
      <c r="M219" s="22"/>
    </row>
    <row r="220" spans="1:13" s="20" customFormat="1" ht="12.75">
      <c r="A220" s="14">
        <v>1213</v>
      </c>
      <c r="B220" s="21">
        <v>45015</v>
      </c>
      <c r="C220" s="15">
        <f t="shared" si="7"/>
        <v>45015</v>
      </c>
      <c r="D220" s="16"/>
      <c r="E220" s="73"/>
      <c r="F220" s="92">
        <v>1.87</v>
      </c>
      <c r="G220" s="92"/>
      <c r="H220" s="26">
        <f t="shared" si="8"/>
        <v>-9197498.8300000075</v>
      </c>
      <c r="I220" s="25" t="s">
        <v>268</v>
      </c>
      <c r="J220" s="22"/>
      <c r="K220" s="25"/>
      <c r="L220" s="25"/>
      <c r="M220" s="22"/>
    </row>
    <row r="221" spans="1:13" s="20" customFormat="1" ht="12.75">
      <c r="A221" s="14">
        <v>1214</v>
      </c>
      <c r="B221" s="21">
        <v>45015</v>
      </c>
      <c r="C221" s="15">
        <f t="shared" si="7"/>
        <v>45015</v>
      </c>
      <c r="D221" s="16"/>
      <c r="E221" s="73"/>
      <c r="F221" s="92">
        <v>8000</v>
      </c>
      <c r="G221" s="92"/>
      <c r="H221" s="26">
        <f t="shared" si="8"/>
        <v>-9205498.8300000075</v>
      </c>
      <c r="I221" s="25" t="s">
        <v>283</v>
      </c>
      <c r="J221" s="22"/>
      <c r="K221" s="25"/>
      <c r="L221" s="25"/>
      <c r="M221" s="22"/>
    </row>
    <row r="222" spans="1:13" s="20" customFormat="1" ht="12.75">
      <c r="A222" s="14">
        <v>1215</v>
      </c>
      <c r="B222" s="21">
        <v>45015</v>
      </c>
      <c r="C222" s="15">
        <f t="shared" si="7"/>
        <v>45015</v>
      </c>
      <c r="D222" s="16"/>
      <c r="E222" s="73"/>
      <c r="F222" s="92">
        <v>100</v>
      </c>
      <c r="G222" s="92"/>
      <c r="H222" s="26">
        <f t="shared" si="8"/>
        <v>-9205598.8300000075</v>
      </c>
      <c r="I222" s="25" t="s">
        <v>268</v>
      </c>
      <c r="J222" s="22"/>
      <c r="K222" s="25"/>
      <c r="L222" s="25"/>
      <c r="M222" s="22"/>
    </row>
    <row r="223" spans="1:13" s="20" customFormat="1" ht="12.75">
      <c r="A223" s="14">
        <v>1216</v>
      </c>
      <c r="B223" s="21">
        <v>45016</v>
      </c>
      <c r="C223" s="15">
        <f t="shared" si="7"/>
        <v>45016</v>
      </c>
      <c r="D223" s="16"/>
      <c r="E223" s="73"/>
      <c r="F223" s="92">
        <v>348</v>
      </c>
      <c r="G223" s="92"/>
      <c r="H223" s="26">
        <f t="shared" si="8"/>
        <v>-9205946.8300000075</v>
      </c>
      <c r="I223" s="25" t="s">
        <v>268</v>
      </c>
      <c r="J223" s="22"/>
      <c r="K223" s="25"/>
      <c r="L223" s="25"/>
      <c r="M223" s="22"/>
    </row>
    <row r="224" spans="1:13" s="20" customFormat="1" ht="12.75">
      <c r="A224" s="14">
        <v>1217</v>
      </c>
      <c r="B224" s="21">
        <v>45016</v>
      </c>
      <c r="C224" s="15">
        <f t="shared" si="7"/>
        <v>45016</v>
      </c>
      <c r="D224" s="16"/>
      <c r="E224" s="73"/>
      <c r="F224" s="92">
        <v>26.1</v>
      </c>
      <c r="G224" s="92"/>
      <c r="H224" s="26">
        <f t="shared" si="8"/>
        <v>-9205972.9300000072</v>
      </c>
      <c r="I224" s="25" t="s">
        <v>268</v>
      </c>
      <c r="J224" s="22"/>
      <c r="K224" s="25"/>
      <c r="L224" s="25"/>
      <c r="M224" s="22"/>
    </row>
    <row r="225" spans="1:13" s="20" customFormat="1" ht="12.75">
      <c r="A225" s="14">
        <v>1218</v>
      </c>
      <c r="B225" s="21">
        <v>45017</v>
      </c>
      <c r="C225" s="15">
        <f t="shared" si="7"/>
        <v>45017</v>
      </c>
      <c r="D225" s="16"/>
      <c r="E225" s="73"/>
      <c r="F225" s="92">
        <v>6690.88</v>
      </c>
      <c r="G225" s="92"/>
      <c r="H225" s="26">
        <f t="shared" si="8"/>
        <v>-9212663.810000008</v>
      </c>
      <c r="I225" s="25" t="s">
        <v>264</v>
      </c>
      <c r="J225" s="22"/>
      <c r="K225" s="25"/>
      <c r="L225" s="25"/>
      <c r="M225" s="22"/>
    </row>
    <row r="226" spans="1:13" s="20" customFormat="1" ht="12.75">
      <c r="A226" s="14">
        <v>1219</v>
      </c>
      <c r="B226" s="21">
        <v>45017</v>
      </c>
      <c r="C226" s="15">
        <f t="shared" si="7"/>
        <v>45017</v>
      </c>
      <c r="D226" s="16"/>
      <c r="E226" s="73"/>
      <c r="F226" s="92">
        <v>501.82</v>
      </c>
      <c r="G226" s="92"/>
      <c r="H226" s="26">
        <f t="shared" si="8"/>
        <v>-9213165.6300000083</v>
      </c>
      <c r="I226" s="25" t="s">
        <v>264</v>
      </c>
      <c r="J226" s="22"/>
      <c r="K226" s="25"/>
      <c r="L226" s="25"/>
      <c r="M226" s="22"/>
    </row>
    <row r="227" spans="1:13" s="20" customFormat="1" ht="12.75">
      <c r="A227" s="14">
        <v>1220</v>
      </c>
      <c r="B227" s="21">
        <v>45017</v>
      </c>
      <c r="C227" s="15">
        <f t="shared" si="7"/>
        <v>45017</v>
      </c>
      <c r="D227" s="16"/>
      <c r="E227" s="73"/>
      <c r="F227" s="92">
        <v>5000</v>
      </c>
      <c r="G227" s="92"/>
      <c r="H227" s="26">
        <f t="shared" si="8"/>
        <v>-9218165.6300000083</v>
      </c>
      <c r="I227" s="25" t="s">
        <v>294</v>
      </c>
      <c r="J227" s="22"/>
      <c r="K227" s="25"/>
      <c r="L227" s="25"/>
      <c r="M227" s="22"/>
    </row>
    <row r="228" spans="1:13" s="20" customFormat="1" ht="12.75">
      <c r="A228" s="14">
        <v>1221</v>
      </c>
      <c r="B228" s="21">
        <v>45017</v>
      </c>
      <c r="C228" s="15">
        <f t="shared" si="7"/>
        <v>45017</v>
      </c>
      <c r="D228" s="16"/>
      <c r="E228" s="73"/>
      <c r="F228" s="92">
        <v>6296714.7400000002</v>
      </c>
      <c r="G228" s="92"/>
      <c r="H228" s="26">
        <f t="shared" si="8"/>
        <v>-15514880.370000008</v>
      </c>
      <c r="I228" s="25" t="s">
        <v>271</v>
      </c>
      <c r="J228" s="22"/>
      <c r="K228" s="25"/>
      <c r="L228" s="25"/>
      <c r="M228" s="22"/>
    </row>
    <row r="229" spans="1:13" s="20" customFormat="1" ht="12.75">
      <c r="A229" s="14">
        <v>1222</v>
      </c>
      <c r="B229" s="21">
        <v>45017</v>
      </c>
      <c r="C229" s="15">
        <f t="shared" si="7"/>
        <v>45017</v>
      </c>
      <c r="D229" s="16"/>
      <c r="E229" s="73"/>
      <c r="F229" s="92">
        <v>403.13</v>
      </c>
      <c r="G229" s="92"/>
      <c r="H229" s="26">
        <f t="shared" si="8"/>
        <v>-15515283.500000009</v>
      </c>
      <c r="I229" s="25" t="s">
        <v>268</v>
      </c>
      <c r="J229" s="22"/>
      <c r="K229" s="25"/>
      <c r="L229" s="25"/>
      <c r="M229" s="22"/>
    </row>
    <row r="230" spans="1:13" s="20" customFormat="1" ht="12.75">
      <c r="A230" s="14">
        <v>1223</v>
      </c>
      <c r="B230" s="21">
        <v>45017</v>
      </c>
      <c r="C230" s="15">
        <f t="shared" si="7"/>
        <v>45017</v>
      </c>
      <c r="D230" s="16"/>
      <c r="E230" s="73"/>
      <c r="F230" s="92">
        <v>540</v>
      </c>
      <c r="G230" s="92"/>
      <c r="H230" s="26">
        <f t="shared" si="8"/>
        <v>-15515823.500000009</v>
      </c>
      <c r="I230" s="25" t="s">
        <v>268</v>
      </c>
      <c r="J230" s="22"/>
      <c r="K230" s="25"/>
      <c r="L230" s="25"/>
      <c r="M230" s="22"/>
    </row>
    <row r="231" spans="1:13" s="20" customFormat="1" ht="12.75">
      <c r="A231" s="14">
        <v>1224</v>
      </c>
      <c r="B231" s="21">
        <v>45017</v>
      </c>
      <c r="C231" s="15">
        <f t="shared" si="7"/>
        <v>45017</v>
      </c>
      <c r="D231" s="16"/>
      <c r="E231" s="73"/>
      <c r="F231" s="92">
        <v>40.5</v>
      </c>
      <c r="G231" s="92"/>
      <c r="H231" s="26">
        <f t="shared" si="8"/>
        <v>-15515864.000000009</v>
      </c>
      <c r="I231" s="25" t="s">
        <v>268</v>
      </c>
      <c r="J231" s="22"/>
      <c r="K231" s="25"/>
      <c r="L231" s="25"/>
      <c r="M231" s="22"/>
    </row>
    <row r="232" spans="1:13" s="20" customFormat="1" ht="12.75">
      <c r="A232" s="14">
        <v>1225</v>
      </c>
      <c r="B232" s="21">
        <v>45017</v>
      </c>
      <c r="C232" s="15">
        <f t="shared" si="7"/>
        <v>45017</v>
      </c>
      <c r="D232" s="16"/>
      <c r="E232" s="73"/>
      <c r="F232" s="92">
        <v>119639.34</v>
      </c>
      <c r="G232" s="92"/>
      <c r="H232" s="26">
        <f t="shared" si="8"/>
        <v>-15635503.340000009</v>
      </c>
      <c r="I232" s="25" t="s">
        <v>271</v>
      </c>
      <c r="J232" s="22"/>
      <c r="K232" s="25"/>
      <c r="L232" s="25"/>
      <c r="M232" s="22"/>
    </row>
    <row r="233" spans="1:13" s="20" customFormat="1" ht="12.75">
      <c r="A233" s="14">
        <v>1226</v>
      </c>
      <c r="B233" s="21">
        <v>45017</v>
      </c>
      <c r="C233" s="15">
        <f t="shared" si="7"/>
        <v>45017</v>
      </c>
      <c r="D233" s="16"/>
      <c r="E233" s="73"/>
      <c r="F233" s="92">
        <v>53.75</v>
      </c>
      <c r="G233" s="92"/>
      <c r="H233" s="26">
        <f t="shared" si="8"/>
        <v>-15635557.090000009</v>
      </c>
      <c r="I233" s="25" t="s">
        <v>268</v>
      </c>
      <c r="J233" s="22"/>
      <c r="K233" s="25"/>
      <c r="L233" s="25"/>
      <c r="M233" s="22"/>
    </row>
    <row r="234" spans="1:13" s="20" customFormat="1" ht="12.75">
      <c r="A234" s="14">
        <v>1227</v>
      </c>
      <c r="B234" s="21">
        <v>45019</v>
      </c>
      <c r="C234" s="15">
        <f t="shared" si="7"/>
        <v>45019</v>
      </c>
      <c r="D234" s="16"/>
      <c r="E234" s="73"/>
      <c r="F234" s="92">
        <v>96850</v>
      </c>
      <c r="G234" s="92"/>
      <c r="H234" s="26">
        <f t="shared" si="8"/>
        <v>-15732407.090000009</v>
      </c>
      <c r="I234" s="25" t="s">
        <v>286</v>
      </c>
      <c r="J234" s="22"/>
      <c r="K234" s="25"/>
      <c r="L234" s="25"/>
      <c r="M234" s="22"/>
    </row>
    <row r="235" spans="1:13" s="20" customFormat="1" ht="12.75">
      <c r="A235" s="14">
        <v>1228</v>
      </c>
      <c r="B235" s="21">
        <v>45019</v>
      </c>
      <c r="C235" s="15">
        <f t="shared" si="7"/>
        <v>45019</v>
      </c>
      <c r="D235" s="16"/>
      <c r="E235" s="73"/>
      <c r="F235" s="92">
        <v>23000</v>
      </c>
      <c r="G235" s="92"/>
      <c r="H235" s="26">
        <f t="shared" si="8"/>
        <v>-15755407.090000009</v>
      </c>
      <c r="I235" s="25" t="s">
        <v>275</v>
      </c>
      <c r="J235" s="22"/>
      <c r="K235" s="25"/>
      <c r="L235" s="25"/>
      <c r="M235" s="22"/>
    </row>
    <row r="236" spans="1:13" s="20" customFormat="1" ht="12.75">
      <c r="A236" s="14">
        <v>1229</v>
      </c>
      <c r="B236" s="21">
        <v>45019</v>
      </c>
      <c r="C236" s="15">
        <f t="shared" si="7"/>
        <v>45019</v>
      </c>
      <c r="D236" s="16"/>
      <c r="E236" s="73"/>
      <c r="F236" s="92">
        <v>65980</v>
      </c>
      <c r="G236" s="92"/>
      <c r="H236" s="26">
        <f t="shared" si="8"/>
        <v>-15821387.090000009</v>
      </c>
      <c r="I236" s="25" t="s">
        <v>287</v>
      </c>
      <c r="J236" s="22"/>
      <c r="K236" s="25"/>
      <c r="L236" s="25"/>
      <c r="M236" s="22"/>
    </row>
    <row r="237" spans="1:13" s="20" customFormat="1" ht="12.75">
      <c r="A237" s="14">
        <v>1230</v>
      </c>
      <c r="B237" s="21">
        <v>45019</v>
      </c>
      <c r="C237" s="15">
        <f t="shared" si="7"/>
        <v>45019</v>
      </c>
      <c r="D237" s="16"/>
      <c r="E237" s="73"/>
      <c r="F237" s="92">
        <v>30000</v>
      </c>
      <c r="G237" s="92"/>
      <c r="H237" s="26">
        <f t="shared" si="8"/>
        <v>-15851387.090000009</v>
      </c>
      <c r="I237" s="25" t="s">
        <v>271</v>
      </c>
      <c r="J237" s="22"/>
      <c r="K237" s="25"/>
      <c r="L237" s="25"/>
      <c r="M237" s="22"/>
    </row>
    <row r="238" spans="1:13" s="20" customFormat="1" ht="12.75">
      <c r="A238" s="14">
        <v>1231</v>
      </c>
      <c r="B238" s="21">
        <v>45019</v>
      </c>
      <c r="C238" s="15">
        <f t="shared" ref="C238:C301" si="9">B238</f>
        <v>45019</v>
      </c>
      <c r="D238" s="16"/>
      <c r="E238" s="73"/>
      <c r="F238" s="92">
        <v>25</v>
      </c>
      <c r="G238" s="92"/>
      <c r="H238" s="26">
        <f t="shared" si="8"/>
        <v>-15851412.090000009</v>
      </c>
      <c r="I238" s="25" t="s">
        <v>268</v>
      </c>
      <c r="J238" s="22"/>
      <c r="K238" s="25"/>
      <c r="L238" s="25"/>
      <c r="M238" s="22"/>
    </row>
    <row r="239" spans="1:13" s="20" customFormat="1" ht="12.75">
      <c r="A239" s="14">
        <v>1232</v>
      </c>
      <c r="B239" s="21">
        <v>45019</v>
      </c>
      <c r="C239" s="15">
        <f t="shared" si="9"/>
        <v>45019</v>
      </c>
      <c r="D239" s="16"/>
      <c r="E239" s="73"/>
      <c r="F239" s="92">
        <v>1.87</v>
      </c>
      <c r="G239" s="92"/>
      <c r="H239" s="26">
        <f t="shared" si="8"/>
        <v>-15851413.960000008</v>
      </c>
      <c r="I239" s="25" t="s">
        <v>268</v>
      </c>
      <c r="J239" s="22"/>
      <c r="K239" s="25"/>
      <c r="L239" s="25"/>
      <c r="M239" s="22"/>
    </row>
    <row r="240" spans="1:13" s="20" customFormat="1" ht="12.75">
      <c r="A240" s="14">
        <v>1233</v>
      </c>
      <c r="B240" s="21">
        <v>45019</v>
      </c>
      <c r="C240" s="15">
        <f t="shared" si="9"/>
        <v>45019</v>
      </c>
      <c r="D240" s="16"/>
      <c r="E240" s="73"/>
      <c r="F240" s="92">
        <v>60000</v>
      </c>
      <c r="G240" s="92"/>
      <c r="H240" s="26">
        <f t="shared" si="8"/>
        <v>-15911413.960000008</v>
      </c>
      <c r="I240" s="25" t="s">
        <v>271</v>
      </c>
      <c r="J240" s="22"/>
      <c r="K240" s="25"/>
      <c r="L240" s="25"/>
      <c r="M240" s="22"/>
    </row>
    <row r="241" spans="1:13" s="20" customFormat="1" ht="12.75">
      <c r="A241" s="14">
        <v>1234</v>
      </c>
      <c r="B241" s="21">
        <v>45019</v>
      </c>
      <c r="C241" s="15">
        <f t="shared" si="9"/>
        <v>45019</v>
      </c>
      <c r="D241" s="16"/>
      <c r="E241" s="73"/>
      <c r="F241" s="92">
        <v>50</v>
      </c>
      <c r="G241" s="92"/>
      <c r="H241" s="26">
        <f t="shared" si="8"/>
        <v>-15911463.960000008</v>
      </c>
      <c r="I241" s="25" t="s">
        <v>268</v>
      </c>
      <c r="J241" s="22"/>
      <c r="K241" s="25"/>
      <c r="L241" s="25"/>
      <c r="M241" s="22"/>
    </row>
    <row r="242" spans="1:13" s="20" customFormat="1" ht="12.75">
      <c r="A242" s="14">
        <v>1235</v>
      </c>
      <c r="B242" s="21">
        <v>45019</v>
      </c>
      <c r="C242" s="15">
        <f t="shared" si="9"/>
        <v>45019</v>
      </c>
      <c r="D242" s="16"/>
      <c r="E242" s="73"/>
      <c r="F242" s="92">
        <v>3.75</v>
      </c>
      <c r="G242" s="92"/>
      <c r="H242" s="26">
        <f t="shared" si="8"/>
        <v>-15911467.710000008</v>
      </c>
      <c r="I242" s="25" t="s">
        <v>268</v>
      </c>
      <c r="J242" s="22"/>
      <c r="K242" s="25"/>
      <c r="L242" s="25"/>
      <c r="M242" s="22"/>
    </row>
    <row r="243" spans="1:13" s="20" customFormat="1" ht="12.75">
      <c r="A243" s="14">
        <v>1236</v>
      </c>
      <c r="B243" s="21">
        <v>45019</v>
      </c>
      <c r="C243" s="15">
        <f t="shared" si="9"/>
        <v>45019</v>
      </c>
      <c r="D243" s="16"/>
      <c r="E243" s="73"/>
      <c r="F243" s="92">
        <v>152000</v>
      </c>
      <c r="G243" s="92"/>
      <c r="H243" s="26">
        <f t="shared" si="8"/>
        <v>-16063467.710000008</v>
      </c>
      <c r="I243" s="25" t="s">
        <v>290</v>
      </c>
      <c r="J243" s="22"/>
      <c r="K243" s="25"/>
      <c r="L243" s="25"/>
      <c r="M243" s="22"/>
    </row>
    <row r="244" spans="1:13" s="20" customFormat="1" ht="12.75">
      <c r="A244" s="14">
        <v>1237</v>
      </c>
      <c r="B244" s="21">
        <v>45019</v>
      </c>
      <c r="C244" s="15">
        <f t="shared" si="9"/>
        <v>45019</v>
      </c>
      <c r="D244" s="16"/>
      <c r="E244" s="73"/>
      <c r="F244" s="92">
        <v>50</v>
      </c>
      <c r="G244" s="92"/>
      <c r="H244" s="26">
        <f t="shared" si="8"/>
        <v>-16063517.710000008</v>
      </c>
      <c r="I244" s="25" t="s">
        <v>268</v>
      </c>
      <c r="J244" s="22"/>
      <c r="K244" s="25"/>
      <c r="L244" s="25"/>
      <c r="M244" s="22"/>
    </row>
    <row r="245" spans="1:13" s="20" customFormat="1" ht="12.75">
      <c r="A245" s="14">
        <v>1238</v>
      </c>
      <c r="B245" s="21">
        <v>45019</v>
      </c>
      <c r="C245" s="15">
        <f t="shared" si="9"/>
        <v>45019</v>
      </c>
      <c r="D245" s="16"/>
      <c r="E245" s="73"/>
      <c r="F245" s="92">
        <v>3.75</v>
      </c>
      <c r="G245" s="92"/>
      <c r="H245" s="26">
        <f t="shared" si="8"/>
        <v>-16063521.460000008</v>
      </c>
      <c r="I245" s="25" t="s">
        <v>268</v>
      </c>
      <c r="J245" s="22"/>
      <c r="K245" s="25"/>
      <c r="L245" s="25"/>
      <c r="M245" s="22"/>
    </row>
    <row r="246" spans="1:13" s="20" customFormat="1" ht="12.75">
      <c r="A246" s="14">
        <v>1239</v>
      </c>
      <c r="B246" s="21">
        <v>45026</v>
      </c>
      <c r="C246" s="15">
        <f t="shared" si="9"/>
        <v>45026</v>
      </c>
      <c r="D246" s="16"/>
      <c r="E246" s="73"/>
      <c r="F246" s="92">
        <v>116681.53</v>
      </c>
      <c r="G246" s="92"/>
      <c r="H246" s="26">
        <f t="shared" si="8"/>
        <v>-16180202.990000008</v>
      </c>
      <c r="I246" s="25" t="s">
        <v>281</v>
      </c>
      <c r="J246" s="22"/>
      <c r="K246" s="25"/>
      <c r="L246" s="25"/>
      <c r="M246" s="22"/>
    </row>
    <row r="247" spans="1:13" s="20" customFormat="1" ht="12.75">
      <c r="A247" s="14">
        <v>1240</v>
      </c>
      <c r="B247" s="21">
        <v>45026</v>
      </c>
      <c r="C247" s="15">
        <f t="shared" si="9"/>
        <v>45026</v>
      </c>
      <c r="D247" s="16"/>
      <c r="E247" s="73"/>
      <c r="F247" s="92">
        <v>45</v>
      </c>
      <c r="G247" s="92"/>
      <c r="H247" s="26">
        <f t="shared" si="8"/>
        <v>-16180247.990000008</v>
      </c>
      <c r="I247" s="25" t="s">
        <v>268</v>
      </c>
      <c r="J247" s="22"/>
      <c r="K247" s="25"/>
      <c r="L247" s="25"/>
      <c r="M247" s="22"/>
    </row>
    <row r="248" spans="1:13" s="20" customFormat="1" ht="12.75">
      <c r="A248" s="14">
        <v>1241</v>
      </c>
      <c r="B248" s="21">
        <v>45026</v>
      </c>
      <c r="C248" s="15">
        <f t="shared" si="9"/>
        <v>45026</v>
      </c>
      <c r="D248" s="16"/>
      <c r="E248" s="73"/>
      <c r="F248" s="92">
        <v>3.38</v>
      </c>
      <c r="G248" s="92"/>
      <c r="H248" s="26">
        <f t="shared" si="8"/>
        <v>-16180251.370000008</v>
      </c>
      <c r="I248" s="25" t="s">
        <v>268</v>
      </c>
      <c r="J248" s="22"/>
      <c r="K248" s="25"/>
      <c r="L248" s="25"/>
      <c r="M248" s="22"/>
    </row>
    <row r="249" spans="1:13" s="20" customFormat="1" ht="12.75">
      <c r="A249" s="14">
        <v>1242</v>
      </c>
      <c r="B249" s="21">
        <v>45026</v>
      </c>
      <c r="C249" s="15">
        <f t="shared" si="9"/>
        <v>45026</v>
      </c>
      <c r="D249" s="16"/>
      <c r="E249" s="73"/>
      <c r="F249" s="92">
        <v>884343.89</v>
      </c>
      <c r="G249" s="92"/>
      <c r="H249" s="26">
        <f t="shared" si="8"/>
        <v>-17064595.260000009</v>
      </c>
      <c r="I249" s="25" t="s">
        <v>272</v>
      </c>
      <c r="J249" s="22"/>
      <c r="K249" s="25"/>
      <c r="L249" s="25"/>
      <c r="M249" s="22"/>
    </row>
    <row r="250" spans="1:13" s="20" customFormat="1" ht="12.75">
      <c r="A250" s="14">
        <v>1243</v>
      </c>
      <c r="B250" s="21">
        <v>45026</v>
      </c>
      <c r="C250" s="15">
        <f t="shared" si="9"/>
        <v>45026</v>
      </c>
      <c r="D250" s="16"/>
      <c r="E250" s="73"/>
      <c r="F250" s="92">
        <v>100</v>
      </c>
      <c r="G250" s="92"/>
      <c r="H250" s="26">
        <f t="shared" si="8"/>
        <v>-17064695.260000009</v>
      </c>
      <c r="I250" s="25" t="s">
        <v>268</v>
      </c>
      <c r="J250" s="22"/>
      <c r="K250" s="25"/>
      <c r="L250" s="25"/>
      <c r="M250" s="22"/>
    </row>
    <row r="251" spans="1:13" s="20" customFormat="1" ht="12.75">
      <c r="A251" s="14">
        <v>1244</v>
      </c>
      <c r="B251" s="21">
        <v>45026</v>
      </c>
      <c r="C251" s="15">
        <f t="shared" si="9"/>
        <v>45026</v>
      </c>
      <c r="D251" s="16"/>
      <c r="E251" s="73"/>
      <c r="F251" s="92">
        <v>358451.88</v>
      </c>
      <c r="G251" s="92"/>
      <c r="H251" s="26">
        <f t="shared" si="8"/>
        <v>-17423147.140000008</v>
      </c>
      <c r="I251" s="25" t="s">
        <v>271</v>
      </c>
      <c r="J251" s="22"/>
      <c r="K251" s="25"/>
      <c r="L251" s="25"/>
      <c r="M251" s="22"/>
    </row>
    <row r="252" spans="1:13" s="20" customFormat="1" ht="12.75">
      <c r="A252" s="14">
        <v>1245</v>
      </c>
      <c r="B252" s="21">
        <v>45026</v>
      </c>
      <c r="C252" s="15">
        <f t="shared" si="9"/>
        <v>45026</v>
      </c>
      <c r="D252" s="16"/>
      <c r="E252" s="73"/>
      <c r="F252" s="92">
        <v>53.75</v>
      </c>
      <c r="G252" s="92"/>
      <c r="H252" s="26">
        <f t="shared" si="8"/>
        <v>-17423200.890000008</v>
      </c>
      <c r="I252" s="25" t="s">
        <v>268</v>
      </c>
      <c r="J252" s="22"/>
      <c r="K252" s="25"/>
      <c r="L252" s="25"/>
      <c r="M252" s="22"/>
    </row>
    <row r="253" spans="1:13" s="20" customFormat="1" ht="12.75">
      <c r="A253" s="14">
        <v>1246</v>
      </c>
      <c r="B253" s="21">
        <v>45026</v>
      </c>
      <c r="C253" s="15">
        <f t="shared" si="9"/>
        <v>45026</v>
      </c>
      <c r="D253" s="16"/>
      <c r="E253" s="73"/>
      <c r="F253" s="92">
        <v>8359.64</v>
      </c>
      <c r="G253" s="92"/>
      <c r="H253" s="26">
        <f t="shared" si="8"/>
        <v>-17431560.530000009</v>
      </c>
      <c r="I253" s="25" t="s">
        <v>271</v>
      </c>
      <c r="J253" s="22"/>
      <c r="K253" s="25"/>
      <c r="L253" s="25"/>
      <c r="M253" s="22"/>
    </row>
    <row r="254" spans="1:13" s="20" customFormat="1" ht="12.75">
      <c r="A254" s="14">
        <v>1247</v>
      </c>
      <c r="B254" s="21">
        <v>45026</v>
      </c>
      <c r="C254" s="15">
        <f t="shared" si="9"/>
        <v>45026</v>
      </c>
      <c r="D254" s="16"/>
      <c r="E254" s="73"/>
      <c r="F254" s="92">
        <v>25</v>
      </c>
      <c r="G254" s="92"/>
      <c r="H254" s="26">
        <f t="shared" si="8"/>
        <v>-17431585.530000009</v>
      </c>
      <c r="I254" s="25" t="s">
        <v>268</v>
      </c>
      <c r="J254" s="22"/>
      <c r="K254" s="25"/>
      <c r="L254" s="25"/>
      <c r="M254" s="22"/>
    </row>
    <row r="255" spans="1:13" s="20" customFormat="1" ht="12.75">
      <c r="A255" s="14">
        <v>1248</v>
      </c>
      <c r="B255" s="21">
        <v>45026</v>
      </c>
      <c r="C255" s="15">
        <f t="shared" si="9"/>
        <v>45026</v>
      </c>
      <c r="D255" s="16"/>
      <c r="E255" s="73"/>
      <c r="F255" s="92">
        <v>1.87</v>
      </c>
      <c r="G255" s="92"/>
      <c r="H255" s="26">
        <f t="shared" si="8"/>
        <v>-17431587.40000001</v>
      </c>
      <c r="I255" s="25" t="s">
        <v>268</v>
      </c>
      <c r="J255" s="22"/>
      <c r="K255" s="25"/>
      <c r="L255" s="25"/>
      <c r="M255" s="22"/>
    </row>
    <row r="256" spans="1:13" s="20" customFormat="1" ht="12.75">
      <c r="A256" s="14">
        <v>1249</v>
      </c>
      <c r="B256" s="21">
        <v>45030</v>
      </c>
      <c r="C256" s="15">
        <f t="shared" si="9"/>
        <v>45030</v>
      </c>
      <c r="D256" s="16"/>
      <c r="E256" s="73"/>
      <c r="F256" s="92">
        <v>76000</v>
      </c>
      <c r="G256" s="92"/>
      <c r="H256" s="26">
        <f t="shared" si="8"/>
        <v>-17507587.40000001</v>
      </c>
      <c r="I256" s="25" t="s">
        <v>295</v>
      </c>
      <c r="J256" s="22"/>
      <c r="K256" s="25"/>
      <c r="L256" s="25"/>
      <c r="M256" s="22"/>
    </row>
    <row r="257" spans="1:13" s="20" customFormat="1" ht="12.75">
      <c r="A257" s="14">
        <v>1250</v>
      </c>
      <c r="B257" s="21">
        <v>45030</v>
      </c>
      <c r="C257" s="15">
        <f t="shared" si="9"/>
        <v>45030</v>
      </c>
      <c r="D257" s="16"/>
      <c r="E257" s="73"/>
      <c r="F257" s="92">
        <v>50</v>
      </c>
      <c r="G257" s="92"/>
      <c r="H257" s="26">
        <f t="shared" si="8"/>
        <v>-17507637.40000001</v>
      </c>
      <c r="I257" s="25" t="s">
        <v>268</v>
      </c>
      <c r="J257" s="22"/>
      <c r="K257" s="25"/>
      <c r="L257" s="25"/>
      <c r="M257" s="22"/>
    </row>
    <row r="258" spans="1:13" s="20" customFormat="1" ht="12.75">
      <c r="A258" s="14">
        <v>1251</v>
      </c>
      <c r="B258" s="21">
        <v>45030</v>
      </c>
      <c r="C258" s="15">
        <f t="shared" si="9"/>
        <v>45030</v>
      </c>
      <c r="D258" s="16"/>
      <c r="E258" s="73"/>
      <c r="F258" s="92">
        <v>3.75</v>
      </c>
      <c r="G258" s="92"/>
      <c r="H258" s="26">
        <f t="shared" si="8"/>
        <v>-17507641.15000001</v>
      </c>
      <c r="I258" s="25" t="s">
        <v>268</v>
      </c>
      <c r="J258" s="22"/>
      <c r="K258" s="25"/>
      <c r="L258" s="25"/>
      <c r="M258" s="22"/>
    </row>
    <row r="259" spans="1:13" s="20" customFormat="1" ht="12.75">
      <c r="A259" s="14">
        <v>1252</v>
      </c>
      <c r="B259" s="21">
        <v>45030</v>
      </c>
      <c r="C259" s="15">
        <f t="shared" si="9"/>
        <v>45030</v>
      </c>
      <c r="D259" s="16"/>
      <c r="E259" s="73"/>
      <c r="F259" s="92">
        <v>52500</v>
      </c>
      <c r="G259" s="92"/>
      <c r="H259" s="26">
        <f t="shared" si="8"/>
        <v>-17560141.15000001</v>
      </c>
      <c r="I259" s="25" t="s">
        <v>265</v>
      </c>
      <c r="J259" s="22"/>
      <c r="K259" s="25"/>
      <c r="L259" s="25"/>
      <c r="M259" s="22"/>
    </row>
    <row r="260" spans="1:13" s="20" customFormat="1" ht="12.75">
      <c r="A260" s="14">
        <v>1253</v>
      </c>
      <c r="B260" s="21">
        <v>45030</v>
      </c>
      <c r="C260" s="15">
        <f t="shared" si="9"/>
        <v>45030</v>
      </c>
      <c r="D260" s="16"/>
      <c r="E260" s="73"/>
      <c r="F260" s="92">
        <v>97500</v>
      </c>
      <c r="G260" s="92"/>
      <c r="H260" s="26">
        <f t="shared" si="8"/>
        <v>-17657641.15000001</v>
      </c>
      <c r="I260" s="25" t="s">
        <v>265</v>
      </c>
      <c r="J260" s="22"/>
      <c r="K260" s="25"/>
      <c r="L260" s="25"/>
      <c r="M260" s="22"/>
    </row>
    <row r="261" spans="1:13" s="20" customFormat="1" ht="12.75">
      <c r="A261" s="14">
        <v>1254</v>
      </c>
      <c r="B261" s="21">
        <v>45034</v>
      </c>
      <c r="C261" s="15">
        <f t="shared" si="9"/>
        <v>45034</v>
      </c>
      <c r="D261" s="16"/>
      <c r="E261" s="73"/>
      <c r="F261" s="92">
        <v>150000</v>
      </c>
      <c r="G261" s="92"/>
      <c r="H261" s="26">
        <f t="shared" si="8"/>
        <v>-17807641.15000001</v>
      </c>
      <c r="I261" s="25" t="s">
        <v>274</v>
      </c>
      <c r="J261" s="22"/>
      <c r="K261" s="25"/>
      <c r="L261" s="25"/>
      <c r="M261" s="22"/>
    </row>
    <row r="262" spans="1:13" s="20" customFormat="1" ht="12.75">
      <c r="A262" s="14">
        <v>1255</v>
      </c>
      <c r="B262" s="21">
        <v>45034</v>
      </c>
      <c r="C262" s="15">
        <f t="shared" si="9"/>
        <v>45034</v>
      </c>
      <c r="D262" s="16"/>
      <c r="E262" s="73"/>
      <c r="F262" s="92">
        <v>50</v>
      </c>
      <c r="G262" s="92"/>
      <c r="H262" s="26">
        <f t="shared" ref="H262:H325" si="10">IFERROR(H261-F262+G262,"")</f>
        <v>-17807691.15000001</v>
      </c>
      <c r="I262" s="25" t="s">
        <v>268</v>
      </c>
      <c r="J262" s="22"/>
      <c r="K262" s="25"/>
      <c r="L262" s="25"/>
      <c r="M262" s="22"/>
    </row>
    <row r="263" spans="1:13" s="20" customFormat="1" ht="12.75">
      <c r="A263" s="14">
        <v>1256</v>
      </c>
      <c r="B263" s="21">
        <v>45034</v>
      </c>
      <c r="C263" s="15">
        <f t="shared" si="9"/>
        <v>45034</v>
      </c>
      <c r="D263" s="16"/>
      <c r="E263" s="73"/>
      <c r="F263" s="92">
        <v>3.75</v>
      </c>
      <c r="G263" s="92"/>
      <c r="H263" s="26">
        <f t="shared" si="10"/>
        <v>-17807694.90000001</v>
      </c>
      <c r="I263" s="25" t="s">
        <v>268</v>
      </c>
      <c r="J263" s="22"/>
      <c r="K263" s="25"/>
      <c r="L263" s="25"/>
      <c r="M263" s="22"/>
    </row>
    <row r="264" spans="1:13" s="20" customFormat="1" ht="12.75">
      <c r="A264" s="14">
        <v>1257</v>
      </c>
      <c r="B264" s="21">
        <v>45034</v>
      </c>
      <c r="C264" s="15">
        <f t="shared" si="9"/>
        <v>45034</v>
      </c>
      <c r="D264" s="16"/>
      <c r="E264" s="73"/>
      <c r="F264" s="92">
        <v>100</v>
      </c>
      <c r="G264" s="92"/>
      <c r="H264" s="26">
        <f t="shared" si="10"/>
        <v>-17807794.90000001</v>
      </c>
      <c r="I264" s="25" t="s">
        <v>268</v>
      </c>
      <c r="J264" s="22"/>
      <c r="K264" s="25"/>
      <c r="L264" s="25"/>
      <c r="M264" s="22"/>
    </row>
    <row r="265" spans="1:13" s="20" customFormat="1" ht="12.75">
      <c r="A265" s="14">
        <v>1258</v>
      </c>
      <c r="B265" s="21">
        <v>45034</v>
      </c>
      <c r="C265" s="15">
        <f t="shared" si="9"/>
        <v>45034</v>
      </c>
      <c r="D265" s="16"/>
      <c r="E265" s="73"/>
      <c r="F265" s="92">
        <v>130000</v>
      </c>
      <c r="G265" s="92"/>
      <c r="H265" s="26">
        <f t="shared" si="10"/>
        <v>-17937794.90000001</v>
      </c>
      <c r="I265" s="25" t="s">
        <v>275</v>
      </c>
      <c r="J265" s="22"/>
      <c r="K265" s="25"/>
      <c r="L265" s="25"/>
      <c r="M265" s="22"/>
    </row>
    <row r="266" spans="1:13" s="20" customFormat="1" ht="12.75">
      <c r="A266" s="14">
        <v>1259</v>
      </c>
      <c r="B266" s="21">
        <v>45034</v>
      </c>
      <c r="C266" s="15">
        <f t="shared" si="9"/>
        <v>45034</v>
      </c>
      <c r="D266" s="16"/>
      <c r="E266" s="73"/>
      <c r="F266" s="92">
        <v>26.88</v>
      </c>
      <c r="G266" s="92"/>
      <c r="H266" s="26">
        <f t="shared" si="10"/>
        <v>-17937821.780000009</v>
      </c>
      <c r="I266" s="25" t="s">
        <v>268</v>
      </c>
      <c r="J266" s="22"/>
      <c r="K266" s="25"/>
      <c r="L266" s="25"/>
      <c r="M266" s="22"/>
    </row>
    <row r="267" spans="1:13" s="20" customFormat="1" ht="12.75">
      <c r="A267" s="14">
        <v>1260</v>
      </c>
      <c r="B267" s="21">
        <v>45034</v>
      </c>
      <c r="C267" s="15">
        <f t="shared" si="9"/>
        <v>45034</v>
      </c>
      <c r="D267" s="16"/>
      <c r="E267" s="73"/>
      <c r="F267" s="92">
        <v>105</v>
      </c>
      <c r="G267" s="92"/>
      <c r="H267" s="26">
        <f t="shared" si="10"/>
        <v>-17937926.780000009</v>
      </c>
      <c r="I267" s="25" t="s">
        <v>268</v>
      </c>
      <c r="J267" s="22"/>
      <c r="K267" s="25"/>
      <c r="L267" s="25"/>
      <c r="M267" s="22"/>
    </row>
    <row r="268" spans="1:13" s="20" customFormat="1" ht="12.75">
      <c r="A268" s="14">
        <v>1261</v>
      </c>
      <c r="B268" s="21">
        <v>45034</v>
      </c>
      <c r="C268" s="15">
        <f t="shared" si="9"/>
        <v>45034</v>
      </c>
      <c r="D268" s="16"/>
      <c r="E268" s="73"/>
      <c r="F268" s="92">
        <v>7.88</v>
      </c>
      <c r="G268" s="92"/>
      <c r="H268" s="26">
        <f t="shared" si="10"/>
        <v>-17937934.660000008</v>
      </c>
      <c r="I268" s="25" t="s">
        <v>268</v>
      </c>
      <c r="J268" s="22"/>
      <c r="K268" s="25"/>
      <c r="L268" s="25"/>
      <c r="M268" s="22"/>
    </row>
    <row r="269" spans="1:13" s="20" customFormat="1" ht="12.75">
      <c r="A269" s="14">
        <v>1262</v>
      </c>
      <c r="B269" s="21">
        <v>45034</v>
      </c>
      <c r="C269" s="15">
        <f t="shared" si="9"/>
        <v>45034</v>
      </c>
      <c r="D269" s="16"/>
      <c r="E269" s="73"/>
      <c r="F269" s="92">
        <v>62000</v>
      </c>
      <c r="G269" s="92"/>
      <c r="H269" s="26">
        <f t="shared" si="10"/>
        <v>-17999934.660000008</v>
      </c>
      <c r="I269" s="25" t="s">
        <v>291</v>
      </c>
      <c r="J269" s="22"/>
      <c r="K269" s="25"/>
      <c r="L269" s="25"/>
      <c r="M269" s="22"/>
    </row>
    <row r="270" spans="1:13" s="20" customFormat="1" ht="12.75">
      <c r="A270" s="14">
        <v>1263</v>
      </c>
      <c r="B270" s="21">
        <v>45034</v>
      </c>
      <c r="C270" s="15">
        <f t="shared" si="9"/>
        <v>45034</v>
      </c>
      <c r="D270" s="16"/>
      <c r="E270" s="73"/>
      <c r="F270" s="92">
        <v>8000</v>
      </c>
      <c r="G270" s="92"/>
      <c r="H270" s="26">
        <f t="shared" si="10"/>
        <v>-18007934.660000008</v>
      </c>
      <c r="I270" s="25" t="s">
        <v>265</v>
      </c>
      <c r="J270" s="22"/>
      <c r="K270" s="25"/>
      <c r="L270" s="25"/>
      <c r="M270" s="22"/>
    </row>
    <row r="271" spans="1:13" s="20" customFormat="1" ht="12.75">
      <c r="A271" s="14">
        <v>1264</v>
      </c>
      <c r="B271" s="21">
        <v>45034</v>
      </c>
      <c r="C271" s="15">
        <f t="shared" si="9"/>
        <v>45034</v>
      </c>
      <c r="D271" s="16"/>
      <c r="E271" s="73"/>
      <c r="F271" s="92">
        <v>25</v>
      </c>
      <c r="G271" s="92"/>
      <c r="H271" s="26">
        <f t="shared" si="10"/>
        <v>-18007959.660000008</v>
      </c>
      <c r="I271" s="25" t="s">
        <v>268</v>
      </c>
      <c r="J271" s="22"/>
      <c r="K271" s="25"/>
      <c r="L271" s="25"/>
      <c r="M271" s="22"/>
    </row>
    <row r="272" spans="1:13" s="20" customFormat="1" ht="12.75">
      <c r="A272" s="14">
        <v>1265</v>
      </c>
      <c r="B272" s="21">
        <v>45034</v>
      </c>
      <c r="C272" s="15">
        <f t="shared" si="9"/>
        <v>45034</v>
      </c>
      <c r="D272" s="16"/>
      <c r="E272" s="73"/>
      <c r="F272" s="92">
        <v>1.87</v>
      </c>
      <c r="G272" s="92"/>
      <c r="H272" s="26">
        <f t="shared" si="10"/>
        <v>-18007961.530000009</v>
      </c>
      <c r="I272" s="25" t="s">
        <v>268</v>
      </c>
      <c r="J272" s="22"/>
      <c r="K272" s="25"/>
      <c r="L272" s="25"/>
      <c r="M272" s="22"/>
    </row>
    <row r="273" spans="1:13" s="20" customFormat="1" ht="12.75">
      <c r="A273" s="14">
        <v>1266</v>
      </c>
      <c r="B273" s="21">
        <v>45034</v>
      </c>
      <c r="C273" s="15">
        <f t="shared" si="9"/>
        <v>45034</v>
      </c>
      <c r="D273" s="16"/>
      <c r="E273" s="73"/>
      <c r="F273" s="92">
        <v>54000</v>
      </c>
      <c r="G273" s="92"/>
      <c r="H273" s="26">
        <f t="shared" si="10"/>
        <v>-18061961.530000009</v>
      </c>
      <c r="I273" s="25" t="s">
        <v>291</v>
      </c>
      <c r="J273" s="22"/>
      <c r="K273" s="25"/>
      <c r="L273" s="25"/>
      <c r="M273" s="22"/>
    </row>
    <row r="274" spans="1:13" s="20" customFormat="1" ht="12.75">
      <c r="A274" s="14">
        <v>1267</v>
      </c>
      <c r="B274" s="21">
        <v>45034</v>
      </c>
      <c r="C274" s="15">
        <f t="shared" si="9"/>
        <v>45034</v>
      </c>
      <c r="D274" s="16"/>
      <c r="E274" s="73"/>
      <c r="F274" s="92">
        <v>50</v>
      </c>
      <c r="G274" s="92"/>
      <c r="H274" s="26">
        <f t="shared" si="10"/>
        <v>-18062011.530000009</v>
      </c>
      <c r="I274" s="25" t="s">
        <v>268</v>
      </c>
      <c r="J274" s="22"/>
      <c r="K274" s="25"/>
      <c r="L274" s="25"/>
      <c r="M274" s="22"/>
    </row>
    <row r="275" spans="1:13" s="20" customFormat="1" ht="12.75">
      <c r="A275" s="14">
        <v>1268</v>
      </c>
      <c r="B275" s="21">
        <v>45034</v>
      </c>
      <c r="C275" s="15">
        <f t="shared" si="9"/>
        <v>45034</v>
      </c>
      <c r="D275" s="16"/>
      <c r="E275" s="73"/>
      <c r="F275" s="92">
        <v>3.75</v>
      </c>
      <c r="G275" s="92"/>
      <c r="H275" s="26">
        <f t="shared" si="10"/>
        <v>-18062015.280000009</v>
      </c>
      <c r="I275" s="25" t="s">
        <v>268</v>
      </c>
      <c r="J275" s="22"/>
      <c r="K275" s="25"/>
      <c r="L275" s="25"/>
      <c r="M275" s="22"/>
    </row>
    <row r="276" spans="1:13" s="20" customFormat="1" ht="12.75">
      <c r="A276" s="14">
        <v>1269</v>
      </c>
      <c r="B276" s="21">
        <v>45034</v>
      </c>
      <c r="C276" s="15">
        <f t="shared" si="9"/>
        <v>45034</v>
      </c>
      <c r="D276" s="16"/>
      <c r="E276" s="73"/>
      <c r="F276" s="92">
        <v>78963.679999999993</v>
      </c>
      <c r="G276" s="92"/>
      <c r="H276" s="26">
        <f t="shared" si="10"/>
        <v>-18140978.960000008</v>
      </c>
      <c r="I276" s="25" t="s">
        <v>277</v>
      </c>
      <c r="J276" s="22"/>
      <c r="K276" s="25"/>
      <c r="L276" s="25"/>
      <c r="M276" s="22"/>
    </row>
    <row r="277" spans="1:13" s="20" customFormat="1" ht="12.75">
      <c r="A277" s="14">
        <v>1270</v>
      </c>
      <c r="B277" s="21">
        <v>45034</v>
      </c>
      <c r="C277" s="15">
        <f t="shared" si="9"/>
        <v>45034</v>
      </c>
      <c r="D277" s="16"/>
      <c r="E277" s="73"/>
      <c r="F277" s="92">
        <v>1045169.79</v>
      </c>
      <c r="G277" s="92"/>
      <c r="H277" s="26">
        <f t="shared" si="10"/>
        <v>-19186148.750000007</v>
      </c>
      <c r="I277" s="25" t="s">
        <v>282</v>
      </c>
      <c r="J277" s="22"/>
      <c r="K277" s="25"/>
      <c r="L277" s="25"/>
      <c r="M277" s="22"/>
    </row>
    <row r="278" spans="1:13" s="20" customFormat="1" ht="12.75">
      <c r="A278" s="14">
        <v>1271</v>
      </c>
      <c r="B278" s="21">
        <v>45034</v>
      </c>
      <c r="C278" s="15">
        <f t="shared" si="9"/>
        <v>45034</v>
      </c>
      <c r="D278" s="16"/>
      <c r="E278" s="73"/>
      <c r="F278" s="92">
        <v>50</v>
      </c>
      <c r="G278" s="92"/>
      <c r="H278" s="26">
        <f t="shared" si="10"/>
        <v>-19186198.750000007</v>
      </c>
      <c r="I278" s="25" t="s">
        <v>268</v>
      </c>
      <c r="J278" s="22"/>
      <c r="K278" s="25"/>
      <c r="L278" s="25"/>
      <c r="M278" s="22"/>
    </row>
    <row r="279" spans="1:13" s="20" customFormat="1" ht="12.75">
      <c r="A279" s="14">
        <v>1272</v>
      </c>
      <c r="B279" s="21">
        <v>45034</v>
      </c>
      <c r="C279" s="15">
        <f t="shared" si="9"/>
        <v>45034</v>
      </c>
      <c r="D279" s="16"/>
      <c r="E279" s="73"/>
      <c r="F279" s="92">
        <v>3.75</v>
      </c>
      <c r="G279" s="92"/>
      <c r="H279" s="26">
        <f t="shared" si="10"/>
        <v>-19186202.500000007</v>
      </c>
      <c r="I279" s="25" t="s">
        <v>268</v>
      </c>
      <c r="J279" s="22"/>
      <c r="K279" s="25"/>
      <c r="L279" s="25"/>
      <c r="M279" s="22"/>
    </row>
    <row r="280" spans="1:13" s="20" customFormat="1" ht="12.75">
      <c r="A280" s="14">
        <v>1273</v>
      </c>
      <c r="B280" s="21">
        <v>45034</v>
      </c>
      <c r="C280" s="15">
        <f t="shared" si="9"/>
        <v>45034</v>
      </c>
      <c r="D280" s="16"/>
      <c r="E280" s="73"/>
      <c r="F280" s="92"/>
      <c r="G280" s="92">
        <v>11250000</v>
      </c>
      <c r="H280" s="26">
        <f t="shared" si="10"/>
        <v>-7936202.5000000075</v>
      </c>
      <c r="I280" s="25" t="s">
        <v>300</v>
      </c>
      <c r="J280" s="22"/>
      <c r="K280" s="25"/>
      <c r="L280" s="25"/>
      <c r="M280" s="22"/>
    </row>
    <row r="281" spans="1:13" s="20" customFormat="1" ht="12.75">
      <c r="A281" s="14">
        <v>1274</v>
      </c>
      <c r="B281" s="21">
        <v>45035</v>
      </c>
      <c r="C281" s="15">
        <f t="shared" si="9"/>
        <v>45035</v>
      </c>
      <c r="D281" s="16"/>
      <c r="E281" s="73"/>
      <c r="F281" s="92">
        <v>50</v>
      </c>
      <c r="G281" s="92"/>
      <c r="H281" s="26">
        <f t="shared" si="10"/>
        <v>-7936252.5000000075</v>
      </c>
      <c r="I281" s="25" t="s">
        <v>268</v>
      </c>
      <c r="J281" s="22"/>
      <c r="K281" s="25"/>
      <c r="L281" s="25"/>
      <c r="M281" s="22"/>
    </row>
    <row r="282" spans="1:13" s="20" customFormat="1" ht="12.75">
      <c r="A282" s="14">
        <v>1275</v>
      </c>
      <c r="B282" s="21">
        <v>45037</v>
      </c>
      <c r="C282" s="15">
        <f t="shared" si="9"/>
        <v>45037</v>
      </c>
      <c r="D282" s="16"/>
      <c r="E282" s="73"/>
      <c r="F282" s="92">
        <v>95711.46</v>
      </c>
      <c r="G282" s="92"/>
      <c r="H282" s="26">
        <f t="shared" si="10"/>
        <v>-8031963.9600000074</v>
      </c>
      <c r="I282" s="25" t="s">
        <v>271</v>
      </c>
      <c r="J282" s="22"/>
      <c r="K282" s="25"/>
      <c r="L282" s="25"/>
      <c r="M282" s="22"/>
    </row>
    <row r="283" spans="1:13" s="20" customFormat="1" ht="12.75">
      <c r="A283" s="14">
        <v>1276</v>
      </c>
      <c r="B283" s="21">
        <v>45037</v>
      </c>
      <c r="C283" s="15">
        <f t="shared" si="9"/>
        <v>45037</v>
      </c>
      <c r="D283" s="16"/>
      <c r="E283" s="73"/>
      <c r="F283" s="92">
        <v>35994.93</v>
      </c>
      <c r="G283" s="92"/>
      <c r="H283" s="26">
        <f t="shared" si="10"/>
        <v>-8067958.8900000071</v>
      </c>
      <c r="I283" s="25" t="s">
        <v>271</v>
      </c>
      <c r="J283" s="22"/>
      <c r="K283" s="25"/>
      <c r="L283" s="25"/>
      <c r="M283" s="22"/>
    </row>
    <row r="284" spans="1:13" s="20" customFormat="1" ht="12.75">
      <c r="A284" s="14">
        <v>1277</v>
      </c>
      <c r="B284" s="21">
        <v>45037</v>
      </c>
      <c r="C284" s="15">
        <f t="shared" si="9"/>
        <v>45037</v>
      </c>
      <c r="D284" s="16"/>
      <c r="E284" s="73"/>
      <c r="F284" s="92">
        <v>43000</v>
      </c>
      <c r="G284" s="92"/>
      <c r="H284" s="26">
        <f t="shared" si="10"/>
        <v>-8110958.8900000071</v>
      </c>
      <c r="I284" s="25" t="s">
        <v>281</v>
      </c>
      <c r="J284" s="22"/>
      <c r="K284" s="25"/>
      <c r="L284" s="25"/>
      <c r="M284" s="22"/>
    </row>
    <row r="285" spans="1:13" s="20" customFormat="1" ht="12.75">
      <c r="A285" s="14">
        <v>1278</v>
      </c>
      <c r="B285" s="21">
        <v>45037</v>
      </c>
      <c r="C285" s="15">
        <f t="shared" si="9"/>
        <v>45037</v>
      </c>
      <c r="D285" s="16"/>
      <c r="E285" s="73"/>
      <c r="F285" s="92">
        <v>25</v>
      </c>
      <c r="G285" s="92"/>
      <c r="H285" s="26">
        <f t="shared" si="10"/>
        <v>-8110983.8900000071</v>
      </c>
      <c r="I285" s="25" t="s">
        <v>268</v>
      </c>
      <c r="J285" s="22"/>
      <c r="K285" s="25"/>
      <c r="L285" s="25"/>
      <c r="M285" s="22"/>
    </row>
    <row r="286" spans="1:13" s="20" customFormat="1" ht="12.75">
      <c r="A286" s="14">
        <v>1279</v>
      </c>
      <c r="B286" s="21">
        <v>45037</v>
      </c>
      <c r="C286" s="15">
        <f t="shared" si="9"/>
        <v>45037</v>
      </c>
      <c r="D286" s="16"/>
      <c r="E286" s="73"/>
      <c r="F286" s="92">
        <v>1.87</v>
      </c>
      <c r="G286" s="92"/>
      <c r="H286" s="26">
        <f t="shared" si="10"/>
        <v>-8110985.7600000072</v>
      </c>
      <c r="I286" s="25" t="s">
        <v>268</v>
      </c>
      <c r="J286" s="22"/>
      <c r="K286" s="25"/>
      <c r="L286" s="25"/>
      <c r="M286" s="22"/>
    </row>
    <row r="287" spans="1:13" s="20" customFormat="1" ht="12.75">
      <c r="A287" s="14">
        <v>1280</v>
      </c>
      <c r="B287" s="21">
        <v>45037</v>
      </c>
      <c r="C287" s="15">
        <f t="shared" si="9"/>
        <v>45037</v>
      </c>
      <c r="D287" s="16"/>
      <c r="E287" s="73"/>
      <c r="F287" s="92">
        <v>42550</v>
      </c>
      <c r="G287" s="92"/>
      <c r="H287" s="26">
        <f t="shared" si="10"/>
        <v>-8153535.7600000072</v>
      </c>
      <c r="I287" s="25" t="s">
        <v>284</v>
      </c>
      <c r="J287" s="22"/>
      <c r="K287" s="25"/>
      <c r="L287" s="25"/>
      <c r="M287" s="22"/>
    </row>
    <row r="288" spans="1:13" s="20" customFormat="1" ht="12.75">
      <c r="A288" s="14">
        <v>1281</v>
      </c>
      <c r="B288" s="21">
        <v>45037</v>
      </c>
      <c r="C288" s="15">
        <f t="shared" si="9"/>
        <v>45037</v>
      </c>
      <c r="D288" s="16"/>
      <c r="E288" s="73"/>
      <c r="F288" s="92">
        <v>25</v>
      </c>
      <c r="G288" s="92"/>
      <c r="H288" s="26">
        <f t="shared" si="10"/>
        <v>-8153560.7600000072</v>
      </c>
      <c r="I288" s="25" t="s">
        <v>268</v>
      </c>
      <c r="J288" s="22"/>
      <c r="K288" s="25"/>
      <c r="L288" s="25"/>
      <c r="M288" s="22"/>
    </row>
    <row r="289" spans="1:13" s="20" customFormat="1" ht="12.75">
      <c r="A289" s="14">
        <v>1282</v>
      </c>
      <c r="B289" s="21">
        <v>45037</v>
      </c>
      <c r="C289" s="15">
        <f t="shared" si="9"/>
        <v>45037</v>
      </c>
      <c r="D289" s="16"/>
      <c r="E289" s="73"/>
      <c r="F289" s="92">
        <v>1.87</v>
      </c>
      <c r="G289" s="92"/>
      <c r="H289" s="26">
        <f t="shared" si="10"/>
        <v>-8153562.6300000073</v>
      </c>
      <c r="I289" s="25" t="s">
        <v>268</v>
      </c>
      <c r="J289" s="22"/>
      <c r="K289" s="25"/>
      <c r="L289" s="25"/>
      <c r="M289" s="22"/>
    </row>
    <row r="290" spans="1:13" s="20" customFormat="1" ht="12.75">
      <c r="A290" s="14">
        <v>1283</v>
      </c>
      <c r="B290" s="21">
        <v>45044</v>
      </c>
      <c r="C290" s="15">
        <f t="shared" si="9"/>
        <v>45044</v>
      </c>
      <c r="D290" s="16"/>
      <c r="E290" s="73"/>
      <c r="F290" s="92">
        <v>50000</v>
      </c>
      <c r="G290" s="92"/>
      <c r="H290" s="26">
        <f t="shared" si="10"/>
        <v>-8203562.6300000073</v>
      </c>
      <c r="I290" s="25" t="s">
        <v>276</v>
      </c>
      <c r="J290" s="22"/>
      <c r="K290" s="25"/>
      <c r="L290" s="25"/>
      <c r="M290" s="22"/>
    </row>
    <row r="291" spans="1:13" s="20" customFormat="1" ht="12.75">
      <c r="A291" s="14">
        <v>1284</v>
      </c>
      <c r="B291" s="21">
        <v>45044</v>
      </c>
      <c r="C291" s="15">
        <f t="shared" si="9"/>
        <v>45044</v>
      </c>
      <c r="D291" s="16"/>
      <c r="E291" s="73"/>
      <c r="F291" s="92">
        <v>50</v>
      </c>
      <c r="G291" s="92"/>
      <c r="H291" s="26">
        <f t="shared" si="10"/>
        <v>-8203612.6300000073</v>
      </c>
      <c r="I291" s="25" t="s">
        <v>268</v>
      </c>
      <c r="J291" s="22"/>
      <c r="K291" s="25"/>
      <c r="L291" s="25"/>
      <c r="M291" s="22"/>
    </row>
    <row r="292" spans="1:13" s="20" customFormat="1" ht="12.75">
      <c r="A292" s="14">
        <v>1285</v>
      </c>
      <c r="B292" s="21">
        <v>45044</v>
      </c>
      <c r="C292" s="15">
        <f t="shared" si="9"/>
        <v>45044</v>
      </c>
      <c r="D292" s="16"/>
      <c r="E292" s="73"/>
      <c r="F292" s="92">
        <v>50000</v>
      </c>
      <c r="G292" s="92"/>
      <c r="H292" s="26">
        <f t="shared" si="10"/>
        <v>-8253612.6300000073</v>
      </c>
      <c r="I292" s="25" t="s">
        <v>276</v>
      </c>
      <c r="J292" s="22"/>
      <c r="K292" s="25"/>
      <c r="L292" s="25"/>
      <c r="M292" s="22"/>
    </row>
    <row r="293" spans="1:13" s="20" customFormat="1" ht="12.75">
      <c r="A293" s="14">
        <v>1286</v>
      </c>
      <c r="B293" s="21">
        <v>45044</v>
      </c>
      <c r="C293" s="15">
        <f t="shared" si="9"/>
        <v>45044</v>
      </c>
      <c r="D293" s="16"/>
      <c r="E293" s="73"/>
      <c r="F293" s="92">
        <v>50</v>
      </c>
      <c r="G293" s="92"/>
      <c r="H293" s="26">
        <f t="shared" si="10"/>
        <v>-8253662.6300000073</v>
      </c>
      <c r="I293" s="25" t="s">
        <v>268</v>
      </c>
      <c r="J293" s="22"/>
      <c r="K293" s="25"/>
      <c r="L293" s="25"/>
      <c r="M293" s="22"/>
    </row>
    <row r="294" spans="1:13" s="20" customFormat="1" ht="12.75">
      <c r="A294" s="14">
        <v>1287</v>
      </c>
      <c r="B294" s="21">
        <v>45044</v>
      </c>
      <c r="C294" s="15">
        <f t="shared" si="9"/>
        <v>45044</v>
      </c>
      <c r="D294" s="16"/>
      <c r="E294" s="73"/>
      <c r="F294" s="92">
        <v>1200000</v>
      </c>
      <c r="G294" s="92"/>
      <c r="H294" s="26">
        <f t="shared" si="10"/>
        <v>-9453662.6300000064</v>
      </c>
      <c r="I294" s="25" t="s">
        <v>276</v>
      </c>
      <c r="J294" s="22"/>
      <c r="K294" s="25"/>
      <c r="L294" s="25"/>
      <c r="M294" s="22"/>
    </row>
    <row r="295" spans="1:13" s="20" customFormat="1" ht="12.75">
      <c r="A295" s="14">
        <v>1288</v>
      </c>
      <c r="B295" s="21">
        <v>45044</v>
      </c>
      <c r="C295" s="15">
        <f t="shared" si="9"/>
        <v>45044</v>
      </c>
      <c r="D295" s="16"/>
      <c r="E295" s="73"/>
      <c r="F295" s="92">
        <v>50</v>
      </c>
      <c r="G295" s="92"/>
      <c r="H295" s="26">
        <f t="shared" si="10"/>
        <v>-9453712.6300000064</v>
      </c>
      <c r="I295" s="25" t="s">
        <v>268</v>
      </c>
      <c r="J295" s="22"/>
      <c r="K295" s="25"/>
      <c r="L295" s="25"/>
      <c r="M295" s="22"/>
    </row>
    <row r="296" spans="1:13" s="20" customFormat="1" ht="12.75">
      <c r="A296" s="14">
        <v>1289</v>
      </c>
      <c r="B296" s="21">
        <v>45044</v>
      </c>
      <c r="C296" s="15">
        <f t="shared" si="9"/>
        <v>45044</v>
      </c>
      <c r="D296" s="16"/>
      <c r="E296" s="73"/>
      <c r="F296" s="92">
        <v>30000</v>
      </c>
      <c r="G296" s="92"/>
      <c r="H296" s="26">
        <f t="shared" si="10"/>
        <v>-9483712.6300000064</v>
      </c>
      <c r="I296" s="25" t="s">
        <v>295</v>
      </c>
      <c r="J296" s="22"/>
      <c r="K296" s="25"/>
      <c r="L296" s="25"/>
      <c r="M296" s="22"/>
    </row>
    <row r="297" spans="1:13" s="20" customFormat="1" ht="12.75">
      <c r="A297" s="14">
        <v>1290</v>
      </c>
      <c r="B297" s="21">
        <v>45044</v>
      </c>
      <c r="C297" s="15">
        <f t="shared" si="9"/>
        <v>45044</v>
      </c>
      <c r="D297" s="16"/>
      <c r="E297" s="73"/>
      <c r="F297" s="92">
        <v>23000</v>
      </c>
      <c r="G297" s="92"/>
      <c r="H297" s="26">
        <f t="shared" si="10"/>
        <v>-9506712.6300000064</v>
      </c>
      <c r="I297" s="25" t="s">
        <v>275</v>
      </c>
      <c r="J297" s="22"/>
      <c r="K297" s="25"/>
      <c r="L297" s="25"/>
      <c r="M297" s="22"/>
    </row>
    <row r="298" spans="1:13" s="20" customFormat="1" ht="12.75">
      <c r="A298" s="14">
        <v>1291</v>
      </c>
      <c r="B298" s="21">
        <v>45044</v>
      </c>
      <c r="C298" s="15">
        <f t="shared" si="9"/>
        <v>45044</v>
      </c>
      <c r="D298" s="16"/>
      <c r="E298" s="73"/>
      <c r="F298" s="92">
        <v>25</v>
      </c>
      <c r="G298" s="92"/>
      <c r="H298" s="26">
        <f t="shared" si="10"/>
        <v>-9506737.6300000064</v>
      </c>
      <c r="I298" s="25" t="s">
        <v>268</v>
      </c>
      <c r="J298" s="22"/>
      <c r="K298" s="25"/>
      <c r="L298" s="25"/>
      <c r="M298" s="22"/>
    </row>
    <row r="299" spans="1:13" s="20" customFormat="1" ht="12.75">
      <c r="A299" s="14">
        <v>1292</v>
      </c>
      <c r="B299" s="21">
        <v>45044</v>
      </c>
      <c r="C299" s="15">
        <f t="shared" si="9"/>
        <v>45044</v>
      </c>
      <c r="D299" s="16"/>
      <c r="E299" s="73"/>
      <c r="F299" s="92">
        <v>1.87</v>
      </c>
      <c r="G299" s="92"/>
      <c r="H299" s="26">
        <f t="shared" si="10"/>
        <v>-9506739.5000000056</v>
      </c>
      <c r="I299" s="25" t="s">
        <v>268</v>
      </c>
      <c r="J299" s="22"/>
      <c r="K299" s="25"/>
      <c r="L299" s="25"/>
      <c r="M299" s="22"/>
    </row>
    <row r="300" spans="1:13" s="20" customFormat="1" ht="12.75">
      <c r="A300" s="14">
        <v>1293</v>
      </c>
      <c r="B300" s="21">
        <v>45045</v>
      </c>
      <c r="C300" s="15">
        <f t="shared" si="9"/>
        <v>45045</v>
      </c>
      <c r="D300" s="16"/>
      <c r="E300" s="73"/>
      <c r="F300" s="92">
        <v>6404407.0099999998</v>
      </c>
      <c r="G300" s="92"/>
      <c r="H300" s="26">
        <f t="shared" si="10"/>
        <v>-15911146.510000005</v>
      </c>
      <c r="I300" s="25" t="s">
        <v>271</v>
      </c>
      <c r="J300" s="22"/>
      <c r="K300" s="25"/>
      <c r="L300" s="25"/>
      <c r="M300" s="22"/>
    </row>
    <row r="301" spans="1:13" s="20" customFormat="1" ht="12.75">
      <c r="A301" s="14">
        <v>1294</v>
      </c>
      <c r="B301" s="21">
        <v>45045</v>
      </c>
      <c r="C301" s="15">
        <f t="shared" si="9"/>
        <v>45045</v>
      </c>
      <c r="D301" s="16"/>
      <c r="E301" s="73"/>
      <c r="F301" s="92">
        <v>456.88</v>
      </c>
      <c r="G301" s="92"/>
      <c r="H301" s="26">
        <f t="shared" si="10"/>
        <v>-15911603.390000006</v>
      </c>
      <c r="I301" s="25" t="s">
        <v>268</v>
      </c>
      <c r="J301" s="22"/>
      <c r="K301" s="25"/>
      <c r="L301" s="25"/>
      <c r="M301" s="22"/>
    </row>
    <row r="302" spans="1:13" s="20" customFormat="1" ht="12.75">
      <c r="A302" s="14">
        <v>1295</v>
      </c>
      <c r="B302" s="21">
        <v>45045</v>
      </c>
      <c r="C302" s="15">
        <f t="shared" ref="C302:C365" si="11">B302</f>
        <v>45045</v>
      </c>
      <c r="D302" s="16"/>
      <c r="E302" s="73"/>
      <c r="F302" s="92">
        <v>3500</v>
      </c>
      <c r="G302" s="92"/>
      <c r="H302" s="26">
        <f t="shared" si="10"/>
        <v>-15915103.390000006</v>
      </c>
      <c r="I302" s="25" t="s">
        <v>281</v>
      </c>
      <c r="J302" s="22"/>
      <c r="K302" s="25"/>
      <c r="L302" s="25"/>
      <c r="M302" s="22"/>
    </row>
    <row r="303" spans="1:13" s="20" customFormat="1" ht="12.75">
      <c r="A303" s="14">
        <v>1296</v>
      </c>
      <c r="B303" s="21">
        <v>45045</v>
      </c>
      <c r="C303" s="15">
        <f t="shared" si="11"/>
        <v>45045</v>
      </c>
      <c r="D303" s="16"/>
      <c r="E303" s="73"/>
      <c r="F303" s="92">
        <v>10</v>
      </c>
      <c r="G303" s="92"/>
      <c r="H303" s="26">
        <f t="shared" si="10"/>
        <v>-15915113.390000006</v>
      </c>
      <c r="I303" s="25" t="s">
        <v>268</v>
      </c>
      <c r="J303" s="22"/>
      <c r="K303" s="25"/>
      <c r="L303" s="25"/>
      <c r="M303" s="22"/>
    </row>
    <row r="304" spans="1:13" s="20" customFormat="1" ht="12.75">
      <c r="A304" s="14">
        <v>1297</v>
      </c>
      <c r="B304" s="21">
        <v>45045</v>
      </c>
      <c r="C304" s="15">
        <f t="shared" si="11"/>
        <v>45045</v>
      </c>
      <c r="D304" s="16"/>
      <c r="E304" s="73"/>
      <c r="F304" s="92">
        <v>0.75</v>
      </c>
      <c r="G304" s="92"/>
      <c r="H304" s="26">
        <f t="shared" si="10"/>
        <v>-15915114.140000006</v>
      </c>
      <c r="I304" s="25" t="s">
        <v>268</v>
      </c>
      <c r="J304" s="22"/>
      <c r="K304" s="25"/>
      <c r="L304" s="25"/>
      <c r="M304" s="22"/>
    </row>
    <row r="305" spans="1:13" s="20" customFormat="1" ht="12.75">
      <c r="A305" s="14">
        <v>1298</v>
      </c>
      <c r="B305" s="21">
        <v>45045</v>
      </c>
      <c r="C305" s="15">
        <f t="shared" si="11"/>
        <v>45045</v>
      </c>
      <c r="D305" s="16"/>
      <c r="E305" s="73"/>
      <c r="F305" s="92">
        <v>200000</v>
      </c>
      <c r="G305" s="92"/>
      <c r="H305" s="26">
        <f t="shared" si="10"/>
        <v>-16115114.140000006</v>
      </c>
      <c r="I305" s="25" t="s">
        <v>275</v>
      </c>
      <c r="J305" s="22"/>
      <c r="K305" s="25"/>
      <c r="L305" s="25"/>
      <c r="M305" s="22"/>
    </row>
    <row r="306" spans="1:13" s="20" customFormat="1" ht="12.75">
      <c r="A306" s="14">
        <v>1299</v>
      </c>
      <c r="B306" s="21">
        <v>45045</v>
      </c>
      <c r="C306" s="15">
        <f t="shared" si="11"/>
        <v>45045</v>
      </c>
      <c r="D306" s="16"/>
      <c r="E306" s="73"/>
      <c r="F306" s="92">
        <v>540</v>
      </c>
      <c r="G306" s="92"/>
      <c r="H306" s="26">
        <f t="shared" si="10"/>
        <v>-16115654.140000006</v>
      </c>
      <c r="I306" s="25" t="s">
        <v>268</v>
      </c>
      <c r="J306" s="22"/>
      <c r="K306" s="25"/>
      <c r="L306" s="25"/>
      <c r="M306" s="22"/>
    </row>
    <row r="307" spans="1:13" s="20" customFormat="1" ht="12.75">
      <c r="A307" s="14">
        <v>1300</v>
      </c>
      <c r="B307" s="21">
        <v>45045</v>
      </c>
      <c r="C307" s="15">
        <f t="shared" si="11"/>
        <v>45045</v>
      </c>
      <c r="D307" s="16"/>
      <c r="E307" s="73"/>
      <c r="F307" s="92">
        <v>40.5</v>
      </c>
      <c r="G307" s="92"/>
      <c r="H307" s="26">
        <f t="shared" si="10"/>
        <v>-16115694.640000006</v>
      </c>
      <c r="I307" s="25" t="s">
        <v>268</v>
      </c>
      <c r="J307" s="22"/>
      <c r="K307" s="25"/>
      <c r="L307" s="25"/>
      <c r="M307" s="22"/>
    </row>
    <row r="308" spans="1:13" s="20" customFormat="1" ht="12.75">
      <c r="A308" s="14">
        <v>1301</v>
      </c>
      <c r="B308" s="21">
        <v>45045</v>
      </c>
      <c r="C308" s="15">
        <f t="shared" si="11"/>
        <v>45045</v>
      </c>
      <c r="D308" s="16"/>
      <c r="E308" s="73"/>
      <c r="F308" s="92">
        <v>9975</v>
      </c>
      <c r="G308" s="92"/>
      <c r="H308" s="26">
        <f t="shared" si="10"/>
        <v>-16125669.640000006</v>
      </c>
      <c r="I308" s="25" t="s">
        <v>284</v>
      </c>
      <c r="J308" s="22"/>
      <c r="K308" s="25"/>
      <c r="L308" s="25"/>
      <c r="M308" s="22"/>
    </row>
    <row r="309" spans="1:13" s="20" customFormat="1" ht="12.75">
      <c r="A309" s="14">
        <v>1302</v>
      </c>
      <c r="B309" s="21">
        <v>45045</v>
      </c>
      <c r="C309" s="15">
        <f t="shared" si="11"/>
        <v>45045</v>
      </c>
      <c r="D309" s="16"/>
      <c r="E309" s="73"/>
      <c r="F309" s="92">
        <v>25</v>
      </c>
      <c r="G309" s="92"/>
      <c r="H309" s="26">
        <f t="shared" si="10"/>
        <v>-16125694.640000006</v>
      </c>
      <c r="I309" s="25" t="s">
        <v>268</v>
      </c>
      <c r="J309" s="22"/>
      <c r="K309" s="25"/>
      <c r="L309" s="25"/>
      <c r="M309" s="22"/>
    </row>
    <row r="310" spans="1:13" s="20" customFormat="1" ht="12.75">
      <c r="A310" s="14">
        <v>1303</v>
      </c>
      <c r="B310" s="21">
        <v>45045</v>
      </c>
      <c r="C310" s="15">
        <f t="shared" si="11"/>
        <v>45045</v>
      </c>
      <c r="D310" s="16"/>
      <c r="E310" s="73"/>
      <c r="F310" s="92">
        <v>1.87</v>
      </c>
      <c r="G310" s="92"/>
      <c r="H310" s="26">
        <f t="shared" si="10"/>
        <v>-16125696.510000005</v>
      </c>
      <c r="I310" s="25" t="s">
        <v>268</v>
      </c>
      <c r="J310" s="22"/>
      <c r="K310" s="25"/>
      <c r="L310" s="25"/>
      <c r="M310" s="22"/>
    </row>
    <row r="311" spans="1:13" s="20" customFormat="1" ht="12.75">
      <c r="A311" s="14">
        <v>1304</v>
      </c>
      <c r="B311" s="21">
        <v>45045</v>
      </c>
      <c r="C311" s="15">
        <f t="shared" si="11"/>
        <v>45045</v>
      </c>
      <c r="D311" s="16"/>
      <c r="E311" s="73"/>
      <c r="F311" s="92">
        <v>100000</v>
      </c>
      <c r="G311" s="92"/>
      <c r="H311" s="26">
        <f t="shared" si="10"/>
        <v>-16225696.510000005</v>
      </c>
      <c r="I311" s="25" t="s">
        <v>289</v>
      </c>
      <c r="J311" s="22"/>
      <c r="K311" s="25"/>
      <c r="L311" s="25"/>
      <c r="M311" s="22"/>
    </row>
    <row r="312" spans="1:13" s="20" customFormat="1" ht="12.75">
      <c r="A312" s="14">
        <v>1305</v>
      </c>
      <c r="B312" s="21">
        <v>45045</v>
      </c>
      <c r="C312" s="15">
        <f t="shared" si="11"/>
        <v>45045</v>
      </c>
      <c r="D312" s="16"/>
      <c r="E312" s="73"/>
      <c r="F312" s="92">
        <v>152000</v>
      </c>
      <c r="G312" s="92"/>
      <c r="H312" s="26">
        <f t="shared" si="10"/>
        <v>-16377696.510000005</v>
      </c>
      <c r="I312" s="25" t="s">
        <v>290</v>
      </c>
      <c r="J312" s="22"/>
      <c r="K312" s="25"/>
      <c r="L312" s="25"/>
      <c r="M312" s="22"/>
    </row>
    <row r="313" spans="1:13" s="20" customFormat="1" ht="12.75">
      <c r="A313" s="14">
        <v>1306</v>
      </c>
      <c r="B313" s="21">
        <v>45045</v>
      </c>
      <c r="C313" s="15">
        <f t="shared" si="11"/>
        <v>45045</v>
      </c>
      <c r="D313" s="16"/>
      <c r="E313" s="73"/>
      <c r="F313" s="92">
        <v>50</v>
      </c>
      <c r="G313" s="92"/>
      <c r="H313" s="26">
        <f t="shared" si="10"/>
        <v>-16377746.510000005</v>
      </c>
      <c r="I313" s="25" t="s">
        <v>268</v>
      </c>
      <c r="J313" s="22"/>
      <c r="K313" s="25"/>
      <c r="L313" s="25"/>
      <c r="M313" s="22"/>
    </row>
    <row r="314" spans="1:13" s="20" customFormat="1" ht="12.75">
      <c r="A314" s="14">
        <v>1307</v>
      </c>
      <c r="B314" s="21">
        <v>45045</v>
      </c>
      <c r="C314" s="15">
        <f t="shared" si="11"/>
        <v>45045</v>
      </c>
      <c r="D314" s="16"/>
      <c r="E314" s="73"/>
      <c r="F314" s="92">
        <v>3.75</v>
      </c>
      <c r="G314" s="92"/>
      <c r="H314" s="26">
        <f t="shared" si="10"/>
        <v>-16377750.260000005</v>
      </c>
      <c r="I314" s="25" t="s">
        <v>268</v>
      </c>
      <c r="J314" s="22"/>
      <c r="K314" s="25"/>
      <c r="L314" s="25"/>
      <c r="M314" s="22"/>
    </row>
    <row r="315" spans="1:13" s="20" customFormat="1" ht="12.75">
      <c r="A315" s="14">
        <v>1308</v>
      </c>
      <c r="B315" s="21">
        <v>45045</v>
      </c>
      <c r="C315" s="15">
        <f t="shared" si="11"/>
        <v>45045</v>
      </c>
      <c r="D315" s="16"/>
      <c r="E315" s="73"/>
      <c r="F315" s="92">
        <v>30000</v>
      </c>
      <c r="G315" s="92"/>
      <c r="H315" s="26">
        <f t="shared" si="10"/>
        <v>-16407750.260000005</v>
      </c>
      <c r="I315" s="25" t="s">
        <v>268</v>
      </c>
      <c r="J315" s="22"/>
      <c r="K315" s="25"/>
      <c r="L315" s="25"/>
      <c r="M315" s="22"/>
    </row>
    <row r="316" spans="1:13" s="20" customFormat="1" ht="12.75">
      <c r="A316" s="14">
        <v>1309</v>
      </c>
      <c r="B316" s="21">
        <v>45045</v>
      </c>
      <c r="C316" s="15">
        <f t="shared" si="11"/>
        <v>45045</v>
      </c>
      <c r="D316" s="16"/>
      <c r="E316" s="73"/>
      <c r="F316" s="92">
        <v>25</v>
      </c>
      <c r="G316" s="92"/>
      <c r="H316" s="26">
        <f t="shared" si="10"/>
        <v>-16407775.260000005</v>
      </c>
      <c r="I316" s="25" t="s">
        <v>268</v>
      </c>
      <c r="J316" s="22"/>
      <c r="K316" s="25"/>
      <c r="L316" s="25"/>
      <c r="M316" s="22"/>
    </row>
    <row r="317" spans="1:13" s="20" customFormat="1" ht="12.75">
      <c r="A317" s="14">
        <v>1310</v>
      </c>
      <c r="B317" s="21">
        <v>45045</v>
      </c>
      <c r="C317" s="15">
        <f t="shared" si="11"/>
        <v>45045</v>
      </c>
      <c r="D317" s="16"/>
      <c r="E317" s="73"/>
      <c r="F317" s="92">
        <v>1.87</v>
      </c>
      <c r="G317" s="92"/>
      <c r="H317" s="26">
        <f t="shared" si="10"/>
        <v>-16407777.130000005</v>
      </c>
      <c r="I317" s="25" t="s">
        <v>268</v>
      </c>
      <c r="J317" s="22"/>
      <c r="K317" s="25"/>
      <c r="L317" s="25"/>
      <c r="M317" s="22"/>
    </row>
    <row r="318" spans="1:13" s="20" customFormat="1" ht="12.75">
      <c r="A318" s="14">
        <v>1311</v>
      </c>
      <c r="B318" s="21">
        <v>45045</v>
      </c>
      <c r="C318" s="15">
        <f t="shared" si="11"/>
        <v>45045</v>
      </c>
      <c r="D318" s="16"/>
      <c r="E318" s="73"/>
      <c r="F318" s="92">
        <v>60000</v>
      </c>
      <c r="G318" s="92"/>
      <c r="H318" s="26">
        <f t="shared" si="10"/>
        <v>-16467777.130000005</v>
      </c>
      <c r="I318" s="25" t="s">
        <v>271</v>
      </c>
      <c r="J318" s="22"/>
      <c r="K318" s="25"/>
      <c r="L318" s="25"/>
      <c r="M318" s="22"/>
    </row>
    <row r="319" spans="1:13" s="20" customFormat="1" ht="12.75">
      <c r="A319" s="14">
        <v>1312</v>
      </c>
      <c r="B319" s="21">
        <v>45045</v>
      </c>
      <c r="C319" s="15">
        <f t="shared" si="11"/>
        <v>45045</v>
      </c>
      <c r="D319" s="16"/>
      <c r="E319" s="73"/>
      <c r="F319" s="92">
        <v>50</v>
      </c>
      <c r="G319" s="92"/>
      <c r="H319" s="26">
        <f t="shared" si="10"/>
        <v>-16467827.130000005</v>
      </c>
      <c r="I319" s="25" t="s">
        <v>268</v>
      </c>
      <c r="J319" s="22"/>
      <c r="K319" s="25"/>
      <c r="L319" s="25"/>
      <c r="M319" s="22"/>
    </row>
    <row r="320" spans="1:13" s="20" customFormat="1" ht="12.75">
      <c r="A320" s="14">
        <v>1313</v>
      </c>
      <c r="B320" s="21">
        <v>45045</v>
      </c>
      <c r="C320" s="15">
        <f t="shared" si="11"/>
        <v>45045</v>
      </c>
      <c r="D320" s="16"/>
      <c r="E320" s="73"/>
      <c r="F320" s="92">
        <v>3.75</v>
      </c>
      <c r="G320" s="92"/>
      <c r="H320" s="26">
        <f t="shared" si="10"/>
        <v>-16467830.880000005</v>
      </c>
      <c r="I320" s="25" t="s">
        <v>268</v>
      </c>
      <c r="J320" s="22"/>
      <c r="K320" s="25"/>
      <c r="L320" s="25"/>
      <c r="M320" s="22"/>
    </row>
    <row r="321" spans="1:13" s="20" customFormat="1" ht="12.75">
      <c r="A321" s="14">
        <v>1314</v>
      </c>
      <c r="B321" s="21">
        <v>45045</v>
      </c>
      <c r="C321" s="15">
        <f t="shared" si="11"/>
        <v>45045</v>
      </c>
      <c r="D321" s="16"/>
      <c r="E321" s="73"/>
      <c r="F321" s="92">
        <v>145000</v>
      </c>
      <c r="G321" s="92"/>
      <c r="H321" s="26">
        <f t="shared" si="10"/>
        <v>-16612830.880000005</v>
      </c>
      <c r="I321" s="25" t="s">
        <v>265</v>
      </c>
      <c r="J321" s="22"/>
      <c r="K321" s="25"/>
      <c r="L321" s="25"/>
      <c r="M321" s="22"/>
    </row>
    <row r="322" spans="1:13" s="20" customFormat="1" ht="12.75">
      <c r="A322" s="14">
        <v>1315</v>
      </c>
      <c r="B322" s="21">
        <v>45045</v>
      </c>
      <c r="C322" s="15">
        <f t="shared" si="11"/>
        <v>45045</v>
      </c>
      <c r="D322" s="16"/>
      <c r="E322" s="73"/>
      <c r="F322" s="92">
        <v>102000</v>
      </c>
      <c r="G322" s="92"/>
      <c r="H322" s="26">
        <f t="shared" si="10"/>
        <v>-16714830.880000005</v>
      </c>
      <c r="I322" s="25" t="s">
        <v>281</v>
      </c>
      <c r="J322" s="22"/>
      <c r="K322" s="25"/>
      <c r="L322" s="25"/>
      <c r="M322" s="22"/>
    </row>
    <row r="323" spans="1:13" s="20" customFormat="1" ht="12.75">
      <c r="A323" s="14">
        <v>1316</v>
      </c>
      <c r="B323" s="21">
        <v>45045</v>
      </c>
      <c r="C323" s="15">
        <f t="shared" si="11"/>
        <v>45045</v>
      </c>
      <c r="D323" s="16"/>
      <c r="E323" s="73"/>
      <c r="F323" s="92">
        <v>21800</v>
      </c>
      <c r="G323" s="92"/>
      <c r="H323" s="26">
        <f t="shared" si="10"/>
        <v>-16736630.880000005</v>
      </c>
      <c r="I323" s="25" t="s">
        <v>284</v>
      </c>
      <c r="J323" s="22"/>
      <c r="K323" s="25"/>
      <c r="L323" s="25"/>
      <c r="M323" s="22"/>
    </row>
    <row r="324" spans="1:13" s="20" customFormat="1" ht="12.75">
      <c r="A324" s="14">
        <v>1317</v>
      </c>
      <c r="B324" s="21">
        <v>45045</v>
      </c>
      <c r="C324" s="15">
        <f t="shared" si="11"/>
        <v>45045</v>
      </c>
      <c r="D324" s="16"/>
      <c r="E324" s="73"/>
      <c r="F324" s="92">
        <v>10000</v>
      </c>
      <c r="G324" s="92"/>
      <c r="H324" s="26">
        <f t="shared" si="10"/>
        <v>-16746630.880000005</v>
      </c>
      <c r="I324" s="25" t="s">
        <v>284</v>
      </c>
      <c r="J324" s="22"/>
      <c r="K324" s="25"/>
      <c r="L324" s="25"/>
      <c r="M324" s="22"/>
    </row>
    <row r="325" spans="1:13" s="20" customFormat="1" ht="12.75">
      <c r="A325" s="14">
        <v>1318</v>
      </c>
      <c r="B325" s="21">
        <v>45046</v>
      </c>
      <c r="C325" s="15">
        <f t="shared" si="11"/>
        <v>45046</v>
      </c>
      <c r="D325" s="16"/>
      <c r="E325" s="73"/>
      <c r="F325" s="92">
        <v>544</v>
      </c>
      <c r="G325" s="92"/>
      <c r="H325" s="26">
        <f t="shared" si="10"/>
        <v>-16747174.880000005</v>
      </c>
      <c r="I325" s="25" t="s">
        <v>268</v>
      </c>
      <c r="J325" s="22"/>
      <c r="K325" s="25"/>
      <c r="L325" s="25"/>
      <c r="M325" s="22"/>
    </row>
    <row r="326" spans="1:13" s="20" customFormat="1" ht="12.75">
      <c r="A326" s="14">
        <v>1319</v>
      </c>
      <c r="B326" s="21">
        <v>45046</v>
      </c>
      <c r="C326" s="15">
        <f t="shared" si="11"/>
        <v>45046</v>
      </c>
      <c r="D326" s="16"/>
      <c r="E326" s="73"/>
      <c r="F326" s="92">
        <v>40.799999999999997</v>
      </c>
      <c r="G326" s="92"/>
      <c r="H326" s="26">
        <f t="shared" ref="H326:H389" si="12">IFERROR(H325-F326+G326,"")</f>
        <v>-16747215.680000005</v>
      </c>
      <c r="I326" s="25" t="s">
        <v>268</v>
      </c>
      <c r="J326" s="22"/>
      <c r="K326" s="25"/>
      <c r="L326" s="25"/>
      <c r="M326" s="22"/>
    </row>
    <row r="327" spans="1:13" s="20" customFormat="1" ht="12.75">
      <c r="A327" s="14">
        <v>1320</v>
      </c>
      <c r="B327" s="21">
        <v>45046</v>
      </c>
      <c r="C327" s="15">
        <f t="shared" si="11"/>
        <v>45046</v>
      </c>
      <c r="D327" s="16"/>
      <c r="E327" s="73"/>
      <c r="F327" s="92">
        <v>17871.07</v>
      </c>
      <c r="G327" s="92"/>
      <c r="H327" s="26">
        <f t="shared" si="12"/>
        <v>-16765086.750000006</v>
      </c>
      <c r="I327" s="25" t="s">
        <v>264</v>
      </c>
      <c r="J327" s="22"/>
      <c r="K327" s="25"/>
      <c r="L327" s="25"/>
      <c r="M327" s="22"/>
    </row>
    <row r="328" spans="1:13" s="20" customFormat="1" ht="12.75">
      <c r="A328" s="14">
        <v>1321</v>
      </c>
      <c r="B328" s="21">
        <v>45046</v>
      </c>
      <c r="C328" s="15">
        <f t="shared" si="11"/>
        <v>45046</v>
      </c>
      <c r="D328" s="16"/>
      <c r="E328" s="73"/>
      <c r="F328" s="92">
        <v>1340.33</v>
      </c>
      <c r="G328" s="92"/>
      <c r="H328" s="26">
        <f t="shared" si="12"/>
        <v>-16766427.080000006</v>
      </c>
      <c r="I328" s="25" t="s">
        <v>264</v>
      </c>
      <c r="J328" s="22"/>
      <c r="K328" s="25"/>
      <c r="L328" s="25"/>
      <c r="M328" s="22"/>
    </row>
    <row r="329" spans="1:13" s="20" customFormat="1" ht="12.75">
      <c r="A329" s="14">
        <v>1322</v>
      </c>
      <c r="B329" s="21">
        <v>45048</v>
      </c>
      <c r="C329" s="15">
        <f t="shared" si="11"/>
        <v>45048</v>
      </c>
      <c r="D329" s="16"/>
      <c r="E329" s="73"/>
      <c r="F329" s="92">
        <v>128553.33</v>
      </c>
      <c r="G329" s="92"/>
      <c r="H329" s="26">
        <f t="shared" si="12"/>
        <v>-16894980.410000004</v>
      </c>
      <c r="I329" s="25" t="s">
        <v>296</v>
      </c>
      <c r="J329" s="22"/>
      <c r="K329" s="25"/>
      <c r="L329" s="25"/>
      <c r="M329" s="22"/>
    </row>
    <row r="330" spans="1:13" s="20" customFormat="1" ht="12.75">
      <c r="A330" s="14">
        <v>1323</v>
      </c>
      <c r="B330" s="21">
        <v>45048</v>
      </c>
      <c r="C330" s="15">
        <f t="shared" si="11"/>
        <v>45048</v>
      </c>
      <c r="D330" s="16"/>
      <c r="E330" s="73"/>
      <c r="F330" s="92">
        <v>39667.5</v>
      </c>
      <c r="G330" s="92"/>
      <c r="H330" s="26">
        <f t="shared" si="12"/>
        <v>-16934647.910000004</v>
      </c>
      <c r="I330" s="25" t="s">
        <v>297</v>
      </c>
      <c r="J330" s="22"/>
      <c r="K330" s="25"/>
      <c r="L330" s="25"/>
      <c r="M330" s="22"/>
    </row>
    <row r="331" spans="1:13" s="20" customFormat="1" ht="12.75">
      <c r="A331" s="14">
        <v>1324</v>
      </c>
      <c r="B331" s="21">
        <v>45048</v>
      </c>
      <c r="C331" s="15">
        <f t="shared" si="11"/>
        <v>45048</v>
      </c>
      <c r="D331" s="16"/>
      <c r="E331" s="73"/>
      <c r="F331" s="92">
        <v>100</v>
      </c>
      <c r="G331" s="92"/>
      <c r="H331" s="26">
        <f t="shared" si="12"/>
        <v>-16934747.910000004</v>
      </c>
      <c r="I331" s="25" t="s">
        <v>268</v>
      </c>
      <c r="J331" s="22"/>
      <c r="K331" s="25"/>
      <c r="L331" s="25"/>
      <c r="M331" s="22"/>
    </row>
    <row r="332" spans="1:13" s="20" customFormat="1" ht="12.75">
      <c r="A332" s="14">
        <v>1325</v>
      </c>
      <c r="B332" s="21">
        <v>45048</v>
      </c>
      <c r="C332" s="15">
        <f t="shared" si="11"/>
        <v>45048</v>
      </c>
      <c r="D332" s="16"/>
      <c r="E332" s="73"/>
      <c r="F332" s="92">
        <v>59816.67</v>
      </c>
      <c r="G332" s="92"/>
      <c r="H332" s="26">
        <f t="shared" si="12"/>
        <v>-16994564.580000006</v>
      </c>
      <c r="I332" s="25" t="s">
        <v>271</v>
      </c>
      <c r="J332" s="22"/>
      <c r="K332" s="25"/>
      <c r="L332" s="25"/>
      <c r="M332" s="22"/>
    </row>
    <row r="333" spans="1:13" s="20" customFormat="1" ht="12.75">
      <c r="A333" s="14">
        <v>1326</v>
      </c>
      <c r="B333" s="21">
        <v>45048</v>
      </c>
      <c r="C333" s="15">
        <f t="shared" si="11"/>
        <v>45048</v>
      </c>
      <c r="D333" s="16"/>
      <c r="E333" s="73"/>
      <c r="F333" s="92">
        <v>15</v>
      </c>
      <c r="G333" s="92"/>
      <c r="H333" s="26">
        <f t="shared" si="12"/>
        <v>-16994579.580000006</v>
      </c>
      <c r="I333" s="25" t="s">
        <v>268</v>
      </c>
      <c r="J333" s="22"/>
      <c r="K333" s="25"/>
      <c r="L333" s="25"/>
      <c r="M333" s="22"/>
    </row>
    <row r="334" spans="1:13" s="20" customFormat="1" ht="12.75">
      <c r="A334" s="14">
        <v>1327</v>
      </c>
      <c r="B334" s="21">
        <v>45048</v>
      </c>
      <c r="C334" s="15">
        <f t="shared" si="11"/>
        <v>45048</v>
      </c>
      <c r="D334" s="16"/>
      <c r="E334" s="73"/>
      <c r="F334" s="92">
        <v>1.1299999999999999</v>
      </c>
      <c r="G334" s="92"/>
      <c r="H334" s="26">
        <f t="shared" si="12"/>
        <v>-16994580.710000005</v>
      </c>
      <c r="I334" s="25" t="s">
        <v>268</v>
      </c>
      <c r="J334" s="22"/>
      <c r="K334" s="25"/>
      <c r="L334" s="25"/>
      <c r="M334" s="22"/>
    </row>
    <row r="335" spans="1:13" s="20" customFormat="1" ht="12.75">
      <c r="A335" s="14">
        <v>1328</v>
      </c>
      <c r="B335" s="21">
        <v>45048</v>
      </c>
      <c r="C335" s="15">
        <f t="shared" si="11"/>
        <v>45048</v>
      </c>
      <c r="D335" s="16"/>
      <c r="E335" s="73"/>
      <c r="F335" s="92">
        <v>59816.67</v>
      </c>
      <c r="G335" s="92"/>
      <c r="H335" s="26">
        <f t="shared" si="12"/>
        <v>-17054397.380000006</v>
      </c>
      <c r="I335" s="25" t="s">
        <v>271</v>
      </c>
      <c r="J335" s="22"/>
      <c r="K335" s="25"/>
      <c r="L335" s="25"/>
      <c r="M335" s="22"/>
    </row>
    <row r="336" spans="1:13" s="20" customFormat="1" ht="12.75">
      <c r="A336" s="14">
        <v>1329</v>
      </c>
      <c r="B336" s="21">
        <v>45048</v>
      </c>
      <c r="C336" s="15">
        <f t="shared" si="11"/>
        <v>45048</v>
      </c>
      <c r="D336" s="16"/>
      <c r="E336" s="73"/>
      <c r="F336" s="92">
        <v>50</v>
      </c>
      <c r="G336" s="92"/>
      <c r="H336" s="26">
        <f t="shared" si="12"/>
        <v>-17054447.380000006</v>
      </c>
      <c r="I336" s="25" t="s">
        <v>268</v>
      </c>
      <c r="J336" s="22"/>
      <c r="K336" s="25"/>
      <c r="L336" s="25"/>
      <c r="M336" s="22"/>
    </row>
    <row r="337" spans="1:13" s="20" customFormat="1" ht="12.75">
      <c r="A337" s="14">
        <v>1330</v>
      </c>
      <c r="B337" s="21">
        <v>45048</v>
      </c>
      <c r="C337" s="15">
        <f t="shared" si="11"/>
        <v>45048</v>
      </c>
      <c r="D337" s="16"/>
      <c r="E337" s="73"/>
      <c r="F337" s="92">
        <v>3.75</v>
      </c>
      <c r="G337" s="92"/>
      <c r="H337" s="26">
        <f t="shared" si="12"/>
        <v>-17054451.130000006</v>
      </c>
      <c r="I337" s="25" t="s">
        <v>268</v>
      </c>
      <c r="J337" s="22"/>
      <c r="K337" s="25"/>
      <c r="L337" s="25"/>
      <c r="M337" s="22"/>
    </row>
    <row r="338" spans="1:13" s="20" customFormat="1" ht="12.75">
      <c r="A338" s="14">
        <v>1331</v>
      </c>
      <c r="B338" s="21">
        <v>45048</v>
      </c>
      <c r="C338" s="15">
        <f t="shared" si="11"/>
        <v>45048</v>
      </c>
      <c r="D338" s="16"/>
      <c r="E338" s="73"/>
      <c r="F338" s="92">
        <v>59816.67</v>
      </c>
      <c r="G338" s="92"/>
      <c r="H338" s="26">
        <f t="shared" si="12"/>
        <v>-17114267.800000008</v>
      </c>
      <c r="I338" s="25" t="s">
        <v>271</v>
      </c>
      <c r="J338" s="22"/>
      <c r="K338" s="25"/>
      <c r="L338" s="25"/>
      <c r="M338" s="22"/>
    </row>
    <row r="339" spans="1:13" s="20" customFormat="1" ht="12.75">
      <c r="A339" s="14">
        <v>1332</v>
      </c>
      <c r="B339" s="21">
        <v>45048</v>
      </c>
      <c r="C339" s="15">
        <f t="shared" si="11"/>
        <v>45048</v>
      </c>
      <c r="D339" s="16"/>
      <c r="E339" s="73"/>
      <c r="F339" s="92">
        <v>50</v>
      </c>
      <c r="G339" s="92"/>
      <c r="H339" s="26">
        <f t="shared" si="12"/>
        <v>-17114317.800000008</v>
      </c>
      <c r="I339" s="25" t="s">
        <v>268</v>
      </c>
      <c r="J339" s="22"/>
      <c r="K339" s="25"/>
      <c r="L339" s="25"/>
      <c r="M339" s="22"/>
    </row>
    <row r="340" spans="1:13" s="20" customFormat="1" ht="12.75">
      <c r="A340" s="14">
        <v>1333</v>
      </c>
      <c r="B340" s="21">
        <v>45048</v>
      </c>
      <c r="C340" s="15">
        <f t="shared" si="11"/>
        <v>45048</v>
      </c>
      <c r="D340" s="16"/>
      <c r="E340" s="73"/>
      <c r="F340" s="92">
        <v>3.75</v>
      </c>
      <c r="G340" s="92"/>
      <c r="H340" s="26">
        <f t="shared" si="12"/>
        <v>-17114321.550000008</v>
      </c>
      <c r="I340" s="25" t="s">
        <v>268</v>
      </c>
      <c r="J340" s="22"/>
      <c r="K340" s="25"/>
      <c r="L340" s="25"/>
      <c r="M340" s="22"/>
    </row>
    <row r="341" spans="1:13" s="20" customFormat="1" ht="12.75">
      <c r="A341" s="14">
        <v>1334</v>
      </c>
      <c r="B341" s="21">
        <v>45048</v>
      </c>
      <c r="C341" s="15">
        <f t="shared" si="11"/>
        <v>45048</v>
      </c>
      <c r="D341" s="16"/>
      <c r="E341" s="73"/>
      <c r="F341" s="92">
        <v>8000</v>
      </c>
      <c r="G341" s="92"/>
      <c r="H341" s="26">
        <f t="shared" si="12"/>
        <v>-17122321.550000008</v>
      </c>
      <c r="I341" s="25" t="s">
        <v>283</v>
      </c>
      <c r="J341" s="22"/>
      <c r="K341" s="25"/>
      <c r="L341" s="25"/>
      <c r="M341" s="22"/>
    </row>
    <row r="342" spans="1:13" s="20" customFormat="1" ht="12.75">
      <c r="A342" s="14">
        <v>1335</v>
      </c>
      <c r="B342" s="21">
        <v>45048</v>
      </c>
      <c r="C342" s="15">
        <f t="shared" si="11"/>
        <v>45048</v>
      </c>
      <c r="D342" s="16"/>
      <c r="E342" s="73"/>
      <c r="F342" s="92">
        <v>100</v>
      </c>
      <c r="G342" s="92"/>
      <c r="H342" s="26">
        <f t="shared" si="12"/>
        <v>-17122421.550000008</v>
      </c>
      <c r="I342" s="25" t="s">
        <v>268</v>
      </c>
      <c r="J342" s="22"/>
      <c r="K342" s="25"/>
      <c r="L342" s="25"/>
      <c r="M342" s="22"/>
    </row>
    <row r="343" spans="1:13" s="20" customFormat="1" ht="12.75">
      <c r="A343" s="14">
        <v>1336</v>
      </c>
      <c r="B343" s="21">
        <v>45048</v>
      </c>
      <c r="C343" s="15">
        <f t="shared" si="11"/>
        <v>45048</v>
      </c>
      <c r="D343" s="16"/>
      <c r="E343" s="73"/>
      <c r="F343" s="92">
        <v>30</v>
      </c>
      <c r="G343" s="92"/>
      <c r="H343" s="26">
        <f t="shared" si="12"/>
        <v>-17122451.550000008</v>
      </c>
      <c r="I343" s="25" t="s">
        <v>268</v>
      </c>
      <c r="J343" s="22"/>
      <c r="K343" s="25"/>
      <c r="L343" s="25"/>
      <c r="M343" s="22"/>
    </row>
    <row r="344" spans="1:13" s="20" customFormat="1" ht="12.75">
      <c r="A344" s="14">
        <v>1337</v>
      </c>
      <c r="B344" s="21">
        <v>45048</v>
      </c>
      <c r="C344" s="15">
        <f t="shared" si="11"/>
        <v>45048</v>
      </c>
      <c r="D344" s="16"/>
      <c r="E344" s="73"/>
      <c r="F344" s="92">
        <v>2.25</v>
      </c>
      <c r="G344" s="92"/>
      <c r="H344" s="26">
        <f t="shared" si="12"/>
        <v>-17122453.800000008</v>
      </c>
      <c r="I344" s="25" t="s">
        <v>268</v>
      </c>
      <c r="J344" s="22"/>
      <c r="K344" s="25"/>
      <c r="L344" s="25"/>
      <c r="M344" s="22"/>
    </row>
    <row r="345" spans="1:13" s="20" customFormat="1" ht="12.75">
      <c r="A345" s="14">
        <v>1338</v>
      </c>
      <c r="B345" s="21">
        <v>45048</v>
      </c>
      <c r="C345" s="15">
        <f t="shared" si="11"/>
        <v>45048</v>
      </c>
      <c r="D345" s="16"/>
      <c r="E345" s="73"/>
      <c r="F345" s="92">
        <v>5911.25</v>
      </c>
      <c r="G345" s="92"/>
      <c r="H345" s="26">
        <f t="shared" si="12"/>
        <v>-17128365.050000008</v>
      </c>
      <c r="I345" s="25" t="s">
        <v>286</v>
      </c>
      <c r="J345" s="22"/>
      <c r="K345" s="25"/>
      <c r="L345" s="25"/>
      <c r="M345" s="22"/>
    </row>
    <row r="346" spans="1:13" s="20" customFormat="1" ht="12.75">
      <c r="A346" s="14">
        <v>1339</v>
      </c>
      <c r="B346" s="21">
        <v>45048</v>
      </c>
      <c r="C346" s="15">
        <f t="shared" si="11"/>
        <v>45048</v>
      </c>
      <c r="D346" s="16"/>
      <c r="E346" s="73"/>
      <c r="F346" s="92">
        <v>100</v>
      </c>
      <c r="G346" s="92"/>
      <c r="H346" s="26">
        <f t="shared" si="12"/>
        <v>-17128465.050000008</v>
      </c>
      <c r="I346" s="25" t="s">
        <v>268</v>
      </c>
      <c r="J346" s="22"/>
      <c r="K346" s="25"/>
      <c r="L346" s="25"/>
      <c r="M346" s="22"/>
    </row>
    <row r="347" spans="1:13" s="20" customFormat="1" ht="12.75">
      <c r="A347" s="14">
        <v>1340</v>
      </c>
      <c r="B347" s="21">
        <v>45048</v>
      </c>
      <c r="C347" s="15">
        <f t="shared" si="11"/>
        <v>45048</v>
      </c>
      <c r="D347" s="16"/>
      <c r="E347" s="73"/>
      <c r="F347" s="92">
        <v>20000</v>
      </c>
      <c r="G347" s="92"/>
      <c r="H347" s="26">
        <f t="shared" si="12"/>
        <v>-17148465.050000008</v>
      </c>
      <c r="I347" s="25" t="s">
        <v>273</v>
      </c>
      <c r="J347" s="22"/>
      <c r="K347" s="25"/>
      <c r="L347" s="25"/>
      <c r="M347" s="22"/>
    </row>
    <row r="348" spans="1:13" s="20" customFormat="1" ht="12.75">
      <c r="A348" s="14">
        <v>1341</v>
      </c>
      <c r="B348" s="21">
        <v>45048</v>
      </c>
      <c r="C348" s="15">
        <f t="shared" si="11"/>
        <v>45048</v>
      </c>
      <c r="D348" s="16"/>
      <c r="E348" s="73"/>
      <c r="F348" s="92">
        <v>98050</v>
      </c>
      <c r="G348" s="92"/>
      <c r="H348" s="26">
        <f t="shared" si="12"/>
        <v>-17246515.050000008</v>
      </c>
      <c r="I348" s="25" t="s">
        <v>286</v>
      </c>
      <c r="J348" s="22"/>
      <c r="K348" s="25"/>
      <c r="L348" s="25"/>
      <c r="M348" s="22"/>
    </row>
    <row r="349" spans="1:13" s="20" customFormat="1" ht="12.75">
      <c r="A349" s="14">
        <v>1342</v>
      </c>
      <c r="B349" s="21">
        <v>45048</v>
      </c>
      <c r="C349" s="15">
        <f t="shared" si="11"/>
        <v>45048</v>
      </c>
      <c r="D349" s="16"/>
      <c r="E349" s="73"/>
      <c r="F349" s="92">
        <v>6500</v>
      </c>
      <c r="G349" s="92"/>
      <c r="H349" s="26">
        <f t="shared" si="12"/>
        <v>-17253015.050000008</v>
      </c>
      <c r="I349" s="25" t="s">
        <v>294</v>
      </c>
      <c r="J349" s="22"/>
      <c r="K349" s="25"/>
      <c r="L349" s="25"/>
      <c r="M349" s="22"/>
    </row>
    <row r="350" spans="1:13" s="20" customFormat="1" ht="12.75">
      <c r="A350" s="14">
        <v>1343</v>
      </c>
      <c r="B350" s="21">
        <v>45048</v>
      </c>
      <c r="C350" s="15">
        <f t="shared" si="11"/>
        <v>45048</v>
      </c>
      <c r="D350" s="16"/>
      <c r="E350" s="73"/>
      <c r="F350" s="92">
        <v>150</v>
      </c>
      <c r="G350" s="92"/>
      <c r="H350" s="26">
        <f t="shared" si="12"/>
        <v>-17253165.050000008</v>
      </c>
      <c r="I350" s="25" t="s">
        <v>272</v>
      </c>
      <c r="J350" s="22"/>
      <c r="K350" s="25"/>
      <c r="L350" s="25"/>
      <c r="M350" s="22"/>
    </row>
    <row r="351" spans="1:13" s="20" customFormat="1" ht="12.75">
      <c r="A351" s="14">
        <v>1344</v>
      </c>
      <c r="B351" s="21">
        <v>45048</v>
      </c>
      <c r="C351" s="15">
        <f t="shared" si="11"/>
        <v>45048</v>
      </c>
      <c r="D351" s="16"/>
      <c r="E351" s="73"/>
      <c r="F351" s="92">
        <v>100</v>
      </c>
      <c r="G351" s="92"/>
      <c r="H351" s="26">
        <f t="shared" si="12"/>
        <v>-17253265.050000008</v>
      </c>
      <c r="I351" s="25" t="s">
        <v>268</v>
      </c>
      <c r="J351" s="22"/>
      <c r="K351" s="25"/>
      <c r="L351" s="25"/>
      <c r="M351" s="22"/>
    </row>
    <row r="352" spans="1:13" s="20" customFormat="1" ht="12.75">
      <c r="A352" s="14">
        <v>1345</v>
      </c>
      <c r="B352" s="21">
        <v>45054</v>
      </c>
      <c r="C352" s="15">
        <f t="shared" si="11"/>
        <v>45054</v>
      </c>
      <c r="D352" s="16"/>
      <c r="E352" s="73"/>
      <c r="F352" s="92">
        <v>221133.58</v>
      </c>
      <c r="G352" s="92"/>
      <c r="H352" s="26">
        <f t="shared" si="12"/>
        <v>-17474398.630000006</v>
      </c>
      <c r="I352" s="25" t="s">
        <v>271</v>
      </c>
      <c r="J352" s="22"/>
      <c r="K352" s="25"/>
      <c r="L352" s="25"/>
      <c r="M352" s="22"/>
    </row>
    <row r="353" spans="1:13" s="20" customFormat="1" ht="12.75">
      <c r="A353" s="14">
        <v>1346</v>
      </c>
      <c r="B353" s="21">
        <v>45054</v>
      </c>
      <c r="C353" s="15">
        <f t="shared" si="11"/>
        <v>45054</v>
      </c>
      <c r="D353" s="16"/>
      <c r="E353" s="73"/>
      <c r="F353" s="92">
        <v>42500</v>
      </c>
      <c r="G353" s="92"/>
      <c r="H353" s="26">
        <f t="shared" si="12"/>
        <v>-17516898.630000006</v>
      </c>
      <c r="I353" s="25" t="s">
        <v>265</v>
      </c>
      <c r="J353" s="22"/>
      <c r="K353" s="25"/>
      <c r="L353" s="25"/>
      <c r="M353" s="22"/>
    </row>
    <row r="354" spans="1:13" s="20" customFormat="1" ht="12.75">
      <c r="A354" s="14">
        <v>1347</v>
      </c>
      <c r="B354" s="21">
        <v>45054</v>
      </c>
      <c r="C354" s="15">
        <f t="shared" si="11"/>
        <v>45054</v>
      </c>
      <c r="D354" s="16"/>
      <c r="E354" s="73"/>
      <c r="F354" s="92">
        <v>30000</v>
      </c>
      <c r="G354" s="92"/>
      <c r="H354" s="26">
        <f t="shared" si="12"/>
        <v>-17546898.630000006</v>
      </c>
      <c r="I354" s="25" t="s">
        <v>288</v>
      </c>
      <c r="J354" s="22"/>
      <c r="K354" s="25"/>
      <c r="L354" s="25"/>
      <c r="M354" s="22"/>
    </row>
    <row r="355" spans="1:13" s="20" customFormat="1" ht="12.75">
      <c r="A355" s="14">
        <v>1348</v>
      </c>
      <c r="B355" s="21">
        <v>45054</v>
      </c>
      <c r="C355" s="15">
        <f t="shared" si="11"/>
        <v>45054</v>
      </c>
      <c r="D355" s="16"/>
      <c r="E355" s="73"/>
      <c r="F355" s="92">
        <v>400</v>
      </c>
      <c r="G355" s="92"/>
      <c r="H355" s="26">
        <f t="shared" si="12"/>
        <v>-17547298.630000006</v>
      </c>
      <c r="I355" s="25" t="s">
        <v>272</v>
      </c>
      <c r="J355" s="22"/>
      <c r="K355" s="25"/>
      <c r="L355" s="25"/>
      <c r="M355" s="22"/>
    </row>
    <row r="356" spans="1:13" s="20" customFormat="1" ht="12.75">
      <c r="A356" s="14">
        <v>1349</v>
      </c>
      <c r="B356" s="21">
        <v>45054</v>
      </c>
      <c r="C356" s="15">
        <f t="shared" si="11"/>
        <v>45054</v>
      </c>
      <c r="D356" s="16"/>
      <c r="E356" s="73"/>
      <c r="F356" s="92">
        <v>100</v>
      </c>
      <c r="G356" s="92"/>
      <c r="H356" s="26">
        <f t="shared" si="12"/>
        <v>-17547398.630000006</v>
      </c>
      <c r="I356" s="25" t="s">
        <v>268</v>
      </c>
      <c r="J356" s="22"/>
      <c r="K356" s="25"/>
      <c r="L356" s="25"/>
      <c r="M356" s="22"/>
    </row>
    <row r="357" spans="1:13" s="20" customFormat="1" ht="12.75">
      <c r="A357" s="14">
        <v>1350</v>
      </c>
      <c r="B357" s="21">
        <v>45057</v>
      </c>
      <c r="C357" s="15">
        <f t="shared" si="11"/>
        <v>45057</v>
      </c>
      <c r="D357" s="16"/>
      <c r="E357" s="73"/>
      <c r="F357" s="92">
        <v>864994.68</v>
      </c>
      <c r="G357" s="92"/>
      <c r="H357" s="26">
        <f t="shared" si="12"/>
        <v>-18412393.310000006</v>
      </c>
      <c r="I357" s="25" t="s">
        <v>272</v>
      </c>
      <c r="J357" s="22"/>
      <c r="K357" s="25"/>
      <c r="L357" s="25"/>
      <c r="M357" s="22"/>
    </row>
    <row r="358" spans="1:13" s="20" customFormat="1" ht="12.75">
      <c r="A358" s="14">
        <v>1351</v>
      </c>
      <c r="B358" s="21">
        <v>45057</v>
      </c>
      <c r="C358" s="15">
        <f t="shared" si="11"/>
        <v>45057</v>
      </c>
      <c r="D358" s="16"/>
      <c r="E358" s="73"/>
      <c r="F358" s="92">
        <v>100</v>
      </c>
      <c r="G358" s="92"/>
      <c r="H358" s="26">
        <f t="shared" si="12"/>
        <v>-18412493.310000006</v>
      </c>
      <c r="I358" s="25" t="s">
        <v>268</v>
      </c>
      <c r="J358" s="22"/>
      <c r="K358" s="25"/>
      <c r="L358" s="25"/>
      <c r="M358" s="22"/>
    </row>
    <row r="359" spans="1:13" s="20" customFormat="1" ht="12.75">
      <c r="A359" s="14">
        <v>1352</v>
      </c>
      <c r="B359" s="21">
        <v>45057</v>
      </c>
      <c r="C359" s="15">
        <f t="shared" si="11"/>
        <v>45057</v>
      </c>
      <c r="D359" s="16"/>
      <c r="E359" s="73"/>
      <c r="F359" s="92">
        <v>1002635.01</v>
      </c>
      <c r="G359" s="92"/>
      <c r="H359" s="26">
        <f t="shared" si="12"/>
        <v>-19415128.320000008</v>
      </c>
      <c r="I359" s="25" t="s">
        <v>282</v>
      </c>
      <c r="J359" s="22"/>
      <c r="K359" s="25"/>
      <c r="L359" s="25"/>
      <c r="M359" s="22"/>
    </row>
    <row r="360" spans="1:13" s="20" customFormat="1" ht="12.75">
      <c r="A360" s="14">
        <v>1353</v>
      </c>
      <c r="B360" s="21">
        <v>45057</v>
      </c>
      <c r="C360" s="15">
        <f t="shared" si="11"/>
        <v>45057</v>
      </c>
      <c r="D360" s="16"/>
      <c r="E360" s="73"/>
      <c r="F360" s="92">
        <v>50</v>
      </c>
      <c r="G360" s="92"/>
      <c r="H360" s="26">
        <f t="shared" si="12"/>
        <v>-19415178.320000008</v>
      </c>
      <c r="I360" s="25" t="s">
        <v>268</v>
      </c>
      <c r="J360" s="22"/>
      <c r="K360" s="25"/>
      <c r="L360" s="25"/>
      <c r="M360" s="22"/>
    </row>
    <row r="361" spans="1:13" s="20" customFormat="1" ht="12.75">
      <c r="A361" s="14">
        <v>1354</v>
      </c>
      <c r="B361" s="21">
        <v>45057</v>
      </c>
      <c r="C361" s="15">
        <f t="shared" si="11"/>
        <v>45057</v>
      </c>
      <c r="D361" s="16"/>
      <c r="E361" s="73"/>
      <c r="F361" s="92">
        <v>3.75</v>
      </c>
      <c r="G361" s="92"/>
      <c r="H361" s="26">
        <f t="shared" si="12"/>
        <v>-19415182.070000008</v>
      </c>
      <c r="I361" s="25" t="s">
        <v>268</v>
      </c>
      <c r="J361" s="22"/>
      <c r="K361" s="25"/>
      <c r="L361" s="25"/>
      <c r="M361" s="22"/>
    </row>
    <row r="362" spans="1:13" s="20" customFormat="1" ht="12.75">
      <c r="A362" s="14">
        <v>1355</v>
      </c>
      <c r="B362" s="21">
        <v>45063</v>
      </c>
      <c r="C362" s="15">
        <f t="shared" si="11"/>
        <v>45063</v>
      </c>
      <c r="D362" s="16"/>
      <c r="E362" s="73"/>
      <c r="F362" s="92">
        <v>28000</v>
      </c>
      <c r="G362" s="92"/>
      <c r="H362" s="26">
        <f t="shared" si="12"/>
        <v>-19443182.070000008</v>
      </c>
      <c r="I362" s="25" t="s">
        <v>281</v>
      </c>
      <c r="J362" s="22"/>
      <c r="K362" s="25"/>
      <c r="L362" s="25"/>
      <c r="M362" s="22"/>
    </row>
    <row r="363" spans="1:13" s="20" customFormat="1" ht="12.75">
      <c r="A363" s="14">
        <v>1356</v>
      </c>
      <c r="B363" s="21">
        <v>45066</v>
      </c>
      <c r="C363" s="15">
        <f t="shared" si="11"/>
        <v>45066</v>
      </c>
      <c r="D363" s="16"/>
      <c r="E363" s="73"/>
      <c r="F363" s="92">
        <v>29800</v>
      </c>
      <c r="G363" s="92"/>
      <c r="H363" s="26">
        <f t="shared" si="12"/>
        <v>-19472982.070000008</v>
      </c>
      <c r="I363" s="25" t="s">
        <v>285</v>
      </c>
      <c r="J363" s="22"/>
      <c r="K363" s="25"/>
      <c r="L363" s="25"/>
      <c r="M363" s="22"/>
    </row>
    <row r="364" spans="1:13" s="20" customFormat="1" ht="12.75">
      <c r="A364" s="14">
        <v>1357</v>
      </c>
      <c r="B364" s="21">
        <v>45066</v>
      </c>
      <c r="C364" s="15">
        <f t="shared" si="11"/>
        <v>45066</v>
      </c>
      <c r="D364" s="16"/>
      <c r="E364" s="73"/>
      <c r="F364" s="92">
        <v>9775</v>
      </c>
      <c r="G364" s="92"/>
      <c r="H364" s="26">
        <f t="shared" si="12"/>
        <v>-19482757.070000008</v>
      </c>
      <c r="I364" s="25" t="s">
        <v>272</v>
      </c>
      <c r="J364" s="22"/>
      <c r="K364" s="25"/>
      <c r="L364" s="25"/>
      <c r="M364" s="22"/>
    </row>
    <row r="365" spans="1:13" s="20" customFormat="1" ht="12.75">
      <c r="A365" s="14">
        <v>1358</v>
      </c>
      <c r="B365" s="21">
        <v>45066</v>
      </c>
      <c r="C365" s="15">
        <f t="shared" si="11"/>
        <v>45066</v>
      </c>
      <c r="D365" s="16"/>
      <c r="E365" s="73"/>
      <c r="F365" s="92">
        <v>100</v>
      </c>
      <c r="G365" s="92"/>
      <c r="H365" s="26">
        <f t="shared" si="12"/>
        <v>-19482857.070000008</v>
      </c>
      <c r="I365" s="25" t="s">
        <v>268</v>
      </c>
      <c r="J365" s="22"/>
      <c r="K365" s="25"/>
      <c r="L365" s="25"/>
      <c r="M365" s="22"/>
    </row>
    <row r="366" spans="1:13" s="20" customFormat="1" ht="12.75">
      <c r="A366" s="14">
        <v>1359</v>
      </c>
      <c r="B366" s="21">
        <v>45066</v>
      </c>
      <c r="C366" s="15">
        <f t="shared" ref="C366:C429" si="13">B366</f>
        <v>45066</v>
      </c>
      <c r="D366" s="16"/>
      <c r="E366" s="73"/>
      <c r="F366" s="92">
        <v>8000</v>
      </c>
      <c r="G366" s="92"/>
      <c r="H366" s="26">
        <f t="shared" si="12"/>
        <v>-19490857.070000008</v>
      </c>
      <c r="I366" s="25" t="s">
        <v>283</v>
      </c>
      <c r="J366" s="22"/>
      <c r="K366" s="25"/>
      <c r="L366" s="25"/>
      <c r="M366" s="22"/>
    </row>
    <row r="367" spans="1:13" s="20" customFormat="1" ht="12.75">
      <c r="A367" s="14">
        <v>1360</v>
      </c>
      <c r="B367" s="21">
        <v>45066</v>
      </c>
      <c r="C367" s="15">
        <f t="shared" si="13"/>
        <v>45066</v>
      </c>
      <c r="D367" s="16"/>
      <c r="E367" s="73"/>
      <c r="F367" s="92">
        <v>100</v>
      </c>
      <c r="G367" s="92"/>
      <c r="H367" s="26">
        <f t="shared" si="12"/>
        <v>-19490957.070000008</v>
      </c>
      <c r="I367" s="25" t="s">
        <v>268</v>
      </c>
      <c r="J367" s="22"/>
      <c r="K367" s="25"/>
      <c r="L367" s="25"/>
      <c r="M367" s="22"/>
    </row>
    <row r="368" spans="1:13" s="20" customFormat="1" ht="12.75">
      <c r="A368" s="14">
        <v>1361</v>
      </c>
      <c r="B368" s="21">
        <v>45066</v>
      </c>
      <c r="C368" s="15">
        <f t="shared" si="13"/>
        <v>45066</v>
      </c>
      <c r="D368" s="16"/>
      <c r="E368" s="73"/>
      <c r="F368" s="92">
        <v>111093.66</v>
      </c>
      <c r="G368" s="92"/>
      <c r="H368" s="26">
        <f t="shared" si="12"/>
        <v>-19602050.730000008</v>
      </c>
      <c r="I368" s="25" t="s">
        <v>271</v>
      </c>
      <c r="J368" s="22"/>
      <c r="K368" s="25"/>
      <c r="L368" s="25"/>
      <c r="M368" s="22"/>
    </row>
    <row r="369" spans="1:13" s="20" customFormat="1" ht="12.75">
      <c r="A369" s="14">
        <v>1362</v>
      </c>
      <c r="B369" s="21">
        <v>45072</v>
      </c>
      <c r="C369" s="15">
        <f t="shared" si="13"/>
        <v>45072</v>
      </c>
      <c r="D369" s="16"/>
      <c r="E369" s="73"/>
      <c r="F369" s="92">
        <v>50000</v>
      </c>
      <c r="G369" s="92"/>
      <c r="H369" s="26">
        <f t="shared" si="12"/>
        <v>-19652050.730000008</v>
      </c>
      <c r="I369" s="25" t="s">
        <v>284</v>
      </c>
      <c r="J369" s="22"/>
      <c r="K369" s="25"/>
      <c r="L369" s="25"/>
      <c r="M369" s="22"/>
    </row>
    <row r="370" spans="1:13" s="20" customFormat="1" ht="12.75">
      <c r="A370" s="14">
        <v>1363</v>
      </c>
      <c r="B370" s="21">
        <v>45072</v>
      </c>
      <c r="C370" s="15">
        <f t="shared" si="13"/>
        <v>45072</v>
      </c>
      <c r="D370" s="16"/>
      <c r="E370" s="73"/>
      <c r="F370" s="92">
        <v>25</v>
      </c>
      <c r="G370" s="92"/>
      <c r="H370" s="26">
        <f t="shared" si="12"/>
        <v>-19652075.730000008</v>
      </c>
      <c r="I370" s="25" t="s">
        <v>268</v>
      </c>
      <c r="J370" s="22"/>
      <c r="K370" s="25"/>
      <c r="L370" s="25"/>
      <c r="M370" s="22"/>
    </row>
    <row r="371" spans="1:13" s="20" customFormat="1" ht="12.75">
      <c r="A371" s="14">
        <v>1364</v>
      </c>
      <c r="B371" s="21">
        <v>45072</v>
      </c>
      <c r="C371" s="15">
        <f t="shared" si="13"/>
        <v>45072</v>
      </c>
      <c r="D371" s="16"/>
      <c r="E371" s="73"/>
      <c r="F371" s="92">
        <v>1.87</v>
      </c>
      <c r="G371" s="92"/>
      <c r="H371" s="26">
        <f t="shared" si="12"/>
        <v>-19652077.600000009</v>
      </c>
      <c r="I371" s="25" t="s">
        <v>268</v>
      </c>
      <c r="J371" s="22"/>
      <c r="K371" s="25"/>
      <c r="L371" s="25"/>
      <c r="M371" s="22"/>
    </row>
    <row r="372" spans="1:13" s="20" customFormat="1" ht="12.75">
      <c r="A372" s="14">
        <v>1365</v>
      </c>
      <c r="B372" s="21">
        <v>45072</v>
      </c>
      <c r="C372" s="15">
        <f t="shared" si="13"/>
        <v>45072</v>
      </c>
      <c r="D372" s="16"/>
      <c r="E372" s="73"/>
      <c r="F372" s="92">
        <v>8000</v>
      </c>
      <c r="G372" s="92"/>
      <c r="H372" s="26">
        <f t="shared" si="12"/>
        <v>-19660077.600000009</v>
      </c>
      <c r="I372" s="25" t="s">
        <v>284</v>
      </c>
      <c r="J372" s="22"/>
      <c r="K372" s="25"/>
      <c r="L372" s="25"/>
      <c r="M372" s="22"/>
    </row>
    <row r="373" spans="1:13" s="20" customFormat="1" ht="12.75">
      <c r="A373" s="14">
        <v>1366</v>
      </c>
      <c r="B373" s="21">
        <v>45072</v>
      </c>
      <c r="C373" s="15">
        <f t="shared" si="13"/>
        <v>45072</v>
      </c>
      <c r="D373" s="16"/>
      <c r="E373" s="73"/>
      <c r="F373" s="92">
        <v>36000</v>
      </c>
      <c r="G373" s="92"/>
      <c r="H373" s="26">
        <f t="shared" si="12"/>
        <v>-19696077.600000009</v>
      </c>
      <c r="I373" s="25" t="s">
        <v>298</v>
      </c>
      <c r="J373" s="22"/>
      <c r="K373" s="25"/>
      <c r="L373" s="25"/>
      <c r="M373" s="22"/>
    </row>
    <row r="374" spans="1:13" s="20" customFormat="1" ht="12.75">
      <c r="A374" s="14">
        <v>1367</v>
      </c>
      <c r="B374" s="21">
        <v>45072</v>
      </c>
      <c r="C374" s="15">
        <f t="shared" si="13"/>
        <v>45072</v>
      </c>
      <c r="D374" s="16"/>
      <c r="E374" s="73"/>
      <c r="F374" s="92">
        <v>25</v>
      </c>
      <c r="G374" s="92"/>
      <c r="H374" s="26">
        <f t="shared" si="12"/>
        <v>-19696102.600000009</v>
      </c>
      <c r="I374" s="25" t="s">
        <v>268</v>
      </c>
      <c r="J374" s="22"/>
      <c r="K374" s="25"/>
      <c r="L374" s="25"/>
      <c r="M374" s="22"/>
    </row>
    <row r="375" spans="1:13" s="20" customFormat="1" ht="12.75">
      <c r="A375" s="14">
        <v>1368</v>
      </c>
      <c r="B375" s="21">
        <v>45072</v>
      </c>
      <c r="C375" s="15">
        <f t="shared" si="13"/>
        <v>45072</v>
      </c>
      <c r="D375" s="16"/>
      <c r="E375" s="73"/>
      <c r="F375" s="92">
        <v>1.87</v>
      </c>
      <c r="G375" s="92"/>
      <c r="H375" s="26">
        <f t="shared" si="12"/>
        <v>-19696104.47000001</v>
      </c>
      <c r="I375" s="25" t="s">
        <v>268</v>
      </c>
      <c r="J375" s="22"/>
      <c r="K375" s="25"/>
      <c r="L375" s="25"/>
      <c r="M375" s="22"/>
    </row>
    <row r="376" spans="1:13" s="20" customFormat="1" ht="12.75">
      <c r="A376" s="14">
        <v>1369</v>
      </c>
      <c r="B376" s="21">
        <v>45072</v>
      </c>
      <c r="C376" s="15">
        <f t="shared" si="13"/>
        <v>45072</v>
      </c>
      <c r="D376" s="16"/>
      <c r="E376" s="73"/>
      <c r="F376" s="92">
        <v>10000</v>
      </c>
      <c r="G376" s="92"/>
      <c r="H376" s="26">
        <f t="shared" si="12"/>
        <v>-19706104.47000001</v>
      </c>
      <c r="I376" s="25" t="s">
        <v>289</v>
      </c>
      <c r="J376" s="22"/>
      <c r="K376" s="25"/>
      <c r="L376" s="25"/>
      <c r="M376" s="22"/>
    </row>
    <row r="377" spans="1:13" s="20" customFormat="1" ht="12.75">
      <c r="A377" s="14">
        <v>1370</v>
      </c>
      <c r="B377" s="21">
        <v>45072</v>
      </c>
      <c r="C377" s="15">
        <f t="shared" si="13"/>
        <v>45072</v>
      </c>
      <c r="D377" s="16"/>
      <c r="E377" s="73"/>
      <c r="F377" s="92">
        <v>25</v>
      </c>
      <c r="G377" s="92"/>
      <c r="H377" s="26">
        <f t="shared" si="12"/>
        <v>-19706129.47000001</v>
      </c>
      <c r="I377" s="25" t="s">
        <v>268</v>
      </c>
      <c r="J377" s="22"/>
      <c r="K377" s="25"/>
      <c r="L377" s="25"/>
      <c r="M377" s="22"/>
    </row>
    <row r="378" spans="1:13" s="20" customFormat="1" ht="12.75">
      <c r="A378" s="14">
        <v>1371</v>
      </c>
      <c r="B378" s="21">
        <v>45072</v>
      </c>
      <c r="C378" s="15">
        <f t="shared" si="13"/>
        <v>45072</v>
      </c>
      <c r="D378" s="16"/>
      <c r="E378" s="73"/>
      <c r="F378" s="92">
        <v>1.87</v>
      </c>
      <c r="G378" s="92"/>
      <c r="H378" s="26">
        <f t="shared" si="12"/>
        <v>-19706131.340000011</v>
      </c>
      <c r="I378" s="25" t="s">
        <v>268</v>
      </c>
      <c r="J378" s="22"/>
      <c r="K378" s="25"/>
      <c r="L378" s="25"/>
      <c r="M378" s="22"/>
    </row>
    <row r="379" spans="1:13" s="20" customFormat="1" ht="12.75">
      <c r="A379" s="14">
        <v>1372</v>
      </c>
      <c r="B379" s="21">
        <v>45072</v>
      </c>
      <c r="C379" s="15">
        <f t="shared" si="13"/>
        <v>45072</v>
      </c>
      <c r="D379" s="16"/>
      <c r="E379" s="73"/>
      <c r="F379" s="92">
        <v>560000</v>
      </c>
      <c r="G379" s="92"/>
      <c r="H379" s="26">
        <f t="shared" si="12"/>
        <v>-20266131.340000011</v>
      </c>
      <c r="I379" s="25" t="s">
        <v>265</v>
      </c>
      <c r="J379" s="22"/>
      <c r="K379" s="25"/>
      <c r="L379" s="25"/>
      <c r="M379" s="22"/>
    </row>
    <row r="380" spans="1:13" s="20" customFormat="1" ht="12.75">
      <c r="A380" s="14">
        <v>1373</v>
      </c>
      <c r="B380" s="21">
        <v>45072</v>
      </c>
      <c r="C380" s="15">
        <f t="shared" si="13"/>
        <v>45072</v>
      </c>
      <c r="D380" s="16"/>
      <c r="E380" s="73"/>
      <c r="F380" s="92">
        <v>50</v>
      </c>
      <c r="G380" s="92"/>
      <c r="H380" s="26">
        <f t="shared" si="12"/>
        <v>-20266181.340000011</v>
      </c>
      <c r="I380" s="25" t="s">
        <v>268</v>
      </c>
      <c r="J380" s="22"/>
      <c r="K380" s="25"/>
      <c r="L380" s="25"/>
      <c r="M380" s="22"/>
    </row>
    <row r="381" spans="1:13" s="20" customFormat="1" ht="12.75">
      <c r="A381" s="14">
        <v>1374</v>
      </c>
      <c r="B381" s="21">
        <v>45072</v>
      </c>
      <c r="C381" s="15">
        <f t="shared" si="13"/>
        <v>45072</v>
      </c>
      <c r="D381" s="16"/>
      <c r="E381" s="73"/>
      <c r="F381" s="92">
        <v>3.75</v>
      </c>
      <c r="G381" s="92"/>
      <c r="H381" s="26">
        <f t="shared" si="12"/>
        <v>-20266185.090000011</v>
      </c>
      <c r="I381" s="25" t="s">
        <v>268</v>
      </c>
      <c r="J381" s="22"/>
      <c r="K381" s="25"/>
      <c r="L381" s="25"/>
      <c r="M381" s="22"/>
    </row>
    <row r="382" spans="1:13" s="20" customFormat="1" ht="12.75">
      <c r="A382" s="14">
        <v>1375</v>
      </c>
      <c r="B382" s="21">
        <v>45072</v>
      </c>
      <c r="C382" s="15">
        <f t="shared" si="13"/>
        <v>45072</v>
      </c>
      <c r="D382" s="16"/>
      <c r="E382" s="73"/>
      <c r="F382" s="92">
        <v>4925</v>
      </c>
      <c r="G382" s="92"/>
      <c r="H382" s="26">
        <f t="shared" si="12"/>
        <v>-20271110.090000011</v>
      </c>
      <c r="I382" s="25" t="s">
        <v>284</v>
      </c>
      <c r="J382" s="22"/>
      <c r="K382" s="25"/>
      <c r="L382" s="25"/>
      <c r="M382" s="22"/>
    </row>
    <row r="383" spans="1:13" s="20" customFormat="1" ht="12.75">
      <c r="A383" s="14">
        <v>1376</v>
      </c>
      <c r="B383" s="21">
        <v>45072</v>
      </c>
      <c r="C383" s="15">
        <f t="shared" si="13"/>
        <v>45072</v>
      </c>
      <c r="D383" s="16"/>
      <c r="E383" s="73"/>
      <c r="F383" s="92">
        <v>10</v>
      </c>
      <c r="G383" s="92"/>
      <c r="H383" s="26">
        <f t="shared" si="12"/>
        <v>-20271120.090000011</v>
      </c>
      <c r="I383" s="25" t="s">
        <v>268</v>
      </c>
      <c r="J383" s="22"/>
      <c r="K383" s="25"/>
      <c r="L383" s="25"/>
      <c r="M383" s="22"/>
    </row>
    <row r="384" spans="1:13" s="20" customFormat="1" ht="12.75">
      <c r="A384" s="14">
        <v>1377</v>
      </c>
      <c r="B384" s="21">
        <v>45072</v>
      </c>
      <c r="C384" s="15">
        <f t="shared" si="13"/>
        <v>45072</v>
      </c>
      <c r="D384" s="16"/>
      <c r="E384" s="73"/>
      <c r="F384" s="92">
        <v>0.75</v>
      </c>
      <c r="G384" s="92"/>
      <c r="H384" s="26">
        <f t="shared" si="12"/>
        <v>-20271120.840000011</v>
      </c>
      <c r="I384" s="25" t="s">
        <v>268</v>
      </c>
      <c r="J384" s="22"/>
      <c r="K384" s="25"/>
      <c r="L384" s="25"/>
      <c r="M384" s="22"/>
    </row>
    <row r="385" spans="1:13" s="20" customFormat="1" ht="12.75">
      <c r="A385" s="14">
        <v>1378</v>
      </c>
      <c r="B385" s="21">
        <v>45072</v>
      </c>
      <c r="C385" s="15">
        <f t="shared" si="13"/>
        <v>45072</v>
      </c>
      <c r="D385" s="16"/>
      <c r="E385" s="73"/>
      <c r="F385" s="92">
        <v>30000</v>
      </c>
      <c r="G385" s="92"/>
      <c r="H385" s="26">
        <f t="shared" si="12"/>
        <v>-20301120.840000011</v>
      </c>
      <c r="I385" s="25" t="s">
        <v>299</v>
      </c>
      <c r="J385" s="22"/>
      <c r="K385" s="25"/>
      <c r="L385" s="25"/>
      <c r="M385" s="22"/>
    </row>
    <row r="386" spans="1:13" s="20" customFormat="1" ht="12.75">
      <c r="A386" s="14">
        <v>1379</v>
      </c>
      <c r="B386" s="21">
        <v>45072</v>
      </c>
      <c r="C386" s="15">
        <f t="shared" si="13"/>
        <v>45072</v>
      </c>
      <c r="D386" s="16"/>
      <c r="E386" s="73"/>
      <c r="F386" s="92">
        <v>25</v>
      </c>
      <c r="G386" s="92"/>
      <c r="H386" s="26">
        <f t="shared" si="12"/>
        <v>-20301145.840000011</v>
      </c>
      <c r="I386" s="25" t="s">
        <v>268</v>
      </c>
      <c r="J386" s="22"/>
      <c r="K386" s="25"/>
      <c r="L386" s="25"/>
      <c r="M386" s="22"/>
    </row>
    <row r="387" spans="1:13" s="20" customFormat="1" ht="12.75">
      <c r="A387" s="14">
        <v>1380</v>
      </c>
      <c r="B387" s="21">
        <v>45072</v>
      </c>
      <c r="C387" s="15">
        <f t="shared" si="13"/>
        <v>45072</v>
      </c>
      <c r="D387" s="16"/>
      <c r="E387" s="73"/>
      <c r="F387" s="92">
        <v>1.87</v>
      </c>
      <c r="G387" s="92"/>
      <c r="H387" s="26">
        <f t="shared" si="12"/>
        <v>-20301147.710000012</v>
      </c>
      <c r="I387" s="25" t="s">
        <v>268</v>
      </c>
      <c r="J387" s="22"/>
      <c r="K387" s="25"/>
      <c r="L387" s="25"/>
      <c r="M387" s="22"/>
    </row>
    <row r="388" spans="1:13" s="20" customFormat="1" ht="12.75">
      <c r="A388" s="14">
        <v>1381</v>
      </c>
      <c r="B388" s="21">
        <v>45072</v>
      </c>
      <c r="C388" s="15">
        <f t="shared" si="13"/>
        <v>45072</v>
      </c>
      <c r="D388" s="16"/>
      <c r="E388" s="73"/>
      <c r="F388" s="92">
        <v>1200000</v>
      </c>
      <c r="G388" s="92"/>
      <c r="H388" s="26">
        <f t="shared" si="12"/>
        <v>-21501147.710000012</v>
      </c>
      <c r="I388" s="25" t="s">
        <v>276</v>
      </c>
      <c r="J388" s="22"/>
      <c r="K388" s="25"/>
      <c r="L388" s="25"/>
      <c r="M388" s="22"/>
    </row>
    <row r="389" spans="1:13" s="20" customFormat="1" ht="12.75">
      <c r="A389" s="14">
        <v>1382</v>
      </c>
      <c r="B389" s="21">
        <v>45072</v>
      </c>
      <c r="C389" s="15">
        <f t="shared" si="13"/>
        <v>45072</v>
      </c>
      <c r="D389" s="16"/>
      <c r="E389" s="73"/>
      <c r="F389" s="92">
        <v>50</v>
      </c>
      <c r="G389" s="92"/>
      <c r="H389" s="26">
        <f t="shared" si="12"/>
        <v>-21501197.710000012</v>
      </c>
      <c r="I389" s="25" t="s">
        <v>268</v>
      </c>
      <c r="J389" s="22"/>
      <c r="K389" s="25"/>
      <c r="L389" s="25"/>
      <c r="M389" s="22"/>
    </row>
    <row r="390" spans="1:13" s="20" customFormat="1" ht="12.75">
      <c r="A390" s="14">
        <v>1383</v>
      </c>
      <c r="B390" s="21">
        <v>45072</v>
      </c>
      <c r="C390" s="15">
        <f t="shared" si="13"/>
        <v>45072</v>
      </c>
      <c r="D390" s="16"/>
      <c r="E390" s="73"/>
      <c r="F390" s="92">
        <v>50000</v>
      </c>
      <c r="G390" s="92"/>
      <c r="H390" s="26">
        <f t="shared" ref="H390:H453" si="14">IFERROR(H389-F390+G390,"")</f>
        <v>-21551197.710000012</v>
      </c>
      <c r="I390" s="25" t="s">
        <v>276</v>
      </c>
      <c r="J390" s="22"/>
      <c r="K390" s="25"/>
      <c r="L390" s="25"/>
      <c r="M390" s="22"/>
    </row>
    <row r="391" spans="1:13" s="20" customFormat="1" ht="12.75">
      <c r="A391" s="14">
        <v>1384</v>
      </c>
      <c r="B391" s="21">
        <v>45072</v>
      </c>
      <c r="C391" s="15">
        <f t="shared" si="13"/>
        <v>45072</v>
      </c>
      <c r="D391" s="16"/>
      <c r="E391" s="73"/>
      <c r="F391" s="92">
        <v>50</v>
      </c>
      <c r="G391" s="92"/>
      <c r="H391" s="26">
        <f t="shared" si="14"/>
        <v>-21551247.710000012</v>
      </c>
      <c r="I391" s="25" t="s">
        <v>268</v>
      </c>
      <c r="J391" s="22"/>
      <c r="K391" s="25"/>
      <c r="L391" s="25"/>
      <c r="M391" s="22"/>
    </row>
    <row r="392" spans="1:13" s="20" customFormat="1" ht="12.75">
      <c r="A392" s="14">
        <v>1385</v>
      </c>
      <c r="B392" s="21">
        <v>45072</v>
      </c>
      <c r="C392" s="15">
        <f t="shared" si="13"/>
        <v>45072</v>
      </c>
      <c r="D392" s="16"/>
      <c r="E392" s="73"/>
      <c r="F392" s="92">
        <v>50000</v>
      </c>
      <c r="G392" s="92"/>
      <c r="H392" s="26">
        <f t="shared" si="14"/>
        <v>-21601247.710000012</v>
      </c>
      <c r="I392" s="25" t="s">
        <v>276</v>
      </c>
      <c r="J392" s="22"/>
      <c r="K392" s="25"/>
      <c r="L392" s="25"/>
      <c r="M392" s="22"/>
    </row>
    <row r="393" spans="1:13" s="20" customFormat="1" ht="12.75">
      <c r="A393" s="14">
        <v>1386</v>
      </c>
      <c r="B393" s="21">
        <v>45072</v>
      </c>
      <c r="C393" s="15">
        <f t="shared" si="13"/>
        <v>45072</v>
      </c>
      <c r="D393" s="16"/>
      <c r="E393" s="73"/>
      <c r="F393" s="92">
        <v>50</v>
      </c>
      <c r="G393" s="92"/>
      <c r="H393" s="26">
        <f t="shared" si="14"/>
        <v>-21601297.710000012</v>
      </c>
      <c r="I393" s="25" t="s">
        <v>268</v>
      </c>
      <c r="J393" s="22"/>
      <c r="K393" s="25"/>
      <c r="L393" s="25"/>
      <c r="M393" s="22"/>
    </row>
    <row r="394" spans="1:13" s="20" customFormat="1" ht="12.75">
      <c r="A394" s="14">
        <v>1387</v>
      </c>
      <c r="B394" s="21">
        <v>45075</v>
      </c>
      <c r="C394" s="15">
        <f t="shared" si="13"/>
        <v>45075</v>
      </c>
      <c r="D394" s="16"/>
      <c r="E394" s="73"/>
      <c r="F394" s="92">
        <v>59100</v>
      </c>
      <c r="G394" s="92"/>
      <c r="H394" s="26">
        <f t="shared" si="14"/>
        <v>-21660397.710000012</v>
      </c>
      <c r="I394" s="25" t="s">
        <v>275</v>
      </c>
      <c r="J394" s="22"/>
      <c r="K394" s="25"/>
      <c r="L394" s="25"/>
      <c r="M394" s="22"/>
    </row>
    <row r="395" spans="1:13" s="20" customFormat="1" ht="12.75">
      <c r="A395" s="14">
        <v>1388</v>
      </c>
      <c r="B395" s="21">
        <v>45075</v>
      </c>
      <c r="C395" s="15">
        <f t="shared" si="13"/>
        <v>45075</v>
      </c>
      <c r="D395" s="16"/>
      <c r="E395" s="73"/>
      <c r="F395" s="92">
        <v>34680</v>
      </c>
      <c r="G395" s="92"/>
      <c r="H395" s="26">
        <f t="shared" si="14"/>
        <v>-21695077.710000012</v>
      </c>
      <c r="I395" s="25" t="s">
        <v>275</v>
      </c>
      <c r="J395" s="22"/>
      <c r="K395" s="25"/>
      <c r="L395" s="25"/>
      <c r="M395" s="22"/>
    </row>
    <row r="396" spans="1:13" s="20" customFormat="1" ht="12.75">
      <c r="A396" s="14">
        <v>1389</v>
      </c>
      <c r="B396" s="21">
        <v>45077</v>
      </c>
      <c r="C396" s="15">
        <f t="shared" si="13"/>
        <v>45077</v>
      </c>
      <c r="D396" s="16"/>
      <c r="E396" s="73"/>
      <c r="F396" s="92">
        <v>23000</v>
      </c>
      <c r="G396" s="92"/>
      <c r="H396" s="26">
        <f t="shared" si="14"/>
        <v>-21718077.710000012</v>
      </c>
      <c r="I396" s="25" t="s">
        <v>275</v>
      </c>
      <c r="J396" s="22"/>
      <c r="K396" s="25"/>
      <c r="L396" s="25"/>
      <c r="M396" s="22"/>
    </row>
    <row r="397" spans="1:13" s="20" customFormat="1" ht="12.75">
      <c r="A397" s="14">
        <v>1390</v>
      </c>
      <c r="B397" s="21">
        <v>45077</v>
      </c>
      <c r="C397" s="15">
        <f t="shared" si="13"/>
        <v>45077</v>
      </c>
      <c r="D397" s="16"/>
      <c r="E397" s="73"/>
      <c r="F397" s="92">
        <v>25</v>
      </c>
      <c r="G397" s="92"/>
      <c r="H397" s="26">
        <f t="shared" si="14"/>
        <v>-21718102.710000012</v>
      </c>
      <c r="I397" s="25" t="s">
        <v>268</v>
      </c>
      <c r="J397" s="22"/>
      <c r="K397" s="25"/>
      <c r="L397" s="25"/>
      <c r="M397" s="22"/>
    </row>
    <row r="398" spans="1:13" s="20" customFormat="1" ht="12.75">
      <c r="A398" s="14">
        <v>1391</v>
      </c>
      <c r="B398" s="21">
        <v>45077</v>
      </c>
      <c r="C398" s="15">
        <f t="shared" si="13"/>
        <v>45077</v>
      </c>
      <c r="D398" s="16"/>
      <c r="E398" s="73"/>
      <c r="F398" s="92">
        <v>1.87</v>
      </c>
      <c r="G398" s="92"/>
      <c r="H398" s="26">
        <f t="shared" si="14"/>
        <v>-21718104.580000013</v>
      </c>
      <c r="I398" s="25" t="s">
        <v>268</v>
      </c>
      <c r="J398" s="22"/>
      <c r="K398" s="25"/>
      <c r="L398" s="25"/>
      <c r="M398" s="22"/>
    </row>
    <row r="399" spans="1:13" s="20" customFormat="1" ht="12.75">
      <c r="A399" s="14">
        <v>1392</v>
      </c>
      <c r="B399" s="21">
        <v>45077</v>
      </c>
      <c r="C399" s="15">
        <f t="shared" si="13"/>
        <v>45077</v>
      </c>
      <c r="D399" s="16"/>
      <c r="E399" s="73"/>
      <c r="F399" s="92"/>
      <c r="G399" s="92">
        <v>5000000</v>
      </c>
      <c r="H399" s="26">
        <f t="shared" si="14"/>
        <v>-16718104.580000013</v>
      </c>
      <c r="I399" s="25" t="s">
        <v>300</v>
      </c>
      <c r="J399" s="22"/>
      <c r="K399" s="25"/>
      <c r="L399" s="25"/>
      <c r="M399" s="22"/>
    </row>
    <row r="400" spans="1:13" s="20" customFormat="1" ht="12.75">
      <c r="A400" s="14">
        <v>1393</v>
      </c>
      <c r="B400" s="21">
        <v>45077</v>
      </c>
      <c r="C400" s="15">
        <f t="shared" si="13"/>
        <v>45077</v>
      </c>
      <c r="D400" s="16"/>
      <c r="E400" s="73"/>
      <c r="F400" s="92"/>
      <c r="G400" s="92">
        <v>4280000</v>
      </c>
      <c r="H400" s="26">
        <f t="shared" si="14"/>
        <v>-12438104.580000013</v>
      </c>
      <c r="I400" s="25" t="s">
        <v>300</v>
      </c>
      <c r="J400" s="22"/>
      <c r="K400" s="25"/>
      <c r="L400" s="25"/>
      <c r="M400" s="22"/>
    </row>
    <row r="401" spans="1:13" s="20" customFormat="1" ht="12.75">
      <c r="A401" s="14">
        <v>1394</v>
      </c>
      <c r="B401" s="21">
        <v>45077</v>
      </c>
      <c r="C401" s="15">
        <f t="shared" si="13"/>
        <v>45077</v>
      </c>
      <c r="D401" s="16"/>
      <c r="E401" s="73"/>
      <c r="F401" s="92">
        <v>432</v>
      </c>
      <c r="G401" s="92"/>
      <c r="H401" s="26">
        <f t="shared" si="14"/>
        <v>-12438536.580000013</v>
      </c>
      <c r="I401" s="25" t="s">
        <v>268</v>
      </c>
      <c r="J401" s="22"/>
      <c r="K401" s="25"/>
      <c r="L401" s="25"/>
      <c r="M401" s="22"/>
    </row>
    <row r="402" spans="1:13" s="20" customFormat="1" ht="12.75">
      <c r="A402" s="14">
        <v>1395</v>
      </c>
      <c r="B402" s="21">
        <v>45077</v>
      </c>
      <c r="C402" s="15">
        <f t="shared" si="13"/>
        <v>45077</v>
      </c>
      <c r="D402" s="16"/>
      <c r="E402" s="73"/>
      <c r="F402" s="92">
        <v>32.4</v>
      </c>
      <c r="G402" s="92"/>
      <c r="H402" s="26">
        <f t="shared" si="14"/>
        <v>-12438568.980000013</v>
      </c>
      <c r="I402" s="25" t="s">
        <v>268</v>
      </c>
      <c r="J402" s="22"/>
      <c r="K402" s="25"/>
      <c r="L402" s="25"/>
      <c r="M402" s="22"/>
    </row>
    <row r="403" spans="1:13" s="20" customFormat="1" ht="12.75">
      <c r="A403" s="14">
        <v>1396</v>
      </c>
      <c r="B403" s="21">
        <v>45077</v>
      </c>
      <c r="C403" s="15">
        <f t="shared" si="13"/>
        <v>45077</v>
      </c>
      <c r="D403" s="16"/>
      <c r="E403" s="73"/>
      <c r="F403" s="92">
        <v>100</v>
      </c>
      <c r="G403" s="92"/>
      <c r="H403" s="26">
        <f t="shared" si="14"/>
        <v>-12438668.980000013</v>
      </c>
      <c r="I403" s="25" t="s">
        <v>268</v>
      </c>
      <c r="J403" s="22"/>
      <c r="K403" s="25"/>
      <c r="L403" s="25"/>
      <c r="M403" s="22"/>
    </row>
    <row r="404" spans="1:13" s="20" customFormat="1" ht="12.75">
      <c r="A404" s="14">
        <v>1397</v>
      </c>
      <c r="B404" s="21">
        <v>45077</v>
      </c>
      <c r="C404" s="15">
        <f t="shared" si="13"/>
        <v>45077</v>
      </c>
      <c r="D404" s="16"/>
      <c r="E404" s="73"/>
      <c r="F404" s="92">
        <v>4642.0200000000004</v>
      </c>
      <c r="G404" s="92"/>
      <c r="H404" s="26">
        <f t="shared" si="14"/>
        <v>-12443311.000000013</v>
      </c>
      <c r="I404" s="25" t="s">
        <v>264</v>
      </c>
      <c r="J404" s="22"/>
      <c r="K404" s="25"/>
      <c r="L404" s="25"/>
      <c r="M404" s="22"/>
    </row>
    <row r="405" spans="1:13" s="20" customFormat="1" ht="12.75">
      <c r="A405" s="14">
        <v>1398</v>
      </c>
      <c r="B405" s="21">
        <v>45077</v>
      </c>
      <c r="C405" s="15">
        <f t="shared" si="13"/>
        <v>45077</v>
      </c>
      <c r="D405" s="16"/>
      <c r="E405" s="73"/>
      <c r="F405" s="92">
        <v>348.15</v>
      </c>
      <c r="G405" s="92"/>
      <c r="H405" s="26">
        <f t="shared" si="14"/>
        <v>-12443659.150000013</v>
      </c>
      <c r="I405" s="25" t="s">
        <v>264</v>
      </c>
      <c r="J405" s="22"/>
      <c r="K405" s="25"/>
      <c r="L405" s="25"/>
      <c r="M405" s="22"/>
    </row>
    <row r="406" spans="1:13" s="20" customFormat="1" ht="12.75">
      <c r="A406" s="14">
        <v>1399</v>
      </c>
      <c r="B406" s="21">
        <v>45078</v>
      </c>
      <c r="C406" s="15">
        <f t="shared" si="13"/>
        <v>45078</v>
      </c>
      <c r="D406" s="16"/>
      <c r="E406" s="73"/>
      <c r="F406" s="92">
        <v>7474675.1799999997</v>
      </c>
      <c r="G406" s="92"/>
      <c r="H406" s="26">
        <f t="shared" si="14"/>
        <v>-19918334.330000013</v>
      </c>
      <c r="I406" s="25" t="s">
        <v>271</v>
      </c>
      <c r="J406" s="22"/>
      <c r="K406" s="25"/>
      <c r="L406" s="25"/>
      <c r="M406" s="22"/>
    </row>
    <row r="407" spans="1:13" s="20" customFormat="1" ht="12.75">
      <c r="A407" s="14">
        <v>1400</v>
      </c>
      <c r="B407" s="21">
        <v>45078</v>
      </c>
      <c r="C407" s="15">
        <f t="shared" si="13"/>
        <v>45078</v>
      </c>
      <c r="D407" s="16"/>
      <c r="E407" s="73"/>
      <c r="F407" s="92">
        <v>618.13</v>
      </c>
      <c r="G407" s="92"/>
      <c r="H407" s="26">
        <f t="shared" si="14"/>
        <v>-19918952.460000012</v>
      </c>
      <c r="I407" s="25" t="s">
        <v>268</v>
      </c>
      <c r="J407" s="22"/>
      <c r="K407" s="25"/>
      <c r="L407" s="25"/>
      <c r="M407" s="22"/>
    </row>
    <row r="408" spans="1:13" s="20" customFormat="1" ht="12.75">
      <c r="A408" s="14">
        <v>1401</v>
      </c>
      <c r="B408" s="21">
        <v>45078</v>
      </c>
      <c r="C408" s="15">
        <f t="shared" si="13"/>
        <v>45078</v>
      </c>
      <c r="D408" s="16"/>
      <c r="E408" s="73"/>
      <c r="F408" s="92">
        <v>660</v>
      </c>
      <c r="G408" s="92"/>
      <c r="H408" s="26">
        <f t="shared" si="14"/>
        <v>-19919612.460000012</v>
      </c>
      <c r="I408" s="25" t="s">
        <v>268</v>
      </c>
      <c r="J408" s="22"/>
      <c r="K408" s="25"/>
      <c r="L408" s="25"/>
      <c r="M408" s="22"/>
    </row>
    <row r="409" spans="1:13" s="20" customFormat="1" ht="12.75">
      <c r="A409" s="14">
        <v>1402</v>
      </c>
      <c r="B409" s="21">
        <v>45078</v>
      </c>
      <c r="C409" s="15">
        <f t="shared" si="13"/>
        <v>45078</v>
      </c>
      <c r="D409" s="16"/>
      <c r="E409" s="73"/>
      <c r="F409" s="92">
        <v>49.5</v>
      </c>
      <c r="G409" s="92"/>
      <c r="H409" s="26">
        <f t="shared" si="14"/>
        <v>-19919661.960000012</v>
      </c>
      <c r="I409" s="25" t="s">
        <v>268</v>
      </c>
      <c r="J409" s="22"/>
      <c r="K409" s="25"/>
      <c r="L409" s="25"/>
      <c r="M409" s="22"/>
    </row>
    <row r="410" spans="1:13" s="20" customFormat="1" ht="12.75">
      <c r="A410" s="14">
        <v>1403</v>
      </c>
      <c r="B410" s="21">
        <v>45079</v>
      </c>
      <c r="C410" s="15">
        <f t="shared" si="13"/>
        <v>45079</v>
      </c>
      <c r="D410" s="16"/>
      <c r="E410" s="73"/>
      <c r="F410" s="92">
        <v>5500</v>
      </c>
      <c r="G410" s="92"/>
      <c r="H410" s="26">
        <f t="shared" si="14"/>
        <v>-19925161.960000012</v>
      </c>
      <c r="I410" s="25" t="s">
        <v>295</v>
      </c>
      <c r="J410" s="22"/>
      <c r="K410" s="25"/>
      <c r="L410" s="25"/>
      <c r="M410" s="22"/>
    </row>
    <row r="411" spans="1:13" s="20" customFormat="1" ht="12.75">
      <c r="A411" s="14">
        <v>1404</v>
      </c>
      <c r="B411" s="21">
        <v>45079</v>
      </c>
      <c r="C411" s="15">
        <f t="shared" si="13"/>
        <v>45079</v>
      </c>
      <c r="D411" s="16"/>
      <c r="E411" s="73"/>
      <c r="F411" s="92">
        <v>6500</v>
      </c>
      <c r="G411" s="92"/>
      <c r="H411" s="26">
        <f t="shared" si="14"/>
        <v>-19931661.960000012</v>
      </c>
      <c r="I411" s="25" t="s">
        <v>294</v>
      </c>
      <c r="J411" s="22"/>
      <c r="K411" s="25"/>
      <c r="L411" s="25"/>
      <c r="M411" s="22"/>
    </row>
    <row r="412" spans="1:13" s="20" customFormat="1" ht="12.75">
      <c r="A412" s="14">
        <v>1405</v>
      </c>
      <c r="B412" s="21">
        <v>45079</v>
      </c>
      <c r="C412" s="15">
        <f t="shared" si="13"/>
        <v>45079</v>
      </c>
      <c r="D412" s="16"/>
      <c r="E412" s="73"/>
      <c r="F412" s="92">
        <v>56390</v>
      </c>
      <c r="G412" s="92"/>
      <c r="H412" s="26">
        <f t="shared" si="14"/>
        <v>-19988051.960000012</v>
      </c>
      <c r="I412" s="25" t="s">
        <v>287</v>
      </c>
      <c r="J412" s="22"/>
      <c r="K412" s="25"/>
      <c r="L412" s="25"/>
      <c r="M412" s="22"/>
    </row>
    <row r="413" spans="1:13" s="20" customFormat="1" ht="12.75">
      <c r="A413" s="14">
        <v>1406</v>
      </c>
      <c r="B413" s="21">
        <v>45079</v>
      </c>
      <c r="C413" s="15">
        <f t="shared" si="13"/>
        <v>45079</v>
      </c>
      <c r="D413" s="16"/>
      <c r="E413" s="73"/>
      <c r="F413" s="92">
        <v>102250</v>
      </c>
      <c r="G413" s="92"/>
      <c r="H413" s="26">
        <f t="shared" si="14"/>
        <v>-20090301.960000012</v>
      </c>
      <c r="I413" s="25" t="s">
        <v>286</v>
      </c>
      <c r="J413" s="22"/>
      <c r="K413" s="25"/>
      <c r="L413" s="25"/>
      <c r="M413" s="22"/>
    </row>
    <row r="414" spans="1:13" s="20" customFormat="1" ht="12.75">
      <c r="A414" s="14">
        <v>1407</v>
      </c>
      <c r="B414" s="21">
        <v>45079</v>
      </c>
      <c r="C414" s="15">
        <f t="shared" si="13"/>
        <v>45079</v>
      </c>
      <c r="D414" s="16"/>
      <c r="E414" s="73"/>
      <c r="F414" s="92">
        <v>20000</v>
      </c>
      <c r="G414" s="92"/>
      <c r="H414" s="26">
        <f t="shared" si="14"/>
        <v>-20110301.960000012</v>
      </c>
      <c r="I414" s="25" t="s">
        <v>273</v>
      </c>
      <c r="J414" s="22"/>
      <c r="K414" s="25"/>
      <c r="L414" s="25"/>
      <c r="M414" s="22"/>
    </row>
    <row r="415" spans="1:13" s="20" customFormat="1" ht="12.75">
      <c r="A415" s="14">
        <v>1408</v>
      </c>
      <c r="B415" s="21">
        <v>45079</v>
      </c>
      <c r="C415" s="15">
        <f t="shared" si="13"/>
        <v>45079</v>
      </c>
      <c r="D415" s="16"/>
      <c r="E415" s="73"/>
      <c r="F415" s="92">
        <v>152000</v>
      </c>
      <c r="G415" s="92"/>
      <c r="H415" s="26">
        <f t="shared" si="14"/>
        <v>-20262301.960000012</v>
      </c>
      <c r="I415" s="25" t="s">
        <v>290</v>
      </c>
      <c r="J415" s="22"/>
      <c r="K415" s="25"/>
      <c r="L415" s="25"/>
      <c r="M415" s="22"/>
    </row>
    <row r="416" spans="1:13" s="20" customFormat="1" ht="12.75">
      <c r="A416" s="14">
        <v>1409</v>
      </c>
      <c r="B416" s="21">
        <v>45079</v>
      </c>
      <c r="C416" s="15">
        <f t="shared" si="13"/>
        <v>45079</v>
      </c>
      <c r="D416" s="16"/>
      <c r="E416" s="73"/>
      <c r="F416" s="92">
        <v>50</v>
      </c>
      <c r="G416" s="92"/>
      <c r="H416" s="26">
        <f t="shared" si="14"/>
        <v>-20262351.960000012</v>
      </c>
      <c r="I416" s="25" t="s">
        <v>268</v>
      </c>
      <c r="J416" s="22"/>
      <c r="K416" s="25"/>
      <c r="L416" s="25"/>
      <c r="M416" s="22"/>
    </row>
    <row r="417" spans="1:13" s="20" customFormat="1" ht="12.75">
      <c r="A417" s="14">
        <v>1410</v>
      </c>
      <c r="B417" s="21">
        <v>45079</v>
      </c>
      <c r="C417" s="15">
        <f t="shared" si="13"/>
        <v>45079</v>
      </c>
      <c r="D417" s="16"/>
      <c r="E417" s="73"/>
      <c r="F417" s="92">
        <v>3.75</v>
      </c>
      <c r="G417" s="92"/>
      <c r="H417" s="26">
        <f t="shared" si="14"/>
        <v>-20262355.710000012</v>
      </c>
      <c r="I417" s="25" t="s">
        <v>268</v>
      </c>
      <c r="J417" s="22"/>
      <c r="K417" s="25"/>
      <c r="L417" s="25"/>
      <c r="M417" s="22"/>
    </row>
    <row r="418" spans="1:13" s="20" customFormat="1" ht="12.75">
      <c r="A418" s="14">
        <v>1411</v>
      </c>
      <c r="B418" s="21">
        <v>45079</v>
      </c>
      <c r="C418" s="15">
        <f t="shared" si="13"/>
        <v>45079</v>
      </c>
      <c r="D418" s="16"/>
      <c r="E418" s="73"/>
      <c r="F418" s="92">
        <v>60000</v>
      </c>
      <c r="G418" s="92"/>
      <c r="H418" s="26">
        <f t="shared" si="14"/>
        <v>-20322355.710000012</v>
      </c>
      <c r="I418" s="25" t="s">
        <v>271</v>
      </c>
      <c r="J418" s="22"/>
      <c r="K418" s="25"/>
      <c r="L418" s="25"/>
      <c r="M418" s="22"/>
    </row>
    <row r="419" spans="1:13" s="20" customFormat="1" ht="12.75">
      <c r="A419" s="14">
        <v>1412</v>
      </c>
      <c r="B419" s="21">
        <v>45079</v>
      </c>
      <c r="C419" s="15">
        <f t="shared" si="13"/>
        <v>45079</v>
      </c>
      <c r="D419" s="16"/>
      <c r="E419" s="73"/>
      <c r="F419" s="92">
        <v>50</v>
      </c>
      <c r="G419" s="92"/>
      <c r="H419" s="26">
        <f t="shared" si="14"/>
        <v>-20322405.710000012</v>
      </c>
      <c r="I419" s="25" t="s">
        <v>268</v>
      </c>
      <c r="J419" s="22"/>
      <c r="K419" s="25"/>
      <c r="L419" s="25"/>
      <c r="M419" s="22"/>
    </row>
    <row r="420" spans="1:13" s="20" customFormat="1" ht="12.75">
      <c r="A420" s="14">
        <v>1413</v>
      </c>
      <c r="B420" s="21">
        <v>45079</v>
      </c>
      <c r="C420" s="15">
        <f t="shared" si="13"/>
        <v>45079</v>
      </c>
      <c r="D420" s="16"/>
      <c r="E420" s="73"/>
      <c r="F420" s="92">
        <v>3.75</v>
      </c>
      <c r="G420" s="92"/>
      <c r="H420" s="26">
        <f t="shared" si="14"/>
        <v>-20322409.460000012</v>
      </c>
      <c r="I420" s="25" t="s">
        <v>268</v>
      </c>
      <c r="J420" s="22"/>
      <c r="K420" s="25"/>
      <c r="L420" s="25"/>
      <c r="M420" s="22"/>
    </row>
    <row r="421" spans="1:13" s="20" customFormat="1" ht="12.75">
      <c r="A421" s="14">
        <v>1414</v>
      </c>
      <c r="B421" s="21">
        <v>45079</v>
      </c>
      <c r="C421" s="15">
        <f t="shared" si="13"/>
        <v>45079</v>
      </c>
      <c r="D421" s="16"/>
      <c r="E421" s="73"/>
      <c r="F421" s="92">
        <v>30000</v>
      </c>
      <c r="G421" s="92"/>
      <c r="H421" s="26">
        <f t="shared" si="14"/>
        <v>-20352409.460000012</v>
      </c>
      <c r="I421" s="25" t="s">
        <v>268</v>
      </c>
      <c r="J421" s="22"/>
      <c r="K421" s="25"/>
      <c r="L421" s="25"/>
      <c r="M421" s="22"/>
    </row>
    <row r="422" spans="1:13" s="20" customFormat="1" ht="12.75">
      <c r="A422" s="14">
        <v>1415</v>
      </c>
      <c r="B422" s="21">
        <v>45079</v>
      </c>
      <c r="C422" s="15">
        <f t="shared" si="13"/>
        <v>45079</v>
      </c>
      <c r="D422" s="16"/>
      <c r="E422" s="73"/>
      <c r="F422" s="92">
        <v>25</v>
      </c>
      <c r="G422" s="92"/>
      <c r="H422" s="26">
        <f t="shared" si="14"/>
        <v>-20352434.460000012</v>
      </c>
      <c r="I422" s="25" t="s">
        <v>268</v>
      </c>
      <c r="J422" s="22"/>
      <c r="K422" s="25"/>
      <c r="L422" s="25"/>
      <c r="M422" s="22"/>
    </row>
    <row r="423" spans="1:13" s="20" customFormat="1" ht="12.75">
      <c r="A423" s="14">
        <v>1416</v>
      </c>
      <c r="B423" s="21">
        <v>45079</v>
      </c>
      <c r="C423" s="15">
        <f t="shared" si="13"/>
        <v>45079</v>
      </c>
      <c r="D423" s="16"/>
      <c r="E423" s="73"/>
      <c r="F423" s="92">
        <v>1.87</v>
      </c>
      <c r="G423" s="92"/>
      <c r="H423" s="26">
        <f t="shared" si="14"/>
        <v>-20352436.330000013</v>
      </c>
      <c r="I423" s="25" t="s">
        <v>268</v>
      </c>
      <c r="J423" s="22"/>
      <c r="K423" s="25"/>
      <c r="L423" s="25"/>
      <c r="M423" s="22"/>
    </row>
    <row r="424" spans="1:13" s="20" customFormat="1" ht="12.75">
      <c r="A424" s="14">
        <v>1417</v>
      </c>
      <c r="B424" s="21">
        <v>45084</v>
      </c>
      <c r="C424" s="15">
        <f t="shared" si="13"/>
        <v>45084</v>
      </c>
      <c r="D424" s="16"/>
      <c r="E424" s="73"/>
      <c r="F424" s="92">
        <v>860400</v>
      </c>
      <c r="G424" s="92"/>
      <c r="H424" s="26">
        <f t="shared" si="14"/>
        <v>-21212836.330000013</v>
      </c>
      <c r="I424" s="25" t="s">
        <v>276</v>
      </c>
      <c r="J424" s="22"/>
      <c r="K424" s="25"/>
      <c r="L424" s="25"/>
      <c r="M424" s="22"/>
    </row>
    <row r="425" spans="1:13" s="20" customFormat="1" ht="12.75">
      <c r="A425" s="14">
        <v>1418</v>
      </c>
      <c r="B425" s="21">
        <v>45084</v>
      </c>
      <c r="C425" s="15">
        <f t="shared" si="13"/>
        <v>45084</v>
      </c>
      <c r="D425" s="16"/>
      <c r="E425" s="73"/>
      <c r="F425" s="92">
        <v>50</v>
      </c>
      <c r="G425" s="92"/>
      <c r="H425" s="26">
        <f t="shared" si="14"/>
        <v>-21212886.330000013</v>
      </c>
      <c r="I425" s="25" t="s">
        <v>268</v>
      </c>
      <c r="J425" s="22"/>
      <c r="K425" s="25"/>
      <c r="L425" s="25"/>
      <c r="M425" s="22"/>
    </row>
    <row r="426" spans="1:13" s="20" customFormat="1" ht="12.75">
      <c r="A426" s="14">
        <v>1419</v>
      </c>
      <c r="B426" s="21">
        <v>45084</v>
      </c>
      <c r="C426" s="15">
        <f t="shared" si="13"/>
        <v>45084</v>
      </c>
      <c r="D426" s="16"/>
      <c r="E426" s="73"/>
      <c r="F426" s="92">
        <v>14000.82</v>
      </c>
      <c r="G426" s="92"/>
      <c r="H426" s="26">
        <f t="shared" si="14"/>
        <v>-21226887.150000013</v>
      </c>
      <c r="I426" s="25" t="s">
        <v>271</v>
      </c>
      <c r="J426" s="22"/>
      <c r="K426" s="25"/>
      <c r="L426" s="25"/>
      <c r="M426" s="22"/>
    </row>
    <row r="427" spans="1:13" s="20" customFormat="1" ht="12.75">
      <c r="A427" s="14">
        <v>1420</v>
      </c>
      <c r="B427" s="21">
        <v>45084</v>
      </c>
      <c r="C427" s="15">
        <f t="shared" si="13"/>
        <v>45084</v>
      </c>
      <c r="D427" s="16"/>
      <c r="E427" s="73"/>
      <c r="F427" s="92">
        <v>25</v>
      </c>
      <c r="G427" s="92"/>
      <c r="H427" s="26">
        <f t="shared" si="14"/>
        <v>-21226912.150000013</v>
      </c>
      <c r="I427" s="25" t="s">
        <v>268</v>
      </c>
      <c r="J427" s="22"/>
      <c r="K427" s="25"/>
      <c r="L427" s="25"/>
      <c r="M427" s="22"/>
    </row>
    <row r="428" spans="1:13" s="20" customFormat="1" ht="12.75">
      <c r="A428" s="14">
        <v>1421</v>
      </c>
      <c r="B428" s="21">
        <v>45084</v>
      </c>
      <c r="C428" s="15">
        <f t="shared" si="13"/>
        <v>45084</v>
      </c>
      <c r="D428" s="16"/>
      <c r="E428" s="73"/>
      <c r="F428" s="92">
        <v>1.87</v>
      </c>
      <c r="G428" s="92"/>
      <c r="H428" s="26">
        <f t="shared" si="14"/>
        <v>-21226914.020000014</v>
      </c>
      <c r="I428" s="25" t="s">
        <v>268</v>
      </c>
      <c r="J428" s="22"/>
      <c r="K428" s="25"/>
      <c r="L428" s="25"/>
      <c r="M428" s="22"/>
    </row>
    <row r="429" spans="1:13" s="20" customFormat="1" ht="12.75">
      <c r="A429" s="14">
        <v>1422</v>
      </c>
      <c r="B429" s="21">
        <v>45084</v>
      </c>
      <c r="C429" s="15">
        <f t="shared" si="13"/>
        <v>45084</v>
      </c>
      <c r="D429" s="16"/>
      <c r="E429" s="73"/>
      <c r="F429" s="92">
        <v>57819.67</v>
      </c>
      <c r="G429" s="92"/>
      <c r="H429" s="26">
        <f t="shared" si="14"/>
        <v>-21284733.690000016</v>
      </c>
      <c r="I429" s="25" t="s">
        <v>271</v>
      </c>
      <c r="J429" s="22"/>
      <c r="K429" s="25"/>
      <c r="L429" s="25"/>
      <c r="M429" s="22"/>
    </row>
    <row r="430" spans="1:13" s="20" customFormat="1" ht="12.75">
      <c r="A430" s="14">
        <v>1423</v>
      </c>
      <c r="B430" s="21">
        <v>45084</v>
      </c>
      <c r="C430" s="15">
        <f t="shared" ref="C430:C474" si="15">B430</f>
        <v>45084</v>
      </c>
      <c r="D430" s="16"/>
      <c r="E430" s="73"/>
      <c r="F430" s="92">
        <v>50</v>
      </c>
      <c r="G430" s="92"/>
      <c r="H430" s="26">
        <f t="shared" si="14"/>
        <v>-21284783.690000016</v>
      </c>
      <c r="I430" s="25" t="s">
        <v>268</v>
      </c>
      <c r="J430" s="22"/>
      <c r="K430" s="25"/>
      <c r="L430" s="25"/>
      <c r="M430" s="22"/>
    </row>
    <row r="431" spans="1:13" s="20" customFormat="1" ht="12.75">
      <c r="A431" s="14">
        <v>1424</v>
      </c>
      <c r="B431" s="21">
        <v>45084</v>
      </c>
      <c r="C431" s="15">
        <f t="shared" si="15"/>
        <v>45084</v>
      </c>
      <c r="D431" s="16"/>
      <c r="E431" s="73"/>
      <c r="F431" s="92">
        <v>3.75</v>
      </c>
      <c r="G431" s="92"/>
      <c r="H431" s="26">
        <f t="shared" si="14"/>
        <v>-21284787.440000016</v>
      </c>
      <c r="I431" s="25" t="s">
        <v>268</v>
      </c>
      <c r="J431" s="22"/>
      <c r="K431" s="25"/>
      <c r="L431" s="25"/>
      <c r="M431" s="22"/>
    </row>
    <row r="432" spans="1:13" s="20" customFormat="1" ht="12.75">
      <c r="A432" s="14">
        <v>1425</v>
      </c>
      <c r="B432" s="21">
        <v>45084</v>
      </c>
      <c r="C432" s="15">
        <f t="shared" si="15"/>
        <v>45084</v>
      </c>
      <c r="D432" s="16"/>
      <c r="E432" s="73"/>
      <c r="F432" s="92">
        <v>100</v>
      </c>
      <c r="G432" s="92"/>
      <c r="H432" s="26">
        <f t="shared" si="14"/>
        <v>-21284887.440000016</v>
      </c>
      <c r="I432" s="25" t="s">
        <v>268</v>
      </c>
      <c r="J432" s="22"/>
      <c r="K432" s="25"/>
      <c r="L432" s="25"/>
      <c r="M432" s="22"/>
    </row>
    <row r="433" spans="1:13" s="20" customFormat="1" ht="12.75">
      <c r="A433" s="14">
        <v>1426</v>
      </c>
      <c r="B433" s="21">
        <v>45084</v>
      </c>
      <c r="C433" s="15">
        <f t="shared" si="15"/>
        <v>45084</v>
      </c>
      <c r="D433" s="16"/>
      <c r="E433" s="73"/>
      <c r="F433" s="92">
        <v>5911.25</v>
      </c>
      <c r="G433" s="92"/>
      <c r="H433" s="26">
        <f t="shared" si="14"/>
        <v>-21290798.690000016</v>
      </c>
      <c r="I433" s="25" t="s">
        <v>286</v>
      </c>
      <c r="J433" s="22"/>
      <c r="K433" s="25"/>
      <c r="L433" s="25"/>
      <c r="M433" s="22"/>
    </row>
    <row r="434" spans="1:13" s="20" customFormat="1" ht="12.75">
      <c r="A434" s="14">
        <v>1427</v>
      </c>
      <c r="B434" s="21">
        <v>45084</v>
      </c>
      <c r="C434" s="15">
        <f t="shared" si="15"/>
        <v>45084</v>
      </c>
      <c r="D434" s="16"/>
      <c r="E434" s="73"/>
      <c r="F434" s="92">
        <v>8250.51</v>
      </c>
      <c r="G434" s="92"/>
      <c r="H434" s="26">
        <f t="shared" si="14"/>
        <v>-21299049.200000018</v>
      </c>
      <c r="I434" s="25" t="s">
        <v>271</v>
      </c>
      <c r="J434" s="22"/>
      <c r="K434" s="25"/>
      <c r="L434" s="25"/>
      <c r="M434" s="22"/>
    </row>
    <row r="435" spans="1:13" s="20" customFormat="1" ht="12.75">
      <c r="A435" s="14">
        <v>1428</v>
      </c>
      <c r="B435" s="21">
        <v>45084</v>
      </c>
      <c r="C435" s="15">
        <f t="shared" si="15"/>
        <v>45084</v>
      </c>
      <c r="D435" s="16"/>
      <c r="E435" s="73"/>
      <c r="F435" s="92">
        <v>25</v>
      </c>
      <c r="G435" s="92"/>
      <c r="H435" s="26">
        <f t="shared" si="14"/>
        <v>-21299074.200000018</v>
      </c>
      <c r="I435" s="25" t="s">
        <v>268</v>
      </c>
      <c r="J435" s="22"/>
      <c r="K435" s="25"/>
      <c r="L435" s="25"/>
      <c r="M435" s="22"/>
    </row>
    <row r="436" spans="1:13" s="20" customFormat="1" ht="12.75">
      <c r="A436" s="14">
        <v>1429</v>
      </c>
      <c r="B436" s="21">
        <v>45084</v>
      </c>
      <c r="C436" s="15">
        <f t="shared" si="15"/>
        <v>45084</v>
      </c>
      <c r="D436" s="16"/>
      <c r="E436" s="73"/>
      <c r="F436" s="92">
        <v>1.87</v>
      </c>
      <c r="G436" s="92"/>
      <c r="H436" s="26">
        <f t="shared" si="14"/>
        <v>-21299076.070000019</v>
      </c>
      <c r="I436" s="25" t="s">
        <v>268</v>
      </c>
      <c r="J436" s="22"/>
      <c r="K436" s="25"/>
      <c r="L436" s="25"/>
      <c r="M436" s="22"/>
    </row>
    <row r="437" spans="1:13" s="20" customFormat="1" ht="12.75">
      <c r="A437" s="14">
        <v>1430</v>
      </c>
      <c r="B437" s="21">
        <v>45084</v>
      </c>
      <c r="C437" s="15">
        <f t="shared" si="15"/>
        <v>45084</v>
      </c>
      <c r="D437" s="16"/>
      <c r="E437" s="73"/>
      <c r="F437" s="92">
        <v>916507.66</v>
      </c>
      <c r="G437" s="92"/>
      <c r="H437" s="26">
        <f t="shared" si="14"/>
        <v>-22215583.730000019</v>
      </c>
      <c r="I437" s="25" t="s">
        <v>272</v>
      </c>
      <c r="J437" s="22"/>
      <c r="K437" s="25"/>
      <c r="L437" s="25"/>
      <c r="M437" s="22"/>
    </row>
    <row r="438" spans="1:13" s="20" customFormat="1" ht="12.75">
      <c r="A438" s="14">
        <v>1431</v>
      </c>
      <c r="B438" s="21">
        <v>45084</v>
      </c>
      <c r="C438" s="15">
        <f t="shared" si="15"/>
        <v>45084</v>
      </c>
      <c r="D438" s="16"/>
      <c r="E438" s="73"/>
      <c r="F438" s="92">
        <v>100</v>
      </c>
      <c r="G438" s="92"/>
      <c r="H438" s="26">
        <f t="shared" si="14"/>
        <v>-22215683.730000019</v>
      </c>
      <c r="I438" s="25" t="s">
        <v>268</v>
      </c>
      <c r="J438" s="22"/>
      <c r="K438" s="25"/>
      <c r="L438" s="25"/>
      <c r="M438" s="22"/>
    </row>
    <row r="439" spans="1:13" s="20" customFormat="1" ht="12.75">
      <c r="A439" s="14">
        <v>1432</v>
      </c>
      <c r="B439" s="21">
        <v>45084</v>
      </c>
      <c r="C439" s="15">
        <f t="shared" si="15"/>
        <v>45084</v>
      </c>
      <c r="D439" s="16"/>
      <c r="E439" s="73"/>
      <c r="F439" s="92">
        <v>109975.05</v>
      </c>
      <c r="G439" s="92"/>
      <c r="H439" s="26">
        <f t="shared" si="14"/>
        <v>-22325658.78000002</v>
      </c>
      <c r="I439" s="25" t="s">
        <v>271</v>
      </c>
      <c r="J439" s="22"/>
      <c r="K439" s="25"/>
      <c r="L439" s="25"/>
      <c r="M439" s="22"/>
    </row>
    <row r="440" spans="1:13" s="20" customFormat="1" ht="12.75">
      <c r="A440" s="14">
        <v>1433</v>
      </c>
      <c r="B440" s="21">
        <v>45084</v>
      </c>
      <c r="C440" s="15">
        <f t="shared" si="15"/>
        <v>45084</v>
      </c>
      <c r="D440" s="16"/>
      <c r="E440" s="73"/>
      <c r="F440" s="92">
        <v>45</v>
      </c>
      <c r="G440" s="92"/>
      <c r="H440" s="26">
        <f t="shared" si="14"/>
        <v>-22325703.78000002</v>
      </c>
      <c r="I440" s="25" t="s">
        <v>268</v>
      </c>
      <c r="J440" s="22"/>
      <c r="K440" s="25"/>
      <c r="L440" s="25"/>
      <c r="M440" s="22"/>
    </row>
    <row r="441" spans="1:13" s="20" customFormat="1" ht="12.75">
      <c r="A441" s="14">
        <v>1434</v>
      </c>
      <c r="B441" s="21">
        <v>45084</v>
      </c>
      <c r="C441" s="15">
        <f t="shared" si="15"/>
        <v>45084</v>
      </c>
      <c r="D441" s="16"/>
      <c r="E441" s="73"/>
      <c r="F441" s="92">
        <v>3.38</v>
      </c>
      <c r="G441" s="92"/>
      <c r="H441" s="26">
        <f t="shared" si="14"/>
        <v>-22325707.160000019</v>
      </c>
      <c r="I441" s="25" t="s">
        <v>268</v>
      </c>
      <c r="J441" s="22"/>
      <c r="K441" s="25"/>
      <c r="L441" s="25"/>
      <c r="M441" s="22"/>
    </row>
    <row r="442" spans="1:13" s="20" customFormat="1" ht="12.75">
      <c r="A442" s="14">
        <v>1435</v>
      </c>
      <c r="B442" s="21">
        <v>45084</v>
      </c>
      <c r="C442" s="15">
        <f t="shared" si="15"/>
        <v>45084</v>
      </c>
      <c r="D442" s="16"/>
      <c r="E442" s="73"/>
      <c r="F442" s="92">
        <v>74774.58</v>
      </c>
      <c r="G442" s="92"/>
      <c r="H442" s="26">
        <f t="shared" si="14"/>
        <v>-22400481.740000017</v>
      </c>
      <c r="I442" s="25" t="s">
        <v>271</v>
      </c>
      <c r="J442" s="22"/>
      <c r="K442" s="25"/>
      <c r="L442" s="25"/>
      <c r="M442" s="22"/>
    </row>
    <row r="443" spans="1:13" s="20" customFormat="1" ht="12.75">
      <c r="A443" s="14">
        <v>1436</v>
      </c>
      <c r="B443" s="21">
        <v>45091</v>
      </c>
      <c r="C443" s="15">
        <f t="shared" si="15"/>
        <v>45091</v>
      </c>
      <c r="D443" s="16"/>
      <c r="E443" s="73"/>
      <c r="F443" s="92">
        <v>100</v>
      </c>
      <c r="G443" s="92"/>
      <c r="H443" s="26">
        <f t="shared" si="14"/>
        <v>-22400581.740000017</v>
      </c>
      <c r="I443" s="25" t="s">
        <v>268</v>
      </c>
      <c r="J443" s="22"/>
      <c r="K443" s="25"/>
      <c r="L443" s="25"/>
      <c r="M443" s="22"/>
    </row>
    <row r="444" spans="1:13" s="20" customFormat="1" ht="12.75">
      <c r="A444" s="14">
        <v>1437</v>
      </c>
      <c r="B444" s="21">
        <v>45091</v>
      </c>
      <c r="C444" s="15">
        <f t="shared" si="15"/>
        <v>45091</v>
      </c>
      <c r="D444" s="16"/>
      <c r="E444" s="73"/>
      <c r="F444" s="92">
        <v>3127.63</v>
      </c>
      <c r="G444" s="92"/>
      <c r="H444" s="26">
        <f t="shared" si="14"/>
        <v>-22403709.370000016</v>
      </c>
      <c r="I444" s="25" t="s">
        <v>272</v>
      </c>
      <c r="J444" s="22"/>
      <c r="K444" s="25"/>
      <c r="L444" s="25"/>
      <c r="M444" s="22"/>
    </row>
    <row r="445" spans="1:13" s="20" customFormat="1" ht="12.75">
      <c r="A445" s="14">
        <v>1438</v>
      </c>
      <c r="B445" s="21">
        <v>45091</v>
      </c>
      <c r="C445" s="15">
        <f t="shared" si="15"/>
        <v>45091</v>
      </c>
      <c r="D445" s="16"/>
      <c r="E445" s="73"/>
      <c r="F445" s="92">
        <v>91210</v>
      </c>
      <c r="G445" s="92"/>
      <c r="H445" s="26">
        <f t="shared" si="14"/>
        <v>-22494919.370000016</v>
      </c>
      <c r="I445" s="25" t="s">
        <v>278</v>
      </c>
      <c r="J445" s="22"/>
      <c r="K445" s="25"/>
      <c r="L445" s="25"/>
      <c r="M445" s="22"/>
    </row>
    <row r="446" spans="1:13" s="20" customFormat="1" ht="12.75">
      <c r="A446" s="14">
        <v>1439</v>
      </c>
      <c r="B446" s="21">
        <v>45091</v>
      </c>
      <c r="C446" s="15">
        <f t="shared" si="15"/>
        <v>45091</v>
      </c>
      <c r="D446" s="16"/>
      <c r="E446" s="73"/>
      <c r="F446" s="92">
        <v>50</v>
      </c>
      <c r="G446" s="92"/>
      <c r="H446" s="26">
        <f t="shared" si="14"/>
        <v>-22494969.370000016</v>
      </c>
      <c r="I446" s="25" t="s">
        <v>268</v>
      </c>
      <c r="J446" s="22"/>
      <c r="K446" s="25"/>
      <c r="L446" s="25"/>
      <c r="M446" s="22"/>
    </row>
    <row r="447" spans="1:13" s="20" customFormat="1" ht="12.75">
      <c r="A447" s="14">
        <v>1440</v>
      </c>
      <c r="B447" s="21">
        <v>45091</v>
      </c>
      <c r="C447" s="15">
        <f t="shared" si="15"/>
        <v>45091</v>
      </c>
      <c r="D447" s="16"/>
      <c r="E447" s="73"/>
      <c r="F447" s="92">
        <v>3.75</v>
      </c>
      <c r="G447" s="92"/>
      <c r="H447" s="26">
        <f t="shared" si="14"/>
        <v>-22494973.120000016</v>
      </c>
      <c r="I447" s="25" t="s">
        <v>268</v>
      </c>
      <c r="J447" s="22"/>
      <c r="K447" s="25"/>
      <c r="L447" s="25"/>
      <c r="M447" s="22"/>
    </row>
    <row r="448" spans="1:13" s="20" customFormat="1" ht="12.75">
      <c r="A448" s="14">
        <v>1441</v>
      </c>
      <c r="B448" s="21">
        <v>45092</v>
      </c>
      <c r="C448" s="15">
        <f t="shared" si="15"/>
        <v>45092</v>
      </c>
      <c r="D448" s="16"/>
      <c r="E448" s="73"/>
      <c r="F448" s="92">
        <v>63024.29</v>
      </c>
      <c r="G448" s="92"/>
      <c r="H448" s="26">
        <f t="shared" si="14"/>
        <v>-22557997.410000015</v>
      </c>
      <c r="I448" s="25" t="s">
        <v>271</v>
      </c>
      <c r="J448" s="22"/>
      <c r="K448" s="25"/>
      <c r="L448" s="25"/>
      <c r="M448" s="22"/>
    </row>
    <row r="449" spans="1:13" s="20" customFormat="1" ht="12.75">
      <c r="A449" s="14">
        <v>1442</v>
      </c>
      <c r="B449" s="21">
        <v>45092</v>
      </c>
      <c r="C449" s="15">
        <f t="shared" si="15"/>
        <v>45092</v>
      </c>
      <c r="D449" s="16"/>
      <c r="E449" s="73"/>
      <c r="F449" s="92"/>
      <c r="G449" s="92">
        <v>4660000</v>
      </c>
      <c r="H449" s="26">
        <f t="shared" si="14"/>
        <v>-17897997.410000015</v>
      </c>
      <c r="I449" s="25" t="s">
        <v>300</v>
      </c>
      <c r="J449" s="22"/>
      <c r="K449" s="25"/>
      <c r="L449" s="25"/>
      <c r="M449" s="22"/>
    </row>
    <row r="450" spans="1:13" s="20" customFormat="1" ht="12.75">
      <c r="A450" s="14">
        <v>1443</v>
      </c>
      <c r="B450" s="21">
        <v>45092</v>
      </c>
      <c r="C450" s="15">
        <f t="shared" si="15"/>
        <v>45092</v>
      </c>
      <c r="D450" s="16"/>
      <c r="E450" s="73"/>
      <c r="F450" s="92">
        <v>50</v>
      </c>
      <c r="G450" s="92"/>
      <c r="H450" s="26">
        <f t="shared" si="14"/>
        <v>-17898047.410000015</v>
      </c>
      <c r="I450" s="25" t="s">
        <v>268</v>
      </c>
      <c r="J450" s="22"/>
      <c r="K450" s="25"/>
      <c r="L450" s="25"/>
      <c r="M450" s="22"/>
    </row>
    <row r="451" spans="1:13" s="20" customFormat="1" ht="12.75">
      <c r="A451" s="14">
        <v>1444</v>
      </c>
      <c r="B451" s="21">
        <v>45098</v>
      </c>
      <c r="C451" s="15">
        <f t="shared" si="15"/>
        <v>45098</v>
      </c>
      <c r="D451" s="16"/>
      <c r="E451" s="73"/>
      <c r="F451" s="92">
        <v>111093.66</v>
      </c>
      <c r="G451" s="92"/>
      <c r="H451" s="26">
        <f t="shared" si="14"/>
        <v>-18009141.070000015</v>
      </c>
      <c r="I451" s="25" t="s">
        <v>271</v>
      </c>
      <c r="J451" s="22"/>
      <c r="K451" s="25"/>
      <c r="L451" s="25"/>
      <c r="M451" s="22"/>
    </row>
    <row r="452" spans="1:13" s="20" customFormat="1" ht="12.75">
      <c r="A452" s="14">
        <v>1445</v>
      </c>
      <c r="B452" s="21">
        <v>45098</v>
      </c>
      <c r="C452" s="15">
        <f t="shared" si="15"/>
        <v>45098</v>
      </c>
      <c r="D452" s="16"/>
      <c r="E452" s="73"/>
      <c r="F452" s="92">
        <v>100994.24000000001</v>
      </c>
      <c r="G452" s="92"/>
      <c r="H452" s="26">
        <f t="shared" si="14"/>
        <v>-18110135.310000014</v>
      </c>
      <c r="I452" s="25" t="s">
        <v>271</v>
      </c>
      <c r="J452" s="22"/>
      <c r="K452" s="25"/>
      <c r="L452" s="25"/>
      <c r="M452" s="22"/>
    </row>
    <row r="453" spans="1:13" s="20" customFormat="1" ht="12.75">
      <c r="A453" s="14">
        <v>1446</v>
      </c>
      <c r="B453" s="21">
        <v>45098</v>
      </c>
      <c r="C453" s="15">
        <f t="shared" si="15"/>
        <v>45098</v>
      </c>
      <c r="D453" s="16"/>
      <c r="E453" s="73"/>
      <c r="F453" s="92">
        <v>50</v>
      </c>
      <c r="G453" s="92"/>
      <c r="H453" s="26">
        <f t="shared" si="14"/>
        <v>-18110185.310000014</v>
      </c>
      <c r="I453" s="25" t="s">
        <v>268</v>
      </c>
      <c r="J453" s="22"/>
      <c r="K453" s="25"/>
      <c r="L453" s="25"/>
      <c r="M453" s="22"/>
    </row>
    <row r="454" spans="1:13" s="20" customFormat="1" ht="12.75">
      <c r="A454" s="14">
        <v>1447</v>
      </c>
      <c r="B454" s="21">
        <v>45098</v>
      </c>
      <c r="C454" s="15">
        <f t="shared" si="15"/>
        <v>45098</v>
      </c>
      <c r="D454" s="16"/>
      <c r="E454" s="73"/>
      <c r="F454" s="92">
        <v>3.75</v>
      </c>
      <c r="G454" s="92"/>
      <c r="H454" s="26">
        <f t="shared" ref="H454:H474" si="16">IFERROR(H453-F454+G454,"")</f>
        <v>-18110189.060000014</v>
      </c>
      <c r="I454" s="25" t="s">
        <v>268</v>
      </c>
      <c r="J454" s="22"/>
      <c r="K454" s="25"/>
      <c r="L454" s="25"/>
      <c r="M454" s="22"/>
    </row>
    <row r="455" spans="1:13" s="20" customFormat="1" ht="12.75">
      <c r="A455" s="14">
        <v>1448</v>
      </c>
      <c r="B455" s="21">
        <v>45103</v>
      </c>
      <c r="C455" s="15">
        <f t="shared" si="15"/>
        <v>45103</v>
      </c>
      <c r="D455" s="16"/>
      <c r="E455" s="73"/>
      <c r="F455" s="92">
        <v>124050</v>
      </c>
      <c r="G455" s="92"/>
      <c r="H455" s="26">
        <f t="shared" si="16"/>
        <v>-18234239.060000014</v>
      </c>
      <c r="I455" s="25" t="s">
        <v>275</v>
      </c>
      <c r="J455" s="22"/>
      <c r="K455" s="25"/>
      <c r="L455" s="25"/>
      <c r="M455" s="22"/>
    </row>
    <row r="456" spans="1:13" s="20" customFormat="1" ht="12.75">
      <c r="A456" s="14">
        <v>1449</v>
      </c>
      <c r="B456" s="21">
        <v>45103</v>
      </c>
      <c r="C456" s="15">
        <f t="shared" si="15"/>
        <v>45103</v>
      </c>
      <c r="D456" s="16"/>
      <c r="E456" s="73"/>
      <c r="F456" s="92">
        <v>23700</v>
      </c>
      <c r="G456" s="92"/>
      <c r="H456" s="26">
        <f t="shared" si="16"/>
        <v>-18257939.060000014</v>
      </c>
      <c r="I456" s="25" t="s">
        <v>275</v>
      </c>
      <c r="J456" s="22"/>
      <c r="K456" s="25"/>
      <c r="L456" s="25"/>
      <c r="M456" s="22"/>
    </row>
    <row r="457" spans="1:13" s="20" customFormat="1" ht="12.75">
      <c r="A457" s="14">
        <v>1450</v>
      </c>
      <c r="B457" s="21">
        <v>45103</v>
      </c>
      <c r="C457" s="15">
        <f t="shared" si="15"/>
        <v>45103</v>
      </c>
      <c r="D457" s="16"/>
      <c r="E457" s="73"/>
      <c r="F457" s="92">
        <v>25</v>
      </c>
      <c r="G457" s="92"/>
      <c r="H457" s="26">
        <f t="shared" si="16"/>
        <v>-18257964.060000014</v>
      </c>
      <c r="I457" s="25" t="s">
        <v>268</v>
      </c>
      <c r="J457" s="22"/>
      <c r="K457" s="25"/>
      <c r="L457" s="25"/>
      <c r="M457" s="22"/>
    </row>
    <row r="458" spans="1:13" s="20" customFormat="1" ht="12.75">
      <c r="A458" s="14">
        <v>1451</v>
      </c>
      <c r="B458" s="21">
        <v>45103</v>
      </c>
      <c r="C458" s="15">
        <f t="shared" si="15"/>
        <v>45103</v>
      </c>
      <c r="D458" s="16"/>
      <c r="E458" s="73"/>
      <c r="F458" s="92">
        <v>1.87</v>
      </c>
      <c r="G458" s="92"/>
      <c r="H458" s="26">
        <f t="shared" si="16"/>
        <v>-18257965.930000015</v>
      </c>
      <c r="I458" s="25" t="s">
        <v>268</v>
      </c>
      <c r="J458" s="22"/>
      <c r="K458" s="25"/>
      <c r="L458" s="25"/>
      <c r="M458" s="22"/>
    </row>
    <row r="459" spans="1:13" s="20" customFormat="1" ht="12.75">
      <c r="A459" s="14">
        <v>1452</v>
      </c>
      <c r="B459" s="21">
        <v>45103</v>
      </c>
      <c r="C459" s="15">
        <f t="shared" si="15"/>
        <v>45103</v>
      </c>
      <c r="D459" s="16"/>
      <c r="E459" s="73"/>
      <c r="F459" s="92">
        <v>300000</v>
      </c>
      <c r="G459" s="92"/>
      <c r="H459" s="26">
        <f t="shared" si="16"/>
        <v>-18557965.930000015</v>
      </c>
      <c r="I459" s="25" t="s">
        <v>289</v>
      </c>
      <c r="J459" s="22"/>
      <c r="K459" s="25"/>
      <c r="L459" s="25"/>
      <c r="M459" s="22"/>
    </row>
    <row r="460" spans="1:13" s="20" customFormat="1" ht="12.75">
      <c r="A460" s="14">
        <v>1453</v>
      </c>
      <c r="B460" s="21">
        <v>45103</v>
      </c>
      <c r="C460" s="15">
        <f t="shared" si="15"/>
        <v>45103</v>
      </c>
      <c r="D460" s="16"/>
      <c r="E460" s="73"/>
      <c r="F460" s="92">
        <v>111093.66</v>
      </c>
      <c r="G460" s="92"/>
      <c r="H460" s="26">
        <f t="shared" si="16"/>
        <v>-18669059.590000015</v>
      </c>
      <c r="I460" s="25" t="s">
        <v>271</v>
      </c>
      <c r="J460" s="22"/>
      <c r="K460" s="25"/>
      <c r="L460" s="25"/>
      <c r="M460" s="22"/>
    </row>
    <row r="461" spans="1:13" s="20" customFormat="1" ht="12.75">
      <c r="A461" s="14">
        <v>1454</v>
      </c>
      <c r="B461" s="21">
        <v>45103</v>
      </c>
      <c r="C461" s="15">
        <f t="shared" si="15"/>
        <v>45103</v>
      </c>
      <c r="D461" s="16"/>
      <c r="E461" s="73"/>
      <c r="F461" s="92">
        <v>50</v>
      </c>
      <c r="G461" s="92"/>
      <c r="H461" s="26">
        <f t="shared" si="16"/>
        <v>-18669109.590000015</v>
      </c>
      <c r="I461" s="25" t="s">
        <v>268</v>
      </c>
      <c r="J461" s="22"/>
      <c r="K461" s="25"/>
      <c r="L461" s="25"/>
      <c r="M461" s="22"/>
    </row>
    <row r="462" spans="1:13" s="20" customFormat="1" ht="12.75">
      <c r="A462" s="14">
        <v>1455</v>
      </c>
      <c r="B462" s="21">
        <v>45103</v>
      </c>
      <c r="C462" s="15">
        <f t="shared" si="15"/>
        <v>45103</v>
      </c>
      <c r="D462" s="16"/>
      <c r="E462" s="73"/>
      <c r="F462" s="92">
        <v>3.75</v>
      </c>
      <c r="G462" s="92"/>
      <c r="H462" s="26">
        <f t="shared" si="16"/>
        <v>-18669113.340000015</v>
      </c>
      <c r="I462" s="25" t="s">
        <v>268</v>
      </c>
      <c r="J462" s="22"/>
      <c r="K462" s="25"/>
      <c r="L462" s="25"/>
      <c r="M462" s="22"/>
    </row>
    <row r="463" spans="1:13" s="20" customFormat="1" ht="12.75">
      <c r="A463" s="14">
        <v>1456</v>
      </c>
      <c r="B463" s="21">
        <v>45103</v>
      </c>
      <c r="C463" s="15">
        <f t="shared" si="15"/>
        <v>45103</v>
      </c>
      <c r="D463" s="16"/>
      <c r="E463" s="73"/>
      <c r="F463" s="92">
        <v>9505.93</v>
      </c>
      <c r="G463" s="92"/>
      <c r="H463" s="26">
        <f t="shared" si="16"/>
        <v>-18678619.270000014</v>
      </c>
      <c r="I463" s="25" t="s">
        <v>280</v>
      </c>
      <c r="J463" s="22"/>
      <c r="K463" s="25"/>
      <c r="L463" s="25"/>
      <c r="M463" s="22"/>
    </row>
    <row r="464" spans="1:13" s="20" customFormat="1" ht="12.75">
      <c r="A464" s="14">
        <v>1457</v>
      </c>
      <c r="B464" s="21">
        <v>45107</v>
      </c>
      <c r="C464" s="15">
        <f t="shared" si="15"/>
        <v>45107</v>
      </c>
      <c r="D464" s="16"/>
      <c r="E464" s="73"/>
      <c r="F464" s="92">
        <v>352</v>
      </c>
      <c r="G464" s="92"/>
      <c r="H464" s="26">
        <f t="shared" si="16"/>
        <v>-18678971.270000014</v>
      </c>
      <c r="I464" s="25" t="s">
        <v>268</v>
      </c>
      <c r="J464" s="22"/>
      <c r="K464" s="25"/>
      <c r="L464" s="25"/>
      <c r="M464" s="22"/>
    </row>
    <row r="465" spans="1:13" s="20" customFormat="1" ht="12.75">
      <c r="A465" s="14">
        <v>1458</v>
      </c>
      <c r="B465" s="21">
        <v>45107</v>
      </c>
      <c r="C465" s="15">
        <f t="shared" si="15"/>
        <v>45107</v>
      </c>
      <c r="D465" s="16"/>
      <c r="E465" s="73"/>
      <c r="F465" s="92">
        <v>26.4</v>
      </c>
      <c r="G465" s="92"/>
      <c r="H465" s="26">
        <f t="shared" si="16"/>
        <v>-18678997.670000013</v>
      </c>
      <c r="I465" s="25" t="s">
        <v>268</v>
      </c>
      <c r="J465" s="22"/>
      <c r="K465" s="25"/>
      <c r="L465" s="25"/>
      <c r="M465" s="22"/>
    </row>
    <row r="466" spans="1:13" s="20" customFormat="1" ht="12.75">
      <c r="A466" s="14">
        <v>1459</v>
      </c>
      <c r="B466" s="21">
        <v>45107</v>
      </c>
      <c r="C466" s="15">
        <f t="shared" si="15"/>
        <v>45107</v>
      </c>
      <c r="D466" s="16"/>
      <c r="E466" s="73"/>
      <c r="F466" s="92">
        <v>1200000</v>
      </c>
      <c r="G466" s="92"/>
      <c r="H466" s="26">
        <f t="shared" si="16"/>
        <v>-19878997.670000013</v>
      </c>
      <c r="I466" s="25" t="s">
        <v>276</v>
      </c>
      <c r="J466" s="22"/>
      <c r="K466" s="25"/>
      <c r="L466" s="25"/>
      <c r="M466" s="22"/>
    </row>
    <row r="467" spans="1:13" s="20" customFormat="1" ht="12.75">
      <c r="A467" s="14">
        <v>1460</v>
      </c>
      <c r="B467" s="21">
        <v>45107</v>
      </c>
      <c r="C467" s="15">
        <f t="shared" si="15"/>
        <v>45107</v>
      </c>
      <c r="D467" s="16"/>
      <c r="E467" s="73"/>
      <c r="F467" s="92">
        <v>50</v>
      </c>
      <c r="G467" s="92"/>
      <c r="H467" s="26">
        <f t="shared" si="16"/>
        <v>-19879047.670000013</v>
      </c>
      <c r="I467" s="25" t="s">
        <v>268</v>
      </c>
      <c r="J467" s="22"/>
      <c r="K467" s="25"/>
      <c r="L467" s="25"/>
      <c r="M467" s="22"/>
    </row>
    <row r="468" spans="1:13" s="20" customFormat="1" ht="12.75">
      <c r="A468" s="14">
        <v>1461</v>
      </c>
      <c r="B468" s="21">
        <v>45107</v>
      </c>
      <c r="C468" s="15">
        <f t="shared" si="15"/>
        <v>45107</v>
      </c>
      <c r="D468" s="16"/>
      <c r="E468" s="73"/>
      <c r="F468" s="92">
        <v>50000</v>
      </c>
      <c r="G468" s="92"/>
      <c r="H468" s="26">
        <f t="shared" si="16"/>
        <v>-19929047.670000013</v>
      </c>
      <c r="I468" s="25" t="s">
        <v>276</v>
      </c>
      <c r="J468" s="22"/>
      <c r="K468" s="25"/>
      <c r="L468" s="25"/>
      <c r="M468" s="22"/>
    </row>
    <row r="469" spans="1:13" s="20" customFormat="1" ht="12.75">
      <c r="A469" s="14">
        <v>1462</v>
      </c>
      <c r="B469" s="21">
        <v>45107</v>
      </c>
      <c r="C469" s="15">
        <f t="shared" si="15"/>
        <v>45107</v>
      </c>
      <c r="D469" s="16"/>
      <c r="E469" s="73"/>
      <c r="F469" s="92">
        <v>50</v>
      </c>
      <c r="G469" s="92"/>
      <c r="H469" s="26">
        <f t="shared" si="16"/>
        <v>-19929097.670000013</v>
      </c>
      <c r="I469" s="25" t="s">
        <v>268</v>
      </c>
      <c r="J469" s="22"/>
      <c r="K469" s="25"/>
      <c r="L469" s="25"/>
      <c r="M469" s="22"/>
    </row>
    <row r="470" spans="1:13" s="20" customFormat="1" ht="12.75">
      <c r="A470" s="14">
        <v>1463</v>
      </c>
      <c r="B470" s="21">
        <v>45107</v>
      </c>
      <c r="C470" s="15">
        <f t="shared" si="15"/>
        <v>45107</v>
      </c>
      <c r="D470" s="16"/>
      <c r="E470" s="73"/>
      <c r="F470" s="92">
        <v>50000</v>
      </c>
      <c r="G470" s="92"/>
      <c r="H470" s="26">
        <f t="shared" si="16"/>
        <v>-19979097.670000013</v>
      </c>
      <c r="I470" s="25" t="s">
        <v>276</v>
      </c>
      <c r="J470" s="22"/>
      <c r="K470" s="25"/>
      <c r="L470" s="25"/>
      <c r="M470" s="22"/>
    </row>
    <row r="471" spans="1:13" s="20" customFormat="1" ht="12.75">
      <c r="A471" s="14">
        <v>1464</v>
      </c>
      <c r="B471" s="21">
        <v>45107</v>
      </c>
      <c r="C471" s="15">
        <f t="shared" si="15"/>
        <v>45107</v>
      </c>
      <c r="D471" s="16"/>
      <c r="E471" s="73"/>
      <c r="F471" s="92">
        <v>50</v>
      </c>
      <c r="G471" s="92"/>
      <c r="H471" s="26">
        <f t="shared" si="16"/>
        <v>-19979147.670000013</v>
      </c>
      <c r="I471" s="25" t="s">
        <v>268</v>
      </c>
      <c r="J471" s="22"/>
      <c r="K471" s="25"/>
      <c r="L471" s="25"/>
      <c r="M471" s="22"/>
    </row>
    <row r="472" spans="1:13" s="20" customFormat="1" ht="12.75">
      <c r="A472" s="14">
        <v>1465</v>
      </c>
      <c r="B472" s="21">
        <v>45107</v>
      </c>
      <c r="C472" s="15">
        <f t="shared" si="15"/>
        <v>45107</v>
      </c>
      <c r="D472" s="16"/>
      <c r="E472" s="73"/>
      <c r="F472" s="92">
        <v>12600</v>
      </c>
      <c r="G472" s="92"/>
      <c r="H472" s="26">
        <f t="shared" si="16"/>
        <v>-19991747.670000013</v>
      </c>
      <c r="I472" s="25" t="s">
        <v>275</v>
      </c>
      <c r="J472" s="22"/>
      <c r="K472" s="25"/>
      <c r="L472" s="25"/>
      <c r="M472" s="22"/>
    </row>
    <row r="473" spans="1:13" s="20" customFormat="1" ht="12.75">
      <c r="A473" s="14">
        <v>1466</v>
      </c>
      <c r="B473" s="21">
        <v>45107</v>
      </c>
      <c r="C473" s="15">
        <f t="shared" si="15"/>
        <v>45107</v>
      </c>
      <c r="D473" s="16"/>
      <c r="E473" s="73"/>
      <c r="F473" s="92">
        <v>11598.46</v>
      </c>
      <c r="G473" s="92"/>
      <c r="H473" s="26">
        <f t="shared" si="16"/>
        <v>-20003346.130000014</v>
      </c>
      <c r="I473" s="25" t="s">
        <v>264</v>
      </c>
      <c r="J473" s="22"/>
      <c r="K473" s="25"/>
      <c r="L473" s="25"/>
      <c r="M473" s="22"/>
    </row>
    <row r="474" spans="1:13" s="20" customFormat="1" ht="12.75">
      <c r="A474" s="14">
        <v>1467</v>
      </c>
      <c r="B474" s="21">
        <v>45107</v>
      </c>
      <c r="C474" s="15">
        <f t="shared" si="15"/>
        <v>45107</v>
      </c>
      <c r="D474" s="16"/>
      <c r="E474" s="73"/>
      <c r="F474" s="92">
        <v>869.88</v>
      </c>
      <c r="G474" s="92"/>
      <c r="H474" s="26">
        <f t="shared" si="16"/>
        <v>-20004216.010000013</v>
      </c>
      <c r="I474" s="25" t="s">
        <v>264</v>
      </c>
      <c r="J474" s="22"/>
      <c r="K474" s="25"/>
      <c r="L474" s="25"/>
      <c r="M474" s="22"/>
    </row>
    <row r="475" spans="1:13">
      <c r="A475" s="14"/>
      <c r="B475" s="76"/>
      <c r="C475" s="15"/>
      <c r="D475" s="22"/>
      <c r="F475" s="91"/>
      <c r="G475" s="90"/>
      <c r="H475" s="26"/>
      <c r="I475" s="25"/>
    </row>
    <row r="476" spans="1:13" s="83" customFormat="1">
      <c r="A476" s="68"/>
      <c r="B476" s="67">
        <v>44967</v>
      </c>
      <c r="C476" s="82"/>
      <c r="D476" s="69"/>
      <c r="E476" s="97"/>
      <c r="F476" s="91"/>
      <c r="G476" s="90">
        <v>110336.97</v>
      </c>
      <c r="H476" s="26"/>
      <c r="I476" s="70" t="s">
        <v>54</v>
      </c>
    </row>
    <row r="477" spans="1:13">
      <c r="A477" s="14">
        <v>1468</v>
      </c>
      <c r="B477" s="67">
        <v>44967</v>
      </c>
      <c r="C477" s="15">
        <f t="shared" ref="C477:C500" si="17">B477</f>
        <v>44967</v>
      </c>
      <c r="D477" s="16"/>
      <c r="E477" s="87"/>
      <c r="F477" s="102">
        <v>20000</v>
      </c>
      <c r="G477" s="90"/>
      <c r="H477" s="26">
        <f t="shared" ref="H477:H491" si="18">IFERROR(H476-F477+G477,"")</f>
        <v>-20000</v>
      </c>
      <c r="I477" s="25" t="s">
        <v>301</v>
      </c>
      <c r="J477" s="22"/>
      <c r="K477" s="25"/>
      <c r="L477" s="25"/>
      <c r="M477" s="22"/>
    </row>
    <row r="478" spans="1:13">
      <c r="A478" s="14">
        <v>1469</v>
      </c>
      <c r="B478" s="67">
        <v>44967</v>
      </c>
      <c r="C478" s="15">
        <f t="shared" si="17"/>
        <v>44967</v>
      </c>
      <c r="D478" s="16"/>
      <c r="E478" s="87"/>
      <c r="F478" s="102">
        <v>100</v>
      </c>
      <c r="G478" s="90"/>
      <c r="H478" s="26">
        <f t="shared" si="18"/>
        <v>-20100</v>
      </c>
      <c r="I478" s="25" t="s">
        <v>302</v>
      </c>
      <c r="J478" s="22"/>
      <c r="K478" s="25"/>
      <c r="L478" s="25"/>
      <c r="M478" s="22"/>
    </row>
    <row r="479" spans="1:13">
      <c r="A479" s="14">
        <v>1470</v>
      </c>
      <c r="B479" s="86">
        <v>44967</v>
      </c>
      <c r="C479" s="15">
        <f t="shared" si="17"/>
        <v>44967</v>
      </c>
      <c r="D479" s="16"/>
      <c r="E479" s="89"/>
      <c r="F479" s="103">
        <v>7.5</v>
      </c>
      <c r="G479" s="90"/>
      <c r="H479" s="26">
        <f t="shared" si="18"/>
        <v>-20107.5</v>
      </c>
      <c r="I479" s="25" t="s">
        <v>302</v>
      </c>
      <c r="J479" s="22"/>
      <c r="K479" s="25"/>
      <c r="L479" s="25"/>
      <c r="M479" s="22"/>
    </row>
    <row r="480" spans="1:13">
      <c r="A480" s="14">
        <v>1471</v>
      </c>
      <c r="B480" s="67">
        <v>44999</v>
      </c>
      <c r="C480" s="15">
        <f t="shared" si="17"/>
        <v>44999</v>
      </c>
      <c r="D480" s="16"/>
      <c r="E480" s="87"/>
      <c r="F480" s="102">
        <v>30000</v>
      </c>
      <c r="G480" s="90"/>
      <c r="H480" s="26">
        <f t="shared" si="18"/>
        <v>-50107.5</v>
      </c>
      <c r="I480" s="25" t="s">
        <v>301</v>
      </c>
      <c r="J480" s="22"/>
      <c r="K480" s="25"/>
      <c r="L480" s="25"/>
      <c r="M480" s="22"/>
    </row>
    <row r="481" spans="1:13">
      <c r="A481" s="14">
        <v>1472</v>
      </c>
      <c r="B481" s="67">
        <v>44999</v>
      </c>
      <c r="C481" s="15">
        <f t="shared" si="17"/>
        <v>44999</v>
      </c>
      <c r="D481" s="16"/>
      <c r="E481" s="87"/>
      <c r="F481" s="102">
        <v>150</v>
      </c>
      <c r="G481" s="90"/>
      <c r="H481" s="26">
        <f t="shared" si="18"/>
        <v>-50257.5</v>
      </c>
      <c r="I481" s="25" t="s">
        <v>302</v>
      </c>
      <c r="J481" s="22"/>
      <c r="K481" s="25"/>
      <c r="L481" s="25"/>
      <c r="M481" s="22"/>
    </row>
    <row r="482" spans="1:13">
      <c r="A482" s="14">
        <v>1473</v>
      </c>
      <c r="B482" s="67">
        <v>44999</v>
      </c>
      <c r="C482" s="15">
        <f t="shared" si="17"/>
        <v>44999</v>
      </c>
      <c r="D482" s="16"/>
      <c r="E482" s="87"/>
      <c r="F482" s="102">
        <v>11.25</v>
      </c>
      <c r="G482" s="90"/>
      <c r="H482" s="26">
        <f t="shared" si="18"/>
        <v>-50268.75</v>
      </c>
      <c r="I482" s="25" t="s">
        <v>302</v>
      </c>
      <c r="J482" s="22"/>
      <c r="K482" s="25"/>
      <c r="L482" s="25"/>
      <c r="M482" s="22"/>
    </row>
    <row r="483" spans="1:13">
      <c r="A483" s="14">
        <v>1474</v>
      </c>
      <c r="B483" s="67">
        <v>45005</v>
      </c>
      <c r="C483" s="15">
        <f t="shared" si="17"/>
        <v>45005</v>
      </c>
      <c r="D483" s="16"/>
      <c r="E483" s="88"/>
      <c r="F483" s="102">
        <v>500</v>
      </c>
      <c r="G483" s="90"/>
      <c r="H483" s="26">
        <f t="shared" si="18"/>
        <v>-50768.75</v>
      </c>
      <c r="I483" s="25" t="s">
        <v>303</v>
      </c>
      <c r="J483" s="22"/>
      <c r="K483" s="25"/>
      <c r="L483" s="25"/>
      <c r="M483" s="22"/>
    </row>
    <row r="484" spans="1:13">
      <c r="A484" s="14">
        <v>1475</v>
      </c>
      <c r="B484" s="67">
        <v>45005</v>
      </c>
      <c r="C484" s="15">
        <f t="shared" si="17"/>
        <v>45005</v>
      </c>
      <c r="D484" s="16"/>
      <c r="E484" s="88"/>
      <c r="F484" s="102">
        <v>2.5</v>
      </c>
      <c r="G484" s="90"/>
      <c r="H484" s="26">
        <f t="shared" si="18"/>
        <v>-50771.25</v>
      </c>
      <c r="I484" s="25" t="s">
        <v>303</v>
      </c>
      <c r="J484" s="22"/>
      <c r="K484" s="25"/>
      <c r="L484" s="25"/>
      <c r="M484" s="22"/>
    </row>
    <row r="485" spans="1:13">
      <c r="A485" s="14">
        <v>1476</v>
      </c>
      <c r="B485" s="67">
        <v>45005</v>
      </c>
      <c r="C485" s="15">
        <f t="shared" si="17"/>
        <v>45005</v>
      </c>
      <c r="D485" s="16"/>
      <c r="E485" s="88"/>
      <c r="F485" s="102">
        <v>0.19</v>
      </c>
      <c r="G485" s="90"/>
      <c r="H485" s="26">
        <f t="shared" si="18"/>
        <v>-50771.44</v>
      </c>
      <c r="I485" s="25" t="s">
        <v>303</v>
      </c>
      <c r="J485" s="22"/>
      <c r="K485" s="25"/>
      <c r="L485" s="25"/>
      <c r="M485" s="22"/>
    </row>
    <row r="486" spans="1:13">
      <c r="A486" s="14">
        <v>1477</v>
      </c>
      <c r="B486" s="67">
        <v>45005</v>
      </c>
      <c r="C486" s="15">
        <f t="shared" si="17"/>
        <v>45005</v>
      </c>
      <c r="D486" s="16"/>
      <c r="E486" s="88"/>
      <c r="F486" s="102">
        <v>12.99</v>
      </c>
      <c r="G486" s="90"/>
      <c r="H486" s="26">
        <f t="shared" si="18"/>
        <v>-50784.43</v>
      </c>
      <c r="I486" s="25" t="s">
        <v>303</v>
      </c>
      <c r="J486" s="22"/>
      <c r="K486" s="25"/>
      <c r="L486" s="25"/>
      <c r="M486" s="22"/>
    </row>
    <row r="487" spans="1:13">
      <c r="A487" s="14">
        <v>1478</v>
      </c>
      <c r="B487" s="67">
        <v>45005</v>
      </c>
      <c r="C487" s="15">
        <f t="shared" si="17"/>
        <v>45005</v>
      </c>
      <c r="D487" s="16"/>
      <c r="E487" s="88"/>
      <c r="F487" s="102">
        <v>25</v>
      </c>
      <c r="G487" s="90"/>
      <c r="H487" s="26">
        <f t="shared" si="18"/>
        <v>-50809.43</v>
      </c>
      <c r="I487" s="25" t="s">
        <v>304</v>
      </c>
      <c r="J487" s="22"/>
      <c r="K487" s="25"/>
      <c r="L487" s="25"/>
      <c r="M487" s="22"/>
    </row>
    <row r="488" spans="1:13">
      <c r="A488" s="14">
        <v>1479</v>
      </c>
      <c r="B488" s="67">
        <v>45030</v>
      </c>
      <c r="C488" s="15">
        <f t="shared" si="17"/>
        <v>45030</v>
      </c>
      <c r="D488" s="16"/>
      <c r="E488" s="88"/>
      <c r="F488" s="102">
        <v>1000</v>
      </c>
      <c r="G488" s="90"/>
      <c r="H488" s="26">
        <f t="shared" si="18"/>
        <v>-51809.43</v>
      </c>
      <c r="I488" s="25" t="s">
        <v>305</v>
      </c>
      <c r="J488" s="22"/>
      <c r="K488" s="25"/>
      <c r="L488" s="25"/>
      <c r="M488" s="22"/>
    </row>
    <row r="489" spans="1:13">
      <c r="A489" s="14">
        <v>1480</v>
      </c>
      <c r="B489" s="67">
        <v>45030</v>
      </c>
      <c r="C489" s="15">
        <f t="shared" si="17"/>
        <v>45030</v>
      </c>
      <c r="D489" s="16"/>
      <c r="E489" s="87"/>
      <c r="F489" s="102">
        <v>0.5</v>
      </c>
      <c r="G489" s="90"/>
      <c r="H489" s="26">
        <f t="shared" si="18"/>
        <v>-51809.93</v>
      </c>
      <c r="I489" s="25" t="s">
        <v>302</v>
      </c>
      <c r="J489" s="22"/>
      <c r="K489" s="25"/>
      <c r="L489" s="25"/>
      <c r="M489" s="22"/>
    </row>
    <row r="490" spans="1:13">
      <c r="A490" s="14">
        <v>1481</v>
      </c>
      <c r="B490" s="67">
        <v>45030</v>
      </c>
      <c r="C490" s="15">
        <f t="shared" si="17"/>
        <v>45030</v>
      </c>
      <c r="D490" s="16"/>
      <c r="E490" s="88"/>
      <c r="F490" s="102">
        <v>0.04</v>
      </c>
      <c r="G490" s="90"/>
      <c r="H490" s="26">
        <f t="shared" si="18"/>
        <v>-51809.97</v>
      </c>
      <c r="I490" s="25" t="s">
        <v>302</v>
      </c>
      <c r="J490" s="22"/>
      <c r="K490" s="25"/>
      <c r="L490" s="25"/>
      <c r="M490" s="22"/>
    </row>
    <row r="491" spans="1:13">
      <c r="A491" s="14">
        <v>1482</v>
      </c>
      <c r="B491" s="67">
        <v>45034</v>
      </c>
      <c r="C491" s="15">
        <f t="shared" si="17"/>
        <v>45034</v>
      </c>
      <c r="D491" s="16"/>
      <c r="E491" s="87"/>
      <c r="F491" s="102">
        <v>1500</v>
      </c>
      <c r="G491" s="90"/>
      <c r="H491" s="26">
        <f t="shared" si="18"/>
        <v>-53309.97</v>
      </c>
      <c r="I491" s="25" t="s">
        <v>301</v>
      </c>
      <c r="J491" s="22"/>
      <c r="K491" s="25"/>
      <c r="L491" s="25"/>
      <c r="M491" s="22"/>
    </row>
    <row r="492" spans="1:13">
      <c r="A492" s="14">
        <v>1483</v>
      </c>
      <c r="B492" s="67">
        <v>45034</v>
      </c>
      <c r="C492" s="15">
        <f t="shared" si="17"/>
        <v>45034</v>
      </c>
      <c r="D492" s="16"/>
      <c r="E492" s="87"/>
      <c r="F492" s="102">
        <v>25000</v>
      </c>
      <c r="G492" s="90"/>
      <c r="H492" s="26">
        <f t="shared" ref="H492:H555" si="19">IFERROR(H491-F492+G492,"")</f>
        <v>-78309.97</v>
      </c>
      <c r="I492" s="25" t="s">
        <v>301</v>
      </c>
      <c r="J492" s="22"/>
      <c r="K492" s="25"/>
      <c r="L492" s="25"/>
      <c r="M492" s="22"/>
    </row>
    <row r="493" spans="1:13">
      <c r="A493" s="14">
        <v>1484</v>
      </c>
      <c r="B493" s="67">
        <v>45034</v>
      </c>
      <c r="C493" s="15">
        <f t="shared" si="17"/>
        <v>45034</v>
      </c>
      <c r="D493" s="16"/>
      <c r="E493" s="87"/>
      <c r="F493" s="102">
        <v>125</v>
      </c>
      <c r="G493" s="90"/>
      <c r="H493" s="26">
        <f t="shared" si="19"/>
        <v>-78434.97</v>
      </c>
      <c r="I493" s="25" t="s">
        <v>302</v>
      </c>
      <c r="J493" s="22"/>
      <c r="K493" s="25"/>
      <c r="L493" s="25"/>
      <c r="M493" s="22"/>
    </row>
    <row r="494" spans="1:13">
      <c r="A494" s="14">
        <v>1485</v>
      </c>
      <c r="B494" s="67">
        <v>45034</v>
      </c>
      <c r="C494" s="15">
        <f t="shared" si="17"/>
        <v>45034</v>
      </c>
      <c r="D494" s="16"/>
      <c r="E494" s="87"/>
      <c r="F494" s="102">
        <v>9.3800000000000008</v>
      </c>
      <c r="G494" s="90"/>
      <c r="H494" s="26">
        <f t="shared" si="19"/>
        <v>-78444.350000000006</v>
      </c>
      <c r="I494" s="25" t="s">
        <v>302</v>
      </c>
      <c r="J494" s="22"/>
      <c r="K494" s="25"/>
      <c r="L494" s="25"/>
      <c r="M494" s="22"/>
    </row>
    <row r="495" spans="1:13">
      <c r="A495" s="14">
        <v>1486</v>
      </c>
      <c r="B495" s="67">
        <v>45077</v>
      </c>
      <c r="C495" s="15">
        <f t="shared" si="17"/>
        <v>45077</v>
      </c>
      <c r="D495" s="16"/>
      <c r="E495" s="87"/>
      <c r="F495" s="102">
        <v>20000</v>
      </c>
      <c r="G495" s="90"/>
      <c r="H495" s="26">
        <f t="shared" si="19"/>
        <v>-98444.35</v>
      </c>
      <c r="I495" s="25" t="s">
        <v>301</v>
      </c>
      <c r="J495" s="22"/>
      <c r="K495" s="25"/>
      <c r="L495" s="25"/>
      <c r="M495" s="22"/>
    </row>
    <row r="496" spans="1:13">
      <c r="A496" s="14">
        <v>1487</v>
      </c>
      <c r="B496" s="67">
        <v>45077</v>
      </c>
      <c r="C496" s="15">
        <f t="shared" si="17"/>
        <v>45077</v>
      </c>
      <c r="D496" s="16"/>
      <c r="E496" s="87"/>
      <c r="F496" s="102">
        <v>100</v>
      </c>
      <c r="G496" s="90"/>
      <c r="H496" s="26">
        <f t="shared" si="19"/>
        <v>-98544.35</v>
      </c>
      <c r="I496" s="25" t="s">
        <v>302</v>
      </c>
      <c r="J496" s="22"/>
      <c r="K496" s="25"/>
      <c r="L496" s="25"/>
      <c r="M496" s="22"/>
    </row>
    <row r="497" spans="1:13">
      <c r="A497" s="14">
        <v>1488</v>
      </c>
      <c r="B497" s="67">
        <v>45077</v>
      </c>
      <c r="C497" s="15">
        <f t="shared" si="17"/>
        <v>45077</v>
      </c>
      <c r="D497" s="16"/>
      <c r="E497" s="87"/>
      <c r="F497" s="102">
        <v>7.5</v>
      </c>
      <c r="G497" s="90"/>
      <c r="H497" s="26">
        <f t="shared" si="19"/>
        <v>-98551.85</v>
      </c>
      <c r="I497" s="25" t="s">
        <v>302</v>
      </c>
      <c r="J497" s="22"/>
      <c r="K497" s="25"/>
      <c r="L497" s="25"/>
      <c r="M497" s="22"/>
    </row>
    <row r="498" spans="1:13">
      <c r="A498" s="14">
        <v>1489</v>
      </c>
      <c r="B498" s="86">
        <v>45092</v>
      </c>
      <c r="C498" s="15">
        <f t="shared" si="17"/>
        <v>45092</v>
      </c>
      <c r="D498" s="16"/>
      <c r="E498" s="89"/>
      <c r="F498" s="103">
        <v>10000</v>
      </c>
      <c r="G498" s="90"/>
      <c r="H498" s="26">
        <f t="shared" si="19"/>
        <v>-108551.85</v>
      </c>
      <c r="I498" s="25" t="s">
        <v>301</v>
      </c>
      <c r="J498" s="22"/>
      <c r="K498" s="25"/>
      <c r="L498" s="25"/>
      <c r="M498" s="22"/>
    </row>
    <row r="499" spans="1:13">
      <c r="A499" s="14">
        <v>1490</v>
      </c>
      <c r="B499" s="67">
        <v>45092</v>
      </c>
      <c r="C499" s="15">
        <f t="shared" si="17"/>
        <v>45092</v>
      </c>
      <c r="D499" s="16"/>
      <c r="E499" s="87"/>
      <c r="F499" s="102">
        <v>50</v>
      </c>
      <c r="G499" s="90"/>
      <c r="H499" s="26">
        <f t="shared" si="19"/>
        <v>-108601.85</v>
      </c>
      <c r="I499" s="25" t="s">
        <v>302</v>
      </c>
      <c r="J499" s="22"/>
      <c r="K499" s="25"/>
      <c r="L499" s="25"/>
      <c r="M499" s="22"/>
    </row>
    <row r="500" spans="1:13">
      <c r="A500" s="14">
        <v>1491</v>
      </c>
      <c r="B500" s="67">
        <v>45092</v>
      </c>
      <c r="C500" s="15">
        <f t="shared" si="17"/>
        <v>45092</v>
      </c>
      <c r="D500" s="16"/>
      <c r="E500" s="87"/>
      <c r="F500" s="102">
        <v>3.75</v>
      </c>
      <c r="G500" s="90"/>
      <c r="H500" s="26">
        <f t="shared" si="19"/>
        <v>-108605.6</v>
      </c>
      <c r="I500" s="25" t="s">
        <v>302</v>
      </c>
      <c r="J500" s="22"/>
      <c r="K500" s="25"/>
      <c r="L500" s="25"/>
      <c r="M500" s="22"/>
    </row>
    <row r="501" spans="1:13" ht="24.75" customHeight="1">
      <c r="A501" s="14"/>
      <c r="B501" s="67"/>
      <c r="C501" s="15"/>
      <c r="D501" s="22"/>
      <c r="E501" s="87"/>
      <c r="F501" s="102"/>
      <c r="G501" s="90"/>
      <c r="H501" s="26"/>
      <c r="I501" s="25"/>
      <c r="J501" s="22"/>
      <c r="K501" s="25"/>
      <c r="L501" s="25"/>
      <c r="M501" s="22"/>
    </row>
    <row r="502" spans="1:13" s="83" customFormat="1" ht="15.75" customHeight="1">
      <c r="A502" s="68"/>
      <c r="B502" s="99"/>
      <c r="C502" s="82"/>
      <c r="D502" s="69"/>
      <c r="E502" s="100"/>
      <c r="F502" s="102"/>
      <c r="G502" s="90">
        <v>2775752.7</v>
      </c>
      <c r="H502" s="26"/>
      <c r="I502" s="70"/>
      <c r="J502" s="69"/>
      <c r="K502" s="70"/>
      <c r="L502" s="70"/>
      <c r="M502" s="69"/>
    </row>
    <row r="503" spans="1:13">
      <c r="A503" s="14">
        <v>1492</v>
      </c>
      <c r="B503" s="67">
        <v>44935</v>
      </c>
      <c r="C503" s="15">
        <f t="shared" ref="C503:C566" si="20">B503</f>
        <v>44935</v>
      </c>
      <c r="D503" s="22"/>
      <c r="E503" s="72"/>
      <c r="F503" s="102">
        <v>15000</v>
      </c>
      <c r="G503" s="90"/>
      <c r="H503" s="26">
        <f t="shared" si="19"/>
        <v>-15000</v>
      </c>
      <c r="I503" s="25" t="s">
        <v>306</v>
      </c>
      <c r="J503" s="22"/>
      <c r="K503" s="25"/>
      <c r="L503" s="25"/>
      <c r="M503" s="22"/>
    </row>
    <row r="504" spans="1:13">
      <c r="A504" s="14">
        <v>1493</v>
      </c>
      <c r="B504" s="67">
        <v>44935</v>
      </c>
      <c r="C504" s="15">
        <f t="shared" si="20"/>
        <v>44935</v>
      </c>
      <c r="D504" s="22"/>
      <c r="E504" s="72"/>
      <c r="F504" s="102">
        <v>40000</v>
      </c>
      <c r="G504" s="90"/>
      <c r="H504" s="26">
        <f t="shared" si="19"/>
        <v>-55000</v>
      </c>
      <c r="I504" s="25" t="s">
        <v>288</v>
      </c>
      <c r="J504" s="22"/>
      <c r="K504" s="25"/>
      <c r="L504" s="25"/>
      <c r="M504" s="22"/>
    </row>
    <row r="505" spans="1:13">
      <c r="A505" s="14">
        <v>1494</v>
      </c>
      <c r="B505" s="67">
        <v>44935</v>
      </c>
      <c r="C505" s="15">
        <f t="shared" si="20"/>
        <v>44935</v>
      </c>
      <c r="D505" s="22"/>
      <c r="E505" s="72"/>
      <c r="F505" s="102">
        <v>40000</v>
      </c>
      <c r="G505" s="90"/>
      <c r="H505" s="26">
        <f t="shared" si="19"/>
        <v>-95000</v>
      </c>
      <c r="I505" s="25" t="s">
        <v>288</v>
      </c>
      <c r="J505" s="22"/>
      <c r="K505" s="25"/>
      <c r="L505" s="25"/>
      <c r="M505" s="22"/>
    </row>
    <row r="506" spans="1:13">
      <c r="A506" s="14">
        <v>1495</v>
      </c>
      <c r="B506" s="67">
        <v>44935</v>
      </c>
      <c r="C506" s="15">
        <f t="shared" si="20"/>
        <v>44935</v>
      </c>
      <c r="D506" s="22"/>
      <c r="E506" s="72"/>
      <c r="F506" s="102">
        <v>20000</v>
      </c>
      <c r="G506" s="90"/>
      <c r="H506" s="26">
        <f t="shared" si="19"/>
        <v>-115000</v>
      </c>
      <c r="I506" s="25" t="s">
        <v>288</v>
      </c>
      <c r="J506" s="22"/>
      <c r="K506" s="25"/>
      <c r="L506" s="25"/>
      <c r="M506" s="22"/>
    </row>
    <row r="507" spans="1:13">
      <c r="A507" s="14">
        <v>1496</v>
      </c>
      <c r="B507" s="67">
        <v>44935</v>
      </c>
      <c r="C507" s="15">
        <f t="shared" si="20"/>
        <v>44935</v>
      </c>
      <c r="D507" s="22"/>
      <c r="E507" s="72"/>
      <c r="F507" s="102">
        <v>15000</v>
      </c>
      <c r="G507" s="90"/>
      <c r="H507" s="26">
        <f t="shared" si="19"/>
        <v>-130000</v>
      </c>
      <c r="I507" s="25" t="s">
        <v>306</v>
      </c>
      <c r="J507" s="22"/>
      <c r="K507" s="25"/>
      <c r="L507" s="25"/>
      <c r="M507" s="22"/>
    </row>
    <row r="508" spans="1:13">
      <c r="A508" s="14">
        <v>1497</v>
      </c>
      <c r="B508" s="67">
        <v>44935</v>
      </c>
      <c r="C508" s="15">
        <f t="shared" si="20"/>
        <v>44935</v>
      </c>
      <c r="D508" s="22"/>
      <c r="E508" s="74"/>
      <c r="F508" s="102">
        <v>32730</v>
      </c>
      <c r="G508" s="90"/>
      <c r="H508" s="26">
        <f t="shared" si="19"/>
        <v>-162730</v>
      </c>
      <c r="I508" s="25" t="s">
        <v>306</v>
      </c>
      <c r="J508" s="22"/>
      <c r="K508" s="25"/>
      <c r="L508" s="25"/>
      <c r="M508" s="22"/>
    </row>
    <row r="509" spans="1:13">
      <c r="A509" s="14">
        <v>1498</v>
      </c>
      <c r="B509" s="67">
        <v>44937</v>
      </c>
      <c r="C509" s="15">
        <f t="shared" si="20"/>
        <v>44937</v>
      </c>
      <c r="D509" s="22"/>
      <c r="E509" s="72"/>
      <c r="F509" s="102">
        <v>40000</v>
      </c>
      <c r="G509" s="90"/>
      <c r="H509" s="26">
        <f t="shared" si="19"/>
        <v>-202730</v>
      </c>
      <c r="I509" s="25" t="s">
        <v>288</v>
      </c>
      <c r="J509" s="22"/>
      <c r="K509" s="25"/>
      <c r="L509" s="25"/>
      <c r="M509" s="22"/>
    </row>
    <row r="510" spans="1:13">
      <c r="A510" s="14">
        <v>1499</v>
      </c>
      <c r="B510" s="67">
        <v>44937</v>
      </c>
      <c r="C510" s="15">
        <f t="shared" si="20"/>
        <v>44937</v>
      </c>
      <c r="D510" s="22"/>
      <c r="E510" s="72"/>
      <c r="F510" s="102">
        <v>40000</v>
      </c>
      <c r="G510" s="90"/>
      <c r="H510" s="26">
        <f t="shared" si="19"/>
        <v>-242730</v>
      </c>
      <c r="I510" s="25" t="s">
        <v>288</v>
      </c>
      <c r="J510" s="22"/>
      <c r="K510" s="25"/>
      <c r="L510" s="25"/>
      <c r="M510" s="22"/>
    </row>
    <row r="511" spans="1:13">
      <c r="A511" s="14">
        <v>1500</v>
      </c>
      <c r="B511" s="67">
        <v>44937</v>
      </c>
      <c r="C511" s="15">
        <f t="shared" si="20"/>
        <v>44937</v>
      </c>
      <c r="D511" s="22"/>
      <c r="E511" s="72"/>
      <c r="F511" s="102">
        <v>10000</v>
      </c>
      <c r="G511" s="90"/>
      <c r="H511" s="26">
        <f t="shared" si="19"/>
        <v>-252730</v>
      </c>
      <c r="I511" s="25" t="s">
        <v>288</v>
      </c>
      <c r="J511" s="22"/>
      <c r="K511" s="25"/>
      <c r="L511" s="25"/>
      <c r="M511" s="22"/>
    </row>
    <row r="512" spans="1:13">
      <c r="A512" s="14">
        <v>1501</v>
      </c>
      <c r="B512" s="67">
        <v>44938</v>
      </c>
      <c r="C512" s="15">
        <f t="shared" si="20"/>
        <v>44938</v>
      </c>
      <c r="D512" s="22"/>
      <c r="E512" s="72"/>
      <c r="F512" s="102">
        <v>40000</v>
      </c>
      <c r="G512" s="90"/>
      <c r="H512" s="26">
        <f t="shared" si="19"/>
        <v>-292730</v>
      </c>
      <c r="I512" s="25" t="s">
        <v>288</v>
      </c>
      <c r="J512" s="22"/>
      <c r="K512" s="25"/>
      <c r="L512" s="25"/>
      <c r="M512" s="22"/>
    </row>
    <row r="513" spans="1:13">
      <c r="A513" s="14">
        <v>1502</v>
      </c>
      <c r="B513" s="67">
        <v>44938</v>
      </c>
      <c r="C513" s="15">
        <f t="shared" si="20"/>
        <v>44938</v>
      </c>
      <c r="D513" s="22"/>
      <c r="E513" s="72"/>
      <c r="F513" s="102">
        <v>40000</v>
      </c>
      <c r="G513" s="90"/>
      <c r="H513" s="26">
        <f t="shared" si="19"/>
        <v>-332730</v>
      </c>
      <c r="I513" s="25" t="s">
        <v>288</v>
      </c>
      <c r="J513" s="22"/>
      <c r="K513" s="25"/>
      <c r="L513" s="25"/>
      <c r="M513" s="22"/>
    </row>
    <row r="514" spans="1:13">
      <c r="A514" s="14">
        <v>1503</v>
      </c>
      <c r="B514" s="67">
        <v>44938</v>
      </c>
      <c r="C514" s="15">
        <f t="shared" si="20"/>
        <v>44938</v>
      </c>
      <c r="D514" s="22"/>
      <c r="E514" s="72"/>
      <c r="F514" s="102">
        <v>20000</v>
      </c>
      <c r="G514" s="90"/>
      <c r="H514" s="26">
        <f t="shared" si="19"/>
        <v>-352730</v>
      </c>
      <c r="I514" s="25" t="s">
        <v>288</v>
      </c>
      <c r="J514" s="22"/>
      <c r="K514" s="25"/>
      <c r="L514" s="25"/>
      <c r="M514" s="22"/>
    </row>
    <row r="515" spans="1:13">
      <c r="A515" s="14">
        <v>1504</v>
      </c>
      <c r="B515" s="67">
        <v>44939</v>
      </c>
      <c r="C515" s="15">
        <f t="shared" si="20"/>
        <v>44939</v>
      </c>
      <c r="D515" s="22"/>
      <c r="E515" s="72"/>
      <c r="F515" s="102">
        <v>40000</v>
      </c>
      <c r="G515" s="90"/>
      <c r="H515" s="26">
        <f t="shared" si="19"/>
        <v>-392730</v>
      </c>
      <c r="I515" s="25" t="s">
        <v>288</v>
      </c>
      <c r="J515" s="22"/>
      <c r="K515" s="25"/>
      <c r="L515" s="25"/>
      <c r="M515" s="22"/>
    </row>
    <row r="516" spans="1:13">
      <c r="A516" s="14">
        <v>1505</v>
      </c>
      <c r="B516" s="67">
        <v>44939</v>
      </c>
      <c r="C516" s="15">
        <f t="shared" si="20"/>
        <v>44939</v>
      </c>
      <c r="D516" s="22"/>
      <c r="E516" s="72"/>
      <c r="F516" s="102"/>
      <c r="G516" s="90">
        <v>40000</v>
      </c>
      <c r="H516" s="26">
        <f t="shared" si="19"/>
        <v>-352730</v>
      </c>
      <c r="I516" s="25" t="s">
        <v>307</v>
      </c>
      <c r="J516" s="22"/>
      <c r="K516" s="25"/>
      <c r="L516" s="25"/>
      <c r="M516" s="22"/>
    </row>
    <row r="517" spans="1:13">
      <c r="A517" s="14">
        <v>1506</v>
      </c>
      <c r="B517" s="67">
        <v>44939</v>
      </c>
      <c r="C517" s="15">
        <f t="shared" si="20"/>
        <v>44939</v>
      </c>
      <c r="D517" s="22"/>
      <c r="E517" s="72"/>
      <c r="F517" s="102">
        <v>40000</v>
      </c>
      <c r="G517" s="90"/>
      <c r="H517" s="26">
        <f t="shared" si="19"/>
        <v>-392730</v>
      </c>
      <c r="I517" s="25" t="s">
        <v>288</v>
      </c>
      <c r="J517" s="22"/>
      <c r="K517" s="25"/>
      <c r="L517" s="25"/>
      <c r="M517" s="22"/>
    </row>
    <row r="518" spans="1:13">
      <c r="A518" s="14">
        <v>1507</v>
      </c>
      <c r="B518" s="67">
        <v>44939</v>
      </c>
      <c r="C518" s="15">
        <f t="shared" si="20"/>
        <v>44939</v>
      </c>
      <c r="D518" s="22"/>
      <c r="E518" s="101"/>
      <c r="F518" s="102">
        <v>40000</v>
      </c>
      <c r="G518" s="90"/>
      <c r="H518" s="26">
        <f t="shared" si="19"/>
        <v>-432730</v>
      </c>
      <c r="I518" s="25" t="s">
        <v>288</v>
      </c>
      <c r="J518" s="22"/>
      <c r="K518" s="25"/>
      <c r="L518" s="25"/>
      <c r="M518" s="22"/>
    </row>
    <row r="519" spans="1:13">
      <c r="A519" s="14">
        <v>1508</v>
      </c>
      <c r="B519" s="67">
        <v>44939</v>
      </c>
      <c r="C519" s="15">
        <f t="shared" si="20"/>
        <v>44939</v>
      </c>
      <c r="D519" s="22"/>
      <c r="E519" s="72"/>
      <c r="F519" s="102">
        <v>4000</v>
      </c>
      <c r="G519" s="90"/>
      <c r="H519" s="26">
        <f t="shared" si="19"/>
        <v>-436730</v>
      </c>
      <c r="I519" s="25" t="s">
        <v>288</v>
      </c>
      <c r="J519" s="22"/>
      <c r="K519" s="25"/>
      <c r="L519" s="25"/>
      <c r="M519" s="22"/>
    </row>
    <row r="520" spans="1:13">
      <c r="A520" s="14">
        <v>1509</v>
      </c>
      <c r="B520" s="67">
        <v>44942</v>
      </c>
      <c r="C520" s="15">
        <f t="shared" si="20"/>
        <v>44942</v>
      </c>
      <c r="D520" s="22"/>
      <c r="E520" s="74"/>
      <c r="F520" s="102"/>
      <c r="G520" s="90">
        <v>50000</v>
      </c>
      <c r="H520" s="26">
        <f t="shared" si="19"/>
        <v>-386730</v>
      </c>
      <c r="I520" s="25" t="s">
        <v>275</v>
      </c>
      <c r="J520" s="22"/>
      <c r="K520" s="25"/>
      <c r="L520" s="25"/>
      <c r="M520" s="22"/>
    </row>
    <row r="521" spans="1:13">
      <c r="A521" s="14">
        <v>1510</v>
      </c>
      <c r="B521" s="67">
        <v>44944</v>
      </c>
      <c r="C521" s="15">
        <f t="shared" si="20"/>
        <v>44944</v>
      </c>
      <c r="D521" s="22"/>
      <c r="E521" s="72"/>
      <c r="F521" s="102">
        <v>15000</v>
      </c>
      <c r="G521" s="90"/>
      <c r="H521" s="26">
        <f t="shared" si="19"/>
        <v>-401730</v>
      </c>
      <c r="I521" s="25" t="s">
        <v>306</v>
      </c>
      <c r="J521" s="22"/>
      <c r="K521" s="25"/>
      <c r="L521" s="25"/>
      <c r="M521" s="22"/>
    </row>
    <row r="522" spans="1:13">
      <c r="A522" s="14">
        <v>1511</v>
      </c>
      <c r="B522" s="67">
        <v>44949</v>
      </c>
      <c r="C522" s="15">
        <f t="shared" si="20"/>
        <v>44949</v>
      </c>
      <c r="D522" s="22"/>
      <c r="E522" s="72"/>
      <c r="F522" s="102">
        <v>40000</v>
      </c>
      <c r="G522" s="90"/>
      <c r="H522" s="26">
        <f t="shared" si="19"/>
        <v>-441730</v>
      </c>
      <c r="I522" s="25" t="s">
        <v>288</v>
      </c>
      <c r="J522" s="22"/>
      <c r="K522" s="25"/>
      <c r="L522" s="25"/>
      <c r="M522" s="22"/>
    </row>
    <row r="523" spans="1:13">
      <c r="A523" s="14">
        <v>1512</v>
      </c>
      <c r="B523" s="67">
        <v>44950</v>
      </c>
      <c r="C523" s="15">
        <f t="shared" si="20"/>
        <v>44950</v>
      </c>
      <c r="D523" s="22"/>
      <c r="E523" s="72"/>
      <c r="F523" s="102">
        <v>15000</v>
      </c>
      <c r="G523" s="90"/>
      <c r="H523" s="26">
        <f t="shared" si="19"/>
        <v>-456730</v>
      </c>
      <c r="I523" s="25" t="s">
        <v>308</v>
      </c>
      <c r="J523" s="22"/>
      <c r="K523" s="25"/>
      <c r="L523" s="25"/>
      <c r="M523" s="22"/>
    </row>
    <row r="524" spans="1:13">
      <c r="A524" s="14">
        <v>1513</v>
      </c>
      <c r="B524" s="67">
        <v>44951</v>
      </c>
      <c r="C524" s="15">
        <f t="shared" si="20"/>
        <v>44951</v>
      </c>
      <c r="D524" s="22"/>
      <c r="E524" s="74"/>
      <c r="F524" s="102">
        <v>21700</v>
      </c>
      <c r="G524" s="90"/>
      <c r="H524" s="26">
        <f t="shared" si="19"/>
        <v>-478430</v>
      </c>
      <c r="I524" s="25" t="s">
        <v>309</v>
      </c>
      <c r="J524" s="22"/>
      <c r="K524" s="25"/>
      <c r="L524" s="25"/>
      <c r="M524" s="22"/>
    </row>
    <row r="525" spans="1:13">
      <c r="A525" s="14">
        <v>1514</v>
      </c>
      <c r="B525" s="67">
        <v>44952</v>
      </c>
      <c r="C525" s="15">
        <f t="shared" si="20"/>
        <v>44952</v>
      </c>
      <c r="D525" s="22"/>
      <c r="E525" s="72"/>
      <c r="F525" s="102">
        <v>10000</v>
      </c>
      <c r="G525" s="90"/>
      <c r="H525" s="26">
        <f t="shared" si="19"/>
        <v>-488430</v>
      </c>
      <c r="I525" s="25" t="s">
        <v>288</v>
      </c>
      <c r="J525" s="22"/>
      <c r="K525" s="25"/>
      <c r="L525" s="25"/>
      <c r="M525" s="22"/>
    </row>
    <row r="526" spans="1:13">
      <c r="A526" s="14">
        <v>1515</v>
      </c>
      <c r="B526" s="67">
        <v>44953</v>
      </c>
      <c r="C526" s="15">
        <f t="shared" si="20"/>
        <v>44953</v>
      </c>
      <c r="D526" s="22"/>
      <c r="E526" s="72"/>
      <c r="F526" s="102">
        <v>23490</v>
      </c>
      <c r="G526" s="90"/>
      <c r="H526" s="26">
        <f t="shared" si="19"/>
        <v>-511920</v>
      </c>
      <c r="I526" s="25" t="s">
        <v>306</v>
      </c>
      <c r="J526" s="22"/>
      <c r="K526" s="25"/>
      <c r="L526" s="25"/>
      <c r="M526" s="22"/>
    </row>
    <row r="527" spans="1:13">
      <c r="A527" s="14">
        <v>1516</v>
      </c>
      <c r="B527" s="67">
        <v>44953</v>
      </c>
      <c r="C527" s="15">
        <f t="shared" si="20"/>
        <v>44953</v>
      </c>
      <c r="D527" s="22"/>
      <c r="E527" s="72"/>
      <c r="F527" s="102"/>
      <c r="G527" s="90">
        <v>27000</v>
      </c>
      <c r="H527" s="26">
        <f t="shared" si="19"/>
        <v>-484920</v>
      </c>
      <c r="I527" s="25" t="s">
        <v>292</v>
      </c>
      <c r="J527" s="22"/>
      <c r="K527" s="25"/>
      <c r="L527" s="25"/>
      <c r="M527" s="22"/>
    </row>
    <row r="528" spans="1:13">
      <c r="A528" s="14">
        <v>1517</v>
      </c>
      <c r="B528" s="67">
        <v>44954</v>
      </c>
      <c r="C528" s="15">
        <f t="shared" si="20"/>
        <v>44954</v>
      </c>
      <c r="D528" s="22"/>
      <c r="E528" s="72"/>
      <c r="F528" s="102">
        <v>15000</v>
      </c>
      <c r="G528" s="90"/>
      <c r="H528" s="26">
        <f t="shared" si="19"/>
        <v>-499920</v>
      </c>
      <c r="I528" s="25" t="s">
        <v>306</v>
      </c>
      <c r="J528" s="22"/>
      <c r="K528" s="25"/>
      <c r="L528" s="25"/>
      <c r="M528" s="22"/>
    </row>
    <row r="529" spans="1:13">
      <c r="A529" s="14">
        <v>1518</v>
      </c>
      <c r="B529" s="67">
        <v>44957</v>
      </c>
      <c r="C529" s="15">
        <f t="shared" si="20"/>
        <v>44957</v>
      </c>
      <c r="D529" s="22"/>
      <c r="E529" s="72"/>
      <c r="F529" s="102">
        <v>15000</v>
      </c>
      <c r="G529" s="90"/>
      <c r="H529" s="26">
        <f t="shared" si="19"/>
        <v>-514920</v>
      </c>
      <c r="I529" s="25" t="s">
        <v>306</v>
      </c>
      <c r="J529" s="22"/>
      <c r="K529" s="25"/>
      <c r="L529" s="25"/>
      <c r="M529" s="22"/>
    </row>
    <row r="530" spans="1:13">
      <c r="A530" s="14">
        <v>1519</v>
      </c>
      <c r="B530" s="67">
        <v>44957</v>
      </c>
      <c r="C530" s="15">
        <f t="shared" si="20"/>
        <v>44957</v>
      </c>
      <c r="D530" s="22"/>
      <c r="E530" s="101"/>
      <c r="F530" s="102"/>
      <c r="G530" s="90">
        <v>40000</v>
      </c>
      <c r="H530" s="26">
        <f t="shared" si="19"/>
        <v>-474920</v>
      </c>
      <c r="I530" s="25" t="s">
        <v>292</v>
      </c>
      <c r="J530" s="22"/>
      <c r="K530" s="25"/>
      <c r="L530" s="25"/>
      <c r="M530" s="22"/>
    </row>
    <row r="531" spans="1:13">
      <c r="A531" s="14">
        <v>1520</v>
      </c>
      <c r="B531" s="67">
        <v>44957</v>
      </c>
      <c r="C531" s="15">
        <f t="shared" si="20"/>
        <v>44957</v>
      </c>
      <c r="D531" s="22"/>
      <c r="E531" s="72"/>
      <c r="F531" s="102">
        <v>30000</v>
      </c>
      <c r="G531" s="90"/>
      <c r="H531" s="26">
        <f t="shared" si="19"/>
        <v>-504920</v>
      </c>
      <c r="I531" s="25" t="s">
        <v>306</v>
      </c>
      <c r="J531" s="22"/>
      <c r="K531" s="25"/>
      <c r="L531" s="25"/>
      <c r="M531" s="22"/>
    </row>
    <row r="532" spans="1:13">
      <c r="A532" s="14">
        <v>1521</v>
      </c>
      <c r="B532" s="67">
        <v>44957</v>
      </c>
      <c r="C532" s="15">
        <f t="shared" si="20"/>
        <v>44957</v>
      </c>
      <c r="D532" s="22"/>
      <c r="E532" s="74"/>
      <c r="F532" s="102">
        <v>9120</v>
      </c>
      <c r="G532" s="90"/>
      <c r="H532" s="26">
        <f t="shared" si="19"/>
        <v>-514040</v>
      </c>
      <c r="I532" s="25" t="s">
        <v>309</v>
      </c>
      <c r="J532" s="22"/>
      <c r="K532" s="25"/>
      <c r="L532" s="25"/>
      <c r="M532" s="22"/>
    </row>
    <row r="533" spans="1:13">
      <c r="A533" s="14">
        <v>1522</v>
      </c>
      <c r="B533" s="67">
        <v>44957</v>
      </c>
      <c r="C533" s="15">
        <f t="shared" si="20"/>
        <v>44957</v>
      </c>
      <c r="D533" s="22"/>
      <c r="E533" s="71"/>
      <c r="F533" s="102">
        <v>380</v>
      </c>
      <c r="G533" s="90"/>
      <c r="H533" s="26">
        <f t="shared" si="19"/>
        <v>-514420</v>
      </c>
      <c r="I533" s="25" t="s">
        <v>309</v>
      </c>
      <c r="J533" s="22"/>
      <c r="K533" s="25"/>
      <c r="L533" s="25"/>
      <c r="M533" s="22"/>
    </row>
    <row r="534" spans="1:13">
      <c r="A534" s="14">
        <v>1523</v>
      </c>
      <c r="B534" s="67">
        <v>44957</v>
      </c>
      <c r="C534" s="15">
        <f t="shared" si="20"/>
        <v>44957</v>
      </c>
      <c r="D534" s="22"/>
      <c r="E534" s="72"/>
      <c r="F534" s="102"/>
      <c r="G534" s="90">
        <v>92270</v>
      </c>
      <c r="H534" s="26">
        <f t="shared" si="19"/>
        <v>-422150</v>
      </c>
      <c r="I534" s="25" t="s">
        <v>292</v>
      </c>
      <c r="J534" s="22"/>
      <c r="K534" s="25"/>
      <c r="L534" s="25"/>
      <c r="M534" s="22"/>
    </row>
    <row r="535" spans="1:13">
      <c r="A535" s="14">
        <v>1524</v>
      </c>
      <c r="B535" s="67">
        <v>44957</v>
      </c>
      <c r="C535" s="15">
        <f t="shared" si="20"/>
        <v>44957</v>
      </c>
      <c r="D535" s="22"/>
      <c r="E535" s="72"/>
      <c r="F535" s="102"/>
      <c r="G535" s="90">
        <v>71400</v>
      </c>
      <c r="H535" s="26">
        <f t="shared" si="19"/>
        <v>-350750</v>
      </c>
      <c r="I535" s="25" t="s">
        <v>287</v>
      </c>
      <c r="J535" s="22"/>
      <c r="K535" s="25"/>
      <c r="L535" s="25"/>
      <c r="M535" s="22"/>
    </row>
    <row r="536" spans="1:13">
      <c r="A536" s="14">
        <v>1525</v>
      </c>
      <c r="B536" s="67">
        <v>44957</v>
      </c>
      <c r="C536" s="15">
        <f t="shared" si="20"/>
        <v>44957</v>
      </c>
      <c r="D536" s="22"/>
      <c r="E536" s="72"/>
      <c r="F536" s="102"/>
      <c r="G536" s="90">
        <v>30000</v>
      </c>
      <c r="H536" s="26">
        <f t="shared" si="19"/>
        <v>-320750</v>
      </c>
      <c r="I536" s="25" t="s">
        <v>300</v>
      </c>
      <c r="J536" s="22"/>
      <c r="K536" s="25"/>
      <c r="L536" s="25"/>
      <c r="M536" s="22"/>
    </row>
    <row r="537" spans="1:13">
      <c r="A537" s="14">
        <v>1526</v>
      </c>
      <c r="B537" s="67">
        <v>44957</v>
      </c>
      <c r="C537" s="15">
        <f t="shared" si="20"/>
        <v>44957</v>
      </c>
      <c r="D537" s="22"/>
      <c r="E537" s="72"/>
      <c r="F537" s="102"/>
      <c r="G537" s="90">
        <v>100000</v>
      </c>
      <c r="H537" s="26">
        <f t="shared" si="19"/>
        <v>-220750</v>
      </c>
      <c r="I537" s="25" t="s">
        <v>310</v>
      </c>
      <c r="J537" s="22"/>
      <c r="K537" s="25"/>
      <c r="L537" s="25"/>
      <c r="M537" s="22"/>
    </row>
    <row r="538" spans="1:13">
      <c r="A538" s="14">
        <v>1527</v>
      </c>
      <c r="B538" s="67">
        <v>44957</v>
      </c>
      <c r="C538" s="15">
        <f t="shared" si="20"/>
        <v>44957</v>
      </c>
      <c r="D538" s="22"/>
      <c r="E538" s="72"/>
      <c r="F538" s="102"/>
      <c r="G538" s="90">
        <v>100000</v>
      </c>
      <c r="H538" s="26">
        <f t="shared" si="19"/>
        <v>-120750</v>
      </c>
      <c r="I538" s="25" t="s">
        <v>285</v>
      </c>
      <c r="J538" s="22"/>
      <c r="K538" s="25"/>
      <c r="L538" s="25"/>
      <c r="M538" s="22"/>
    </row>
    <row r="539" spans="1:13">
      <c r="A539" s="14">
        <v>1528</v>
      </c>
      <c r="B539" s="67">
        <v>44958</v>
      </c>
      <c r="C539" s="15">
        <f t="shared" si="20"/>
        <v>44958</v>
      </c>
      <c r="D539" s="22"/>
      <c r="E539" s="71"/>
      <c r="F539" s="102">
        <v>21500</v>
      </c>
      <c r="G539" s="90"/>
      <c r="H539" s="26">
        <f t="shared" si="19"/>
        <v>-142250</v>
      </c>
      <c r="I539" s="25" t="s">
        <v>309</v>
      </c>
      <c r="J539" s="22"/>
      <c r="K539" s="25"/>
      <c r="L539" s="25"/>
      <c r="M539" s="22"/>
    </row>
    <row r="540" spans="1:13">
      <c r="A540" s="14">
        <v>1529</v>
      </c>
      <c r="B540" s="67">
        <v>44959</v>
      </c>
      <c r="C540" s="15">
        <f t="shared" si="20"/>
        <v>44959</v>
      </c>
      <c r="D540" s="22"/>
      <c r="E540" s="71"/>
      <c r="F540" s="102">
        <v>49920</v>
      </c>
      <c r="G540" s="90"/>
      <c r="H540" s="26">
        <f t="shared" si="19"/>
        <v>-192170</v>
      </c>
      <c r="I540" s="25" t="s">
        <v>309</v>
      </c>
      <c r="J540" s="22"/>
      <c r="K540" s="25"/>
      <c r="L540" s="25"/>
      <c r="M540" s="22"/>
    </row>
    <row r="541" spans="1:13">
      <c r="A541" s="14">
        <v>1530</v>
      </c>
      <c r="B541" s="67">
        <v>44960</v>
      </c>
      <c r="C541" s="15">
        <f t="shared" si="20"/>
        <v>44960</v>
      </c>
      <c r="D541" s="22"/>
      <c r="E541" s="72"/>
      <c r="F541" s="102">
        <v>15000</v>
      </c>
      <c r="G541" s="90"/>
      <c r="H541" s="26">
        <f t="shared" si="19"/>
        <v>-207170</v>
      </c>
      <c r="I541" s="25" t="s">
        <v>306</v>
      </c>
      <c r="J541" s="22"/>
      <c r="K541" s="25"/>
      <c r="L541" s="25"/>
      <c r="M541" s="22"/>
    </row>
    <row r="542" spans="1:13">
      <c r="A542" s="14">
        <v>1531</v>
      </c>
      <c r="B542" s="67">
        <v>44960</v>
      </c>
      <c r="C542" s="15">
        <f t="shared" si="20"/>
        <v>44960</v>
      </c>
      <c r="D542" s="22"/>
      <c r="E542" s="72"/>
      <c r="F542" s="102">
        <v>2550</v>
      </c>
      <c r="G542" s="90"/>
      <c r="H542" s="26">
        <f t="shared" si="19"/>
        <v>-209720</v>
      </c>
      <c r="I542" s="25" t="s">
        <v>309</v>
      </c>
      <c r="J542" s="22"/>
      <c r="K542" s="25"/>
      <c r="L542" s="25"/>
      <c r="M542" s="22"/>
    </row>
    <row r="543" spans="1:13">
      <c r="A543" s="14">
        <v>1532</v>
      </c>
      <c r="B543" s="67">
        <v>44963</v>
      </c>
      <c r="C543" s="15">
        <f t="shared" si="20"/>
        <v>44963</v>
      </c>
      <c r="D543" s="22"/>
      <c r="E543" s="72"/>
      <c r="F543" s="102">
        <v>6800</v>
      </c>
      <c r="G543" s="90"/>
      <c r="H543" s="26">
        <f t="shared" si="19"/>
        <v>-216520</v>
      </c>
      <c r="I543" s="25" t="s">
        <v>306</v>
      </c>
      <c r="J543" s="22"/>
      <c r="K543" s="25"/>
      <c r="L543" s="25"/>
      <c r="M543" s="22"/>
    </row>
    <row r="544" spans="1:13">
      <c r="A544" s="14">
        <v>1533</v>
      </c>
      <c r="B544" s="67">
        <v>44964</v>
      </c>
      <c r="C544" s="15">
        <f t="shared" si="20"/>
        <v>44964</v>
      </c>
      <c r="D544" s="22"/>
      <c r="E544" s="71"/>
      <c r="F544" s="102">
        <v>10000</v>
      </c>
      <c r="G544" s="90"/>
      <c r="H544" s="26">
        <f t="shared" si="19"/>
        <v>-226520</v>
      </c>
      <c r="I544" s="25" t="s">
        <v>306</v>
      </c>
      <c r="J544" s="22"/>
      <c r="K544" s="25"/>
      <c r="L544" s="25"/>
      <c r="M544" s="22"/>
    </row>
    <row r="545" spans="1:13">
      <c r="A545" s="14">
        <v>1534</v>
      </c>
      <c r="B545" s="67">
        <v>44964</v>
      </c>
      <c r="C545" s="15">
        <f t="shared" si="20"/>
        <v>44964</v>
      </c>
      <c r="D545" s="22"/>
      <c r="E545" s="71"/>
      <c r="F545" s="102">
        <v>23090</v>
      </c>
      <c r="G545" s="90"/>
      <c r="H545" s="26">
        <f t="shared" si="19"/>
        <v>-249610</v>
      </c>
      <c r="I545" s="25" t="s">
        <v>285</v>
      </c>
      <c r="J545" s="22"/>
      <c r="K545" s="25"/>
      <c r="L545" s="25"/>
      <c r="M545" s="22"/>
    </row>
    <row r="546" spans="1:13">
      <c r="A546" s="14">
        <v>1535</v>
      </c>
      <c r="B546" s="67">
        <v>44964</v>
      </c>
      <c r="C546" s="15">
        <f t="shared" si="20"/>
        <v>44964</v>
      </c>
      <c r="D546" s="22"/>
      <c r="E546" s="72"/>
      <c r="F546" s="102">
        <v>15000</v>
      </c>
      <c r="G546" s="90"/>
      <c r="H546" s="26">
        <f t="shared" si="19"/>
        <v>-264610</v>
      </c>
      <c r="I546" s="25" t="s">
        <v>306</v>
      </c>
      <c r="J546" s="22"/>
      <c r="K546" s="25"/>
      <c r="L546" s="25"/>
      <c r="M546" s="22"/>
    </row>
    <row r="547" spans="1:13">
      <c r="A547" s="14">
        <v>1536</v>
      </c>
      <c r="B547" s="67">
        <v>44964</v>
      </c>
      <c r="C547" s="15">
        <f t="shared" si="20"/>
        <v>44964</v>
      </c>
      <c r="D547" s="22"/>
      <c r="E547" s="71"/>
      <c r="F547" s="102">
        <v>24000</v>
      </c>
      <c r="G547" s="90"/>
      <c r="H547" s="26">
        <f t="shared" si="19"/>
        <v>-288610</v>
      </c>
      <c r="I547" s="25" t="s">
        <v>285</v>
      </c>
      <c r="J547" s="22"/>
      <c r="K547" s="25"/>
      <c r="L547" s="25"/>
      <c r="M547" s="22"/>
    </row>
    <row r="548" spans="1:13">
      <c r="A548" s="14">
        <v>1537</v>
      </c>
      <c r="B548" s="67">
        <v>44966</v>
      </c>
      <c r="C548" s="15">
        <f t="shared" si="20"/>
        <v>44966</v>
      </c>
      <c r="D548" s="22"/>
      <c r="E548" s="72"/>
      <c r="F548" s="102">
        <v>168000</v>
      </c>
      <c r="G548" s="90"/>
      <c r="H548" s="26">
        <f t="shared" si="19"/>
        <v>-456610</v>
      </c>
      <c r="I548" s="25" t="s">
        <v>309</v>
      </c>
      <c r="J548" s="22"/>
      <c r="K548" s="25"/>
      <c r="L548" s="25"/>
      <c r="M548" s="22"/>
    </row>
    <row r="549" spans="1:13">
      <c r="A549" s="14">
        <v>1538</v>
      </c>
      <c r="B549" s="67">
        <v>44966</v>
      </c>
      <c r="C549" s="15">
        <f t="shared" si="20"/>
        <v>44966</v>
      </c>
      <c r="D549" s="22"/>
      <c r="E549" s="71"/>
      <c r="F549" s="102">
        <v>20</v>
      </c>
      <c r="G549" s="90"/>
      <c r="H549" s="26">
        <f t="shared" si="19"/>
        <v>-456630</v>
      </c>
      <c r="I549" s="25" t="s">
        <v>264</v>
      </c>
      <c r="J549" s="22"/>
      <c r="K549" s="25"/>
      <c r="L549" s="25"/>
      <c r="M549" s="22"/>
    </row>
    <row r="550" spans="1:13">
      <c r="A550" s="14">
        <v>1539</v>
      </c>
      <c r="B550" s="67">
        <v>44966</v>
      </c>
      <c r="C550" s="15">
        <f t="shared" si="20"/>
        <v>44966</v>
      </c>
      <c r="D550" s="22"/>
      <c r="E550" s="71"/>
      <c r="F550" s="102">
        <v>1.5</v>
      </c>
      <c r="G550" s="90"/>
      <c r="H550" s="26">
        <f t="shared" si="19"/>
        <v>-456631.5</v>
      </c>
      <c r="I550" s="25" t="s">
        <v>264</v>
      </c>
      <c r="J550" s="22"/>
      <c r="K550" s="25"/>
      <c r="L550" s="25"/>
      <c r="M550" s="22"/>
    </row>
    <row r="551" spans="1:13">
      <c r="A551" s="14">
        <v>1540</v>
      </c>
      <c r="B551" s="67">
        <v>44966</v>
      </c>
      <c r="C551" s="15">
        <f t="shared" si="20"/>
        <v>44966</v>
      </c>
      <c r="D551" s="22"/>
      <c r="E551" s="71"/>
      <c r="F551" s="102">
        <v>6800</v>
      </c>
      <c r="G551" s="90"/>
      <c r="H551" s="26">
        <f t="shared" si="19"/>
        <v>-463431.5</v>
      </c>
      <c r="I551" s="25" t="s">
        <v>309</v>
      </c>
      <c r="J551" s="22"/>
      <c r="K551" s="25"/>
      <c r="L551" s="25"/>
      <c r="M551" s="22"/>
    </row>
    <row r="552" spans="1:13">
      <c r="A552" s="14">
        <v>1541</v>
      </c>
      <c r="B552" s="67">
        <v>44966</v>
      </c>
      <c r="C552" s="15">
        <f t="shared" si="20"/>
        <v>44966</v>
      </c>
      <c r="D552" s="22"/>
      <c r="E552" s="71"/>
      <c r="F552" s="102">
        <v>5550</v>
      </c>
      <c r="G552" s="90"/>
      <c r="H552" s="26">
        <f t="shared" si="19"/>
        <v>-468981.5</v>
      </c>
      <c r="I552" s="25" t="s">
        <v>309</v>
      </c>
      <c r="J552" s="22"/>
      <c r="K552" s="25"/>
      <c r="L552" s="25"/>
      <c r="M552" s="22"/>
    </row>
    <row r="553" spans="1:13">
      <c r="A553" s="14">
        <v>1542</v>
      </c>
      <c r="B553" s="67">
        <v>44966</v>
      </c>
      <c r="C553" s="15">
        <f t="shared" si="20"/>
        <v>44966</v>
      </c>
      <c r="D553" s="22"/>
      <c r="E553" s="72"/>
      <c r="F553" s="102">
        <v>47867.4</v>
      </c>
      <c r="G553" s="90"/>
      <c r="H553" s="26">
        <f t="shared" si="19"/>
        <v>-516848.9</v>
      </c>
      <c r="I553" s="25" t="s">
        <v>306</v>
      </c>
      <c r="J553" s="22"/>
      <c r="K553" s="25"/>
      <c r="L553" s="25"/>
      <c r="M553" s="22"/>
    </row>
    <row r="554" spans="1:13">
      <c r="A554" s="14">
        <v>1543</v>
      </c>
      <c r="B554" s="67">
        <v>44966</v>
      </c>
      <c r="C554" s="15">
        <f t="shared" si="20"/>
        <v>44966</v>
      </c>
      <c r="D554" s="22"/>
      <c r="E554" s="71"/>
      <c r="F554" s="102">
        <v>2500</v>
      </c>
      <c r="G554" s="90"/>
      <c r="H554" s="26">
        <f t="shared" si="19"/>
        <v>-519348.9</v>
      </c>
      <c r="I554" s="25" t="s">
        <v>309</v>
      </c>
      <c r="J554" s="22"/>
      <c r="K554" s="25"/>
      <c r="L554" s="25"/>
      <c r="M554" s="22"/>
    </row>
    <row r="555" spans="1:13">
      <c r="A555" s="14">
        <v>1544</v>
      </c>
      <c r="B555" s="67">
        <v>44967</v>
      </c>
      <c r="C555" s="15">
        <f t="shared" si="20"/>
        <v>44967</v>
      </c>
      <c r="D555" s="22"/>
      <c r="E555" s="72"/>
      <c r="F555" s="102">
        <v>15000</v>
      </c>
      <c r="G555" s="90"/>
      <c r="H555" s="26">
        <f t="shared" si="19"/>
        <v>-534348.9</v>
      </c>
      <c r="I555" s="25" t="s">
        <v>306</v>
      </c>
      <c r="J555" s="22"/>
      <c r="K555" s="25"/>
      <c r="L555" s="25"/>
      <c r="M555" s="22"/>
    </row>
    <row r="556" spans="1:13">
      <c r="A556" s="14">
        <v>1545</v>
      </c>
      <c r="B556" s="67">
        <v>44971</v>
      </c>
      <c r="C556" s="15">
        <f t="shared" si="20"/>
        <v>44971</v>
      </c>
      <c r="D556" s="22"/>
      <c r="E556" s="72"/>
      <c r="F556" s="102">
        <v>6800</v>
      </c>
      <c r="G556" s="90"/>
      <c r="H556" s="26">
        <f t="shared" ref="H556:H619" si="21">IFERROR(H555-F556+G556,"")</f>
        <v>-541148.9</v>
      </c>
      <c r="I556" s="25" t="s">
        <v>309</v>
      </c>
      <c r="J556" s="22"/>
      <c r="K556" s="25"/>
      <c r="L556" s="25"/>
      <c r="M556" s="22"/>
    </row>
    <row r="557" spans="1:13">
      <c r="A557" s="14">
        <v>1546</v>
      </c>
      <c r="B557" s="67">
        <v>44972</v>
      </c>
      <c r="C557" s="15">
        <f t="shared" si="20"/>
        <v>44972</v>
      </c>
      <c r="D557" s="22"/>
      <c r="E557" s="72"/>
      <c r="F557" s="102">
        <v>9840</v>
      </c>
      <c r="G557" s="90"/>
      <c r="H557" s="26">
        <f t="shared" si="21"/>
        <v>-550988.9</v>
      </c>
      <c r="I557" s="25" t="s">
        <v>306</v>
      </c>
      <c r="J557" s="22"/>
      <c r="K557" s="25"/>
      <c r="L557" s="25"/>
      <c r="M557" s="22"/>
    </row>
    <row r="558" spans="1:13">
      <c r="A558" s="14">
        <v>1547</v>
      </c>
      <c r="B558" s="67">
        <v>44972</v>
      </c>
      <c r="C558" s="15">
        <f t="shared" si="20"/>
        <v>44972</v>
      </c>
      <c r="D558" s="22"/>
      <c r="E558" s="72"/>
      <c r="F558" s="102">
        <v>9840</v>
      </c>
      <c r="G558" s="90"/>
      <c r="H558" s="26">
        <f t="shared" si="21"/>
        <v>-560828.9</v>
      </c>
      <c r="I558" s="25" t="s">
        <v>306</v>
      </c>
      <c r="J558" s="22"/>
      <c r="K558" s="25"/>
      <c r="L558" s="25"/>
      <c r="M558" s="22"/>
    </row>
    <row r="559" spans="1:13">
      <c r="A559" s="14">
        <v>1548</v>
      </c>
      <c r="B559" s="67">
        <v>44972</v>
      </c>
      <c r="C559" s="15">
        <f t="shared" si="20"/>
        <v>44972</v>
      </c>
      <c r="D559" s="22"/>
      <c r="E559" s="72"/>
      <c r="F559" s="102">
        <v>9840</v>
      </c>
      <c r="G559" s="90"/>
      <c r="H559" s="26">
        <f t="shared" si="21"/>
        <v>-570668.9</v>
      </c>
      <c r="I559" s="25" t="s">
        <v>306</v>
      </c>
      <c r="J559" s="22"/>
      <c r="K559" s="25"/>
      <c r="L559" s="25"/>
      <c r="M559" s="22"/>
    </row>
    <row r="560" spans="1:13">
      <c r="A560" s="14">
        <v>1549</v>
      </c>
      <c r="B560" s="67">
        <v>44972</v>
      </c>
      <c r="C560" s="15">
        <f t="shared" si="20"/>
        <v>44972</v>
      </c>
      <c r="D560" s="22"/>
      <c r="E560" s="72"/>
      <c r="F560" s="102">
        <v>15000</v>
      </c>
      <c r="G560" s="90"/>
      <c r="H560" s="26">
        <f t="shared" si="21"/>
        <v>-585668.9</v>
      </c>
      <c r="I560" s="25" t="s">
        <v>306</v>
      </c>
      <c r="J560" s="22"/>
      <c r="K560" s="25"/>
      <c r="L560" s="25"/>
      <c r="M560" s="22"/>
    </row>
    <row r="561" spans="1:13">
      <c r="A561" s="14">
        <v>1550</v>
      </c>
      <c r="B561" s="67">
        <v>44972</v>
      </c>
      <c r="C561" s="15">
        <f t="shared" si="20"/>
        <v>44972</v>
      </c>
      <c r="D561" s="22"/>
      <c r="E561" s="71"/>
      <c r="F561" s="102">
        <v>53.75</v>
      </c>
      <c r="G561" s="90"/>
      <c r="H561" s="26">
        <f t="shared" si="21"/>
        <v>-585722.65</v>
      </c>
      <c r="I561" s="25" t="s">
        <v>264</v>
      </c>
      <c r="J561" s="22"/>
      <c r="K561" s="25"/>
      <c r="L561" s="25"/>
      <c r="M561" s="22"/>
    </row>
    <row r="562" spans="1:13">
      <c r="A562" s="14">
        <v>1551</v>
      </c>
      <c r="B562" s="67">
        <v>44972</v>
      </c>
      <c r="C562" s="15">
        <f t="shared" si="20"/>
        <v>44972</v>
      </c>
      <c r="D562" s="22"/>
      <c r="E562" s="72"/>
      <c r="F562" s="102">
        <v>60000</v>
      </c>
      <c r="G562" s="90"/>
      <c r="H562" s="26">
        <f t="shared" si="21"/>
        <v>-645722.65</v>
      </c>
      <c r="I562" s="25" t="s">
        <v>309</v>
      </c>
      <c r="J562" s="22"/>
      <c r="K562" s="25"/>
      <c r="L562" s="25"/>
      <c r="M562" s="22"/>
    </row>
    <row r="563" spans="1:13">
      <c r="A563" s="14">
        <v>1552</v>
      </c>
      <c r="B563" s="67">
        <v>44973</v>
      </c>
      <c r="C563" s="15">
        <f t="shared" si="20"/>
        <v>44973</v>
      </c>
      <c r="D563" s="22"/>
      <c r="E563" s="72"/>
      <c r="F563" s="102">
        <v>3400</v>
      </c>
      <c r="G563" s="90"/>
      <c r="H563" s="26">
        <f t="shared" si="21"/>
        <v>-649122.65</v>
      </c>
      <c r="I563" s="25" t="s">
        <v>306</v>
      </c>
      <c r="J563" s="22"/>
      <c r="K563" s="25"/>
      <c r="L563" s="25"/>
      <c r="M563" s="22"/>
    </row>
    <row r="564" spans="1:13">
      <c r="A564" s="14">
        <v>1553</v>
      </c>
      <c r="B564" s="67">
        <v>44974</v>
      </c>
      <c r="C564" s="15">
        <f t="shared" si="20"/>
        <v>44974</v>
      </c>
      <c r="D564" s="22"/>
      <c r="E564" s="72"/>
      <c r="F564" s="102">
        <v>15000</v>
      </c>
      <c r="G564" s="90"/>
      <c r="H564" s="26">
        <f t="shared" si="21"/>
        <v>-664122.65</v>
      </c>
      <c r="I564" s="25" t="s">
        <v>306</v>
      </c>
      <c r="J564" s="22"/>
      <c r="K564" s="25"/>
      <c r="L564" s="25"/>
      <c r="M564" s="22"/>
    </row>
    <row r="565" spans="1:13">
      <c r="A565" s="14">
        <v>1554</v>
      </c>
      <c r="B565" s="67">
        <v>44977</v>
      </c>
      <c r="C565" s="15">
        <f t="shared" si="20"/>
        <v>44977</v>
      </c>
      <c r="D565" s="22"/>
      <c r="E565" s="71"/>
      <c r="F565" s="102">
        <v>45000</v>
      </c>
      <c r="G565" s="90"/>
      <c r="H565" s="26">
        <f t="shared" si="21"/>
        <v>-709122.65</v>
      </c>
      <c r="I565" s="25" t="s">
        <v>309</v>
      </c>
      <c r="J565" s="22"/>
      <c r="K565" s="25"/>
      <c r="L565" s="25"/>
      <c r="M565" s="22"/>
    </row>
    <row r="566" spans="1:13">
      <c r="A566" s="14">
        <v>1555</v>
      </c>
      <c r="B566" s="67">
        <v>44977</v>
      </c>
      <c r="C566" s="15">
        <f t="shared" si="20"/>
        <v>44977</v>
      </c>
      <c r="D566" s="22"/>
      <c r="E566" s="71"/>
      <c r="F566" s="102">
        <v>6400</v>
      </c>
      <c r="G566" s="90"/>
      <c r="H566" s="26">
        <f t="shared" si="21"/>
        <v>-715522.65</v>
      </c>
      <c r="I566" s="25" t="s">
        <v>309</v>
      </c>
      <c r="J566" s="22"/>
      <c r="K566" s="25"/>
      <c r="L566" s="25"/>
      <c r="M566" s="22"/>
    </row>
    <row r="567" spans="1:13">
      <c r="A567" s="14">
        <v>1556</v>
      </c>
      <c r="B567" s="67">
        <v>44979</v>
      </c>
      <c r="C567" s="15">
        <f t="shared" ref="C567:C630" si="22">B567</f>
        <v>44979</v>
      </c>
      <c r="D567" s="22"/>
      <c r="E567" s="73"/>
      <c r="F567" s="102">
        <v>15000</v>
      </c>
      <c r="G567" s="90"/>
      <c r="H567" s="26">
        <f t="shared" si="21"/>
        <v>-730522.65</v>
      </c>
      <c r="I567" s="25" t="s">
        <v>306</v>
      </c>
      <c r="J567" s="22"/>
      <c r="K567" s="25"/>
      <c r="L567" s="25"/>
      <c r="M567" s="22"/>
    </row>
    <row r="568" spans="1:13">
      <c r="A568" s="14">
        <v>1557</v>
      </c>
      <c r="B568" s="67">
        <v>44980</v>
      </c>
      <c r="C568" s="15">
        <f t="shared" si="22"/>
        <v>44980</v>
      </c>
      <c r="D568" s="22"/>
      <c r="E568" s="72"/>
      <c r="F568" s="102">
        <v>4000</v>
      </c>
      <c r="G568" s="90"/>
      <c r="H568" s="26">
        <f t="shared" si="21"/>
        <v>-734522.65</v>
      </c>
      <c r="I568" s="25" t="s">
        <v>309</v>
      </c>
      <c r="J568" s="22"/>
      <c r="K568" s="25"/>
      <c r="L568" s="25"/>
      <c r="M568" s="22"/>
    </row>
    <row r="569" spans="1:13">
      <c r="A569" s="14">
        <v>1558</v>
      </c>
      <c r="B569" s="67">
        <v>44985</v>
      </c>
      <c r="C569" s="15">
        <f t="shared" si="22"/>
        <v>44985</v>
      </c>
      <c r="D569" s="22"/>
      <c r="E569" s="72"/>
      <c r="F569" s="102">
        <v>15000</v>
      </c>
      <c r="G569" s="90"/>
      <c r="H569" s="26">
        <f t="shared" si="21"/>
        <v>-749522.65</v>
      </c>
      <c r="I569" s="25" t="s">
        <v>306</v>
      </c>
      <c r="J569" s="22"/>
      <c r="K569" s="25"/>
      <c r="L569" s="25"/>
      <c r="M569" s="22"/>
    </row>
    <row r="570" spans="1:13">
      <c r="A570" s="14">
        <v>1559</v>
      </c>
      <c r="B570" s="67">
        <v>44987</v>
      </c>
      <c r="C570" s="15">
        <f t="shared" si="22"/>
        <v>44987</v>
      </c>
      <c r="D570" s="22"/>
      <c r="E570" s="72"/>
      <c r="F570" s="102">
        <v>14620</v>
      </c>
      <c r="G570" s="90"/>
      <c r="H570" s="26">
        <f t="shared" si="21"/>
        <v>-764142.65</v>
      </c>
      <c r="I570" s="25" t="s">
        <v>306</v>
      </c>
      <c r="J570" s="22"/>
      <c r="K570" s="25"/>
      <c r="L570" s="25"/>
      <c r="M570" s="22"/>
    </row>
    <row r="571" spans="1:13">
      <c r="A571" s="14">
        <v>1560</v>
      </c>
      <c r="B571" s="67">
        <v>44987</v>
      </c>
      <c r="C571" s="15">
        <f t="shared" si="22"/>
        <v>44987</v>
      </c>
      <c r="D571" s="22"/>
      <c r="E571" s="72"/>
      <c r="F571" s="102">
        <v>58780</v>
      </c>
      <c r="G571" s="90"/>
      <c r="H571" s="26">
        <f t="shared" si="21"/>
        <v>-822922.65</v>
      </c>
      <c r="I571" s="25" t="s">
        <v>309</v>
      </c>
      <c r="J571" s="22"/>
      <c r="K571" s="25"/>
      <c r="L571" s="25"/>
      <c r="M571" s="22"/>
    </row>
    <row r="572" spans="1:13">
      <c r="A572" s="14">
        <v>1561</v>
      </c>
      <c r="B572" s="67">
        <v>44987</v>
      </c>
      <c r="C572" s="15">
        <f t="shared" si="22"/>
        <v>44987</v>
      </c>
      <c r="D572" s="22"/>
      <c r="E572" s="72"/>
      <c r="F572" s="102">
        <v>15000</v>
      </c>
      <c r="G572" s="90"/>
      <c r="H572" s="26">
        <f t="shared" si="21"/>
        <v>-837922.65</v>
      </c>
      <c r="I572" s="25" t="s">
        <v>306</v>
      </c>
      <c r="J572" s="22"/>
      <c r="K572" s="25"/>
      <c r="L572" s="25"/>
      <c r="M572" s="22"/>
    </row>
    <row r="573" spans="1:13">
      <c r="A573" s="14">
        <v>1562</v>
      </c>
      <c r="B573" s="67">
        <v>44991</v>
      </c>
      <c r="C573" s="15">
        <f t="shared" si="22"/>
        <v>44991</v>
      </c>
      <c r="D573" s="22"/>
      <c r="E573" s="72"/>
      <c r="F573" s="102">
        <v>47200</v>
      </c>
      <c r="G573" s="90"/>
      <c r="H573" s="26">
        <f t="shared" si="21"/>
        <v>-885122.65</v>
      </c>
      <c r="I573" s="25" t="s">
        <v>309</v>
      </c>
      <c r="J573" s="22"/>
      <c r="K573" s="25"/>
      <c r="L573" s="25"/>
      <c r="M573" s="22"/>
    </row>
    <row r="574" spans="1:13">
      <c r="A574" s="14">
        <v>1563</v>
      </c>
      <c r="B574" s="67">
        <v>44991</v>
      </c>
      <c r="C574" s="15">
        <f t="shared" si="22"/>
        <v>44991</v>
      </c>
      <c r="D574" s="22"/>
      <c r="E574" s="72"/>
      <c r="F574" s="102">
        <v>1980</v>
      </c>
      <c r="G574" s="90"/>
      <c r="H574" s="26">
        <f t="shared" si="21"/>
        <v>-887102.65</v>
      </c>
      <c r="I574" s="25" t="s">
        <v>309</v>
      </c>
      <c r="J574" s="22"/>
      <c r="K574" s="25"/>
      <c r="L574" s="25"/>
      <c r="M574" s="22"/>
    </row>
    <row r="575" spans="1:13">
      <c r="A575" s="14">
        <v>1564</v>
      </c>
      <c r="B575" s="67">
        <v>44991</v>
      </c>
      <c r="C575" s="15">
        <f t="shared" si="22"/>
        <v>44991</v>
      </c>
      <c r="D575" s="22"/>
      <c r="E575" s="72"/>
      <c r="F575" s="102">
        <v>69900</v>
      </c>
      <c r="G575" s="90"/>
      <c r="H575" s="26">
        <f t="shared" si="21"/>
        <v>-957002.65</v>
      </c>
      <c r="I575" s="25" t="s">
        <v>309</v>
      </c>
      <c r="J575" s="22"/>
      <c r="K575" s="25"/>
      <c r="L575" s="25"/>
      <c r="M575" s="22"/>
    </row>
    <row r="576" spans="1:13">
      <c r="A576" s="14">
        <v>1565</v>
      </c>
      <c r="B576" s="67">
        <v>44991</v>
      </c>
      <c r="C576" s="15">
        <f t="shared" si="22"/>
        <v>44991</v>
      </c>
      <c r="D576" s="22"/>
      <c r="E576" s="71"/>
      <c r="F576" s="102">
        <v>20</v>
      </c>
      <c r="G576" s="90"/>
      <c r="H576" s="26">
        <f t="shared" si="21"/>
        <v>-957022.65</v>
      </c>
      <c r="I576" s="25" t="s">
        <v>264</v>
      </c>
      <c r="J576" s="22"/>
      <c r="K576" s="25"/>
      <c r="L576" s="25"/>
      <c r="M576" s="22"/>
    </row>
    <row r="577" spans="1:13">
      <c r="A577" s="14">
        <v>1566</v>
      </c>
      <c r="B577" s="67">
        <v>44991</v>
      </c>
      <c r="C577" s="15">
        <f t="shared" si="22"/>
        <v>44991</v>
      </c>
      <c r="D577" s="22"/>
      <c r="E577" s="71"/>
      <c r="F577" s="102">
        <v>1.5</v>
      </c>
      <c r="G577" s="90"/>
      <c r="H577" s="26">
        <f t="shared" si="21"/>
        <v>-957024.15</v>
      </c>
      <c r="I577" s="25" t="s">
        <v>264</v>
      </c>
      <c r="J577" s="22"/>
      <c r="K577" s="25"/>
      <c r="L577" s="25"/>
      <c r="M577" s="22"/>
    </row>
    <row r="578" spans="1:13">
      <c r="A578" s="14">
        <v>1567</v>
      </c>
      <c r="B578" s="67">
        <v>44992</v>
      </c>
      <c r="C578" s="15">
        <f t="shared" si="22"/>
        <v>44992</v>
      </c>
      <c r="D578" s="22"/>
      <c r="E578" s="72"/>
      <c r="F578" s="102">
        <v>15000</v>
      </c>
      <c r="G578" s="90"/>
      <c r="H578" s="26">
        <f t="shared" si="21"/>
        <v>-972024.15</v>
      </c>
      <c r="I578" s="25" t="s">
        <v>306</v>
      </c>
      <c r="J578" s="22"/>
      <c r="K578" s="25"/>
      <c r="L578" s="25"/>
      <c r="M578" s="22"/>
    </row>
    <row r="579" spans="1:13">
      <c r="A579" s="14">
        <v>1568</v>
      </c>
      <c r="B579" s="67">
        <v>44993</v>
      </c>
      <c r="C579" s="15">
        <f t="shared" si="22"/>
        <v>44993</v>
      </c>
      <c r="D579" s="22"/>
      <c r="E579" s="72"/>
      <c r="F579" s="102">
        <v>47500</v>
      </c>
      <c r="G579" s="90"/>
      <c r="H579" s="26">
        <f t="shared" si="21"/>
        <v>-1019524.15</v>
      </c>
      <c r="I579" s="25" t="s">
        <v>309</v>
      </c>
      <c r="J579" s="22"/>
      <c r="K579" s="25"/>
      <c r="L579" s="25"/>
      <c r="M579" s="22"/>
    </row>
    <row r="580" spans="1:13">
      <c r="A580" s="14">
        <v>1569</v>
      </c>
      <c r="B580" s="67">
        <v>44994</v>
      </c>
      <c r="C580" s="15">
        <f t="shared" si="22"/>
        <v>44994</v>
      </c>
      <c r="D580" s="22"/>
      <c r="E580" s="71"/>
      <c r="F580" s="102">
        <v>6880</v>
      </c>
      <c r="G580" s="90"/>
      <c r="H580" s="26">
        <f t="shared" si="21"/>
        <v>-1026404.15</v>
      </c>
      <c r="I580" s="25" t="s">
        <v>309</v>
      </c>
      <c r="J580" s="22"/>
      <c r="K580" s="25"/>
      <c r="L580" s="25"/>
      <c r="M580" s="22"/>
    </row>
    <row r="581" spans="1:13">
      <c r="A581" s="14">
        <v>1570</v>
      </c>
      <c r="B581" s="67">
        <v>44995</v>
      </c>
      <c r="C581" s="15">
        <f t="shared" si="22"/>
        <v>44995</v>
      </c>
      <c r="D581" s="22"/>
      <c r="E581" s="71"/>
      <c r="F581" s="102">
        <v>46000</v>
      </c>
      <c r="G581" s="90"/>
      <c r="H581" s="26">
        <f t="shared" si="21"/>
        <v>-1072404.1499999999</v>
      </c>
      <c r="I581" s="25" t="s">
        <v>309</v>
      </c>
      <c r="J581" s="22"/>
      <c r="K581" s="25"/>
      <c r="L581" s="25"/>
      <c r="M581" s="22"/>
    </row>
    <row r="582" spans="1:13">
      <c r="A582" s="14">
        <v>1571</v>
      </c>
      <c r="B582" s="67">
        <v>44998</v>
      </c>
      <c r="C582" s="15">
        <f t="shared" si="22"/>
        <v>44998</v>
      </c>
      <c r="D582" s="22"/>
      <c r="E582" s="72"/>
      <c r="F582" s="102">
        <v>15000</v>
      </c>
      <c r="G582" s="90"/>
      <c r="H582" s="26">
        <f t="shared" si="21"/>
        <v>-1087404.1499999999</v>
      </c>
      <c r="I582" s="25" t="s">
        <v>306</v>
      </c>
      <c r="J582" s="22"/>
      <c r="K582" s="25"/>
      <c r="L582" s="25"/>
      <c r="M582" s="22"/>
    </row>
    <row r="583" spans="1:13">
      <c r="A583" s="14">
        <v>1572</v>
      </c>
      <c r="B583" s="67">
        <v>44998</v>
      </c>
      <c r="C583" s="15">
        <f t="shared" si="22"/>
        <v>44998</v>
      </c>
      <c r="D583" s="22"/>
      <c r="E583" s="72"/>
      <c r="F583" s="102">
        <v>6880</v>
      </c>
      <c r="G583" s="90"/>
      <c r="H583" s="26">
        <f t="shared" si="21"/>
        <v>-1094284.1499999999</v>
      </c>
      <c r="I583" s="25" t="s">
        <v>309</v>
      </c>
      <c r="J583" s="22"/>
      <c r="K583" s="25"/>
      <c r="L583" s="25"/>
      <c r="M583" s="22"/>
    </row>
    <row r="584" spans="1:13">
      <c r="A584" s="14">
        <v>1573</v>
      </c>
      <c r="B584" s="67">
        <v>44998</v>
      </c>
      <c r="C584" s="15">
        <f t="shared" si="22"/>
        <v>44998</v>
      </c>
      <c r="D584" s="22"/>
      <c r="E584" s="74"/>
      <c r="F584" s="102">
        <v>21050</v>
      </c>
      <c r="G584" s="90"/>
      <c r="H584" s="26">
        <f t="shared" si="21"/>
        <v>-1115334.1499999999</v>
      </c>
      <c r="I584" s="25" t="s">
        <v>309</v>
      </c>
      <c r="J584" s="22"/>
      <c r="K584" s="25"/>
      <c r="L584" s="25"/>
      <c r="M584" s="22"/>
    </row>
    <row r="585" spans="1:13">
      <c r="A585" s="14">
        <v>1574</v>
      </c>
      <c r="B585" s="67">
        <v>45001</v>
      </c>
      <c r="C585" s="15">
        <f t="shared" si="22"/>
        <v>45001</v>
      </c>
      <c r="D585" s="22"/>
      <c r="E585" s="72"/>
      <c r="F585" s="102">
        <v>15000</v>
      </c>
      <c r="G585" s="90"/>
      <c r="H585" s="26">
        <f t="shared" si="21"/>
        <v>-1130334.1499999999</v>
      </c>
      <c r="I585" s="25" t="s">
        <v>306</v>
      </c>
      <c r="J585" s="22"/>
      <c r="K585" s="25"/>
      <c r="L585" s="25"/>
      <c r="M585" s="22"/>
    </row>
    <row r="586" spans="1:13">
      <c r="A586" s="14">
        <v>1575</v>
      </c>
      <c r="B586" s="67">
        <v>45001</v>
      </c>
      <c r="C586" s="15">
        <f t="shared" si="22"/>
        <v>45001</v>
      </c>
      <c r="D586" s="22"/>
      <c r="E586" s="71"/>
      <c r="F586" s="102">
        <v>51831</v>
      </c>
      <c r="G586" s="90"/>
      <c r="H586" s="26">
        <f t="shared" si="21"/>
        <v>-1182165.1499999999</v>
      </c>
      <c r="I586" s="25" t="s">
        <v>309</v>
      </c>
      <c r="J586" s="22"/>
      <c r="K586" s="25"/>
      <c r="L586" s="25"/>
      <c r="M586" s="22"/>
    </row>
    <row r="587" spans="1:13">
      <c r="A587" s="14">
        <v>1576</v>
      </c>
      <c r="B587" s="67">
        <v>45001</v>
      </c>
      <c r="C587" s="15">
        <f t="shared" si="22"/>
        <v>45001</v>
      </c>
      <c r="D587" s="22"/>
      <c r="E587" s="72"/>
      <c r="F587" s="102">
        <v>4000</v>
      </c>
      <c r="G587" s="90"/>
      <c r="H587" s="26">
        <f t="shared" si="21"/>
        <v>-1186165.1499999999</v>
      </c>
      <c r="I587" s="25" t="s">
        <v>309</v>
      </c>
      <c r="J587" s="22"/>
      <c r="K587" s="25"/>
      <c r="L587" s="25"/>
      <c r="M587" s="22"/>
    </row>
    <row r="588" spans="1:13">
      <c r="A588" s="14">
        <v>1577</v>
      </c>
      <c r="B588" s="67">
        <v>45005</v>
      </c>
      <c r="C588" s="15">
        <f t="shared" si="22"/>
        <v>45005</v>
      </c>
      <c r="D588" s="22"/>
      <c r="E588" s="72"/>
      <c r="F588" s="102">
        <v>15000</v>
      </c>
      <c r="G588" s="90"/>
      <c r="H588" s="26">
        <f t="shared" si="21"/>
        <v>-1201165.1499999999</v>
      </c>
      <c r="I588" s="25" t="s">
        <v>306</v>
      </c>
      <c r="J588" s="22"/>
      <c r="K588" s="25"/>
      <c r="L588" s="25"/>
      <c r="M588" s="22"/>
    </row>
    <row r="589" spans="1:13">
      <c r="A589" s="14">
        <v>1578</v>
      </c>
      <c r="B589" s="67">
        <v>45005</v>
      </c>
      <c r="C589" s="15">
        <f t="shared" si="22"/>
        <v>45005</v>
      </c>
      <c r="D589" s="22"/>
      <c r="E589" s="71"/>
      <c r="F589" s="102">
        <v>6400</v>
      </c>
      <c r="G589" s="90"/>
      <c r="H589" s="26">
        <f t="shared" si="21"/>
        <v>-1207565.1499999999</v>
      </c>
      <c r="I589" s="25" t="s">
        <v>309</v>
      </c>
      <c r="J589" s="22"/>
      <c r="K589" s="25"/>
      <c r="L589" s="25"/>
      <c r="M589" s="22"/>
    </row>
    <row r="590" spans="1:13">
      <c r="A590" s="14">
        <v>1579</v>
      </c>
      <c r="B590" s="67">
        <v>45005</v>
      </c>
      <c r="C590" s="15">
        <f t="shared" si="22"/>
        <v>45005</v>
      </c>
      <c r="D590" s="22"/>
      <c r="E590" s="74"/>
      <c r="F590" s="102">
        <v>11000</v>
      </c>
      <c r="G590" s="90"/>
      <c r="H590" s="26">
        <f t="shared" si="21"/>
        <v>-1218565.1499999999</v>
      </c>
      <c r="I590" s="25" t="s">
        <v>309</v>
      </c>
      <c r="J590" s="22"/>
      <c r="K590" s="25"/>
      <c r="L590" s="25"/>
      <c r="M590" s="22"/>
    </row>
    <row r="591" spans="1:13">
      <c r="A591" s="14">
        <v>1580</v>
      </c>
      <c r="B591" s="67">
        <v>45005</v>
      </c>
      <c r="C591" s="15">
        <f t="shared" si="22"/>
        <v>45005</v>
      </c>
      <c r="D591" s="22"/>
      <c r="E591" s="71"/>
      <c r="F591" s="102">
        <v>2200</v>
      </c>
      <c r="G591" s="90"/>
      <c r="H591" s="26">
        <f t="shared" si="21"/>
        <v>-1220765.1499999999</v>
      </c>
      <c r="I591" s="25" t="s">
        <v>309</v>
      </c>
      <c r="J591" s="22"/>
      <c r="K591" s="25"/>
      <c r="L591" s="25"/>
      <c r="M591" s="22"/>
    </row>
    <row r="592" spans="1:13">
      <c r="A592" s="14">
        <v>1581</v>
      </c>
      <c r="B592" s="67">
        <v>45007</v>
      </c>
      <c r="C592" s="15">
        <f t="shared" si="22"/>
        <v>45007</v>
      </c>
      <c r="D592" s="22"/>
      <c r="E592" s="72"/>
      <c r="F592" s="102">
        <v>20200</v>
      </c>
      <c r="G592" s="90"/>
      <c r="H592" s="26">
        <f t="shared" si="21"/>
        <v>-1240965.1499999999</v>
      </c>
      <c r="I592" s="25" t="s">
        <v>309</v>
      </c>
      <c r="J592" s="22"/>
      <c r="K592" s="25"/>
      <c r="L592" s="25"/>
      <c r="M592" s="22"/>
    </row>
    <row r="593" spans="1:13">
      <c r="A593" s="14">
        <v>1582</v>
      </c>
      <c r="B593" s="67">
        <v>45007</v>
      </c>
      <c r="C593" s="15">
        <f t="shared" si="22"/>
        <v>45007</v>
      </c>
      <c r="D593" s="22"/>
      <c r="E593" s="71"/>
      <c r="F593" s="102">
        <v>20</v>
      </c>
      <c r="G593" s="90"/>
      <c r="H593" s="26">
        <f t="shared" si="21"/>
        <v>-1240985.1499999999</v>
      </c>
      <c r="I593" s="25" t="s">
        <v>264</v>
      </c>
      <c r="J593" s="22"/>
      <c r="K593" s="25"/>
      <c r="L593" s="25"/>
      <c r="M593" s="22"/>
    </row>
    <row r="594" spans="1:13">
      <c r="A594" s="14">
        <v>1583</v>
      </c>
      <c r="B594" s="67">
        <v>45007</v>
      </c>
      <c r="C594" s="15">
        <f t="shared" si="22"/>
        <v>45007</v>
      </c>
      <c r="D594" s="22"/>
      <c r="E594" s="101"/>
      <c r="F594" s="102">
        <v>1.5</v>
      </c>
      <c r="G594" s="90"/>
      <c r="H594" s="26">
        <f t="shared" si="21"/>
        <v>-1240986.6499999999</v>
      </c>
      <c r="I594" s="25" t="s">
        <v>264</v>
      </c>
      <c r="J594" s="22"/>
      <c r="K594" s="25"/>
      <c r="L594" s="25"/>
      <c r="M594" s="22"/>
    </row>
    <row r="595" spans="1:13">
      <c r="A595" s="14">
        <v>1584</v>
      </c>
      <c r="B595" s="67">
        <v>45007</v>
      </c>
      <c r="C595" s="15">
        <f t="shared" si="22"/>
        <v>45007</v>
      </c>
      <c r="D595" s="22"/>
      <c r="E595" s="72"/>
      <c r="F595" s="102">
        <v>19600</v>
      </c>
      <c r="G595" s="90"/>
      <c r="H595" s="26">
        <f t="shared" si="21"/>
        <v>-1260586.6499999999</v>
      </c>
      <c r="I595" s="25" t="s">
        <v>309</v>
      </c>
      <c r="J595" s="22"/>
      <c r="K595" s="25"/>
      <c r="L595" s="25"/>
      <c r="M595" s="22"/>
    </row>
    <row r="596" spans="1:13">
      <c r="A596" s="14">
        <v>1585</v>
      </c>
      <c r="B596" s="67">
        <v>45007</v>
      </c>
      <c r="C596" s="15">
        <f t="shared" si="22"/>
        <v>45007</v>
      </c>
      <c r="D596" s="22"/>
      <c r="E596" s="71"/>
      <c r="F596" s="102">
        <v>20</v>
      </c>
      <c r="G596" s="90"/>
      <c r="H596" s="26">
        <f t="shared" si="21"/>
        <v>-1260606.6499999999</v>
      </c>
      <c r="I596" s="25" t="s">
        <v>264</v>
      </c>
      <c r="J596" s="22"/>
      <c r="K596" s="25"/>
      <c r="L596" s="25"/>
      <c r="M596" s="22"/>
    </row>
    <row r="597" spans="1:13">
      <c r="A597" s="14">
        <v>1586</v>
      </c>
      <c r="B597" s="67">
        <v>45007</v>
      </c>
      <c r="C597" s="15">
        <f t="shared" si="22"/>
        <v>45007</v>
      </c>
      <c r="D597" s="22"/>
      <c r="E597" s="71"/>
      <c r="F597" s="102">
        <v>1.5</v>
      </c>
      <c r="G597" s="90"/>
      <c r="H597" s="26">
        <f t="shared" si="21"/>
        <v>-1260608.1499999999</v>
      </c>
      <c r="I597" s="25" t="s">
        <v>264</v>
      </c>
      <c r="J597" s="22"/>
      <c r="K597" s="25"/>
      <c r="L597" s="25"/>
      <c r="M597" s="22"/>
    </row>
    <row r="598" spans="1:13">
      <c r="A598" s="14">
        <v>1587</v>
      </c>
      <c r="B598" s="67">
        <v>45008</v>
      </c>
      <c r="C598" s="15">
        <f t="shared" si="22"/>
        <v>45008</v>
      </c>
      <c r="D598" s="22"/>
      <c r="E598" s="71"/>
      <c r="F598" s="102">
        <v>6400</v>
      </c>
      <c r="G598" s="90"/>
      <c r="H598" s="26">
        <f t="shared" si="21"/>
        <v>-1267008.1499999999</v>
      </c>
      <c r="I598" s="25" t="s">
        <v>309</v>
      </c>
      <c r="J598" s="22"/>
      <c r="K598" s="25"/>
      <c r="L598" s="25"/>
      <c r="M598" s="22"/>
    </row>
    <row r="599" spans="1:13">
      <c r="A599" s="14">
        <v>1588</v>
      </c>
      <c r="B599" s="67">
        <v>45008</v>
      </c>
      <c r="C599" s="15">
        <f t="shared" si="22"/>
        <v>45008</v>
      </c>
      <c r="D599" s="22"/>
      <c r="E599" s="72"/>
      <c r="F599" s="102">
        <v>50917</v>
      </c>
      <c r="G599" s="90"/>
      <c r="H599" s="26">
        <f t="shared" si="21"/>
        <v>-1317925.1499999999</v>
      </c>
      <c r="I599" s="25" t="s">
        <v>309</v>
      </c>
      <c r="J599" s="22"/>
      <c r="K599" s="25"/>
      <c r="L599" s="25"/>
      <c r="M599" s="22"/>
    </row>
    <row r="600" spans="1:13">
      <c r="A600" s="14">
        <v>1589</v>
      </c>
      <c r="B600" s="67">
        <v>45008</v>
      </c>
      <c r="C600" s="15">
        <f t="shared" si="22"/>
        <v>45008</v>
      </c>
      <c r="D600" s="22"/>
      <c r="E600" s="72"/>
      <c r="F600" s="102">
        <v>19262</v>
      </c>
      <c r="G600" s="90"/>
      <c r="H600" s="26">
        <f t="shared" si="21"/>
        <v>-1337187.1499999999</v>
      </c>
      <c r="I600" s="25" t="s">
        <v>309</v>
      </c>
      <c r="J600" s="22"/>
      <c r="K600" s="25"/>
      <c r="L600" s="25"/>
      <c r="M600" s="22"/>
    </row>
    <row r="601" spans="1:13">
      <c r="A601" s="14">
        <v>1590</v>
      </c>
      <c r="B601" s="67">
        <v>45009</v>
      </c>
      <c r="C601" s="15">
        <f t="shared" si="22"/>
        <v>45009</v>
      </c>
      <c r="D601" s="22"/>
      <c r="E601" s="72"/>
      <c r="F601" s="102">
        <v>15000</v>
      </c>
      <c r="G601" s="90"/>
      <c r="H601" s="26">
        <f t="shared" si="21"/>
        <v>-1352187.15</v>
      </c>
      <c r="I601" s="25" t="s">
        <v>306</v>
      </c>
      <c r="J601" s="22"/>
      <c r="K601" s="25"/>
      <c r="L601" s="25"/>
      <c r="M601" s="22"/>
    </row>
    <row r="602" spans="1:13">
      <c r="A602" s="14">
        <v>1591</v>
      </c>
      <c r="B602" s="67">
        <v>45012</v>
      </c>
      <c r="C602" s="15">
        <f t="shared" si="22"/>
        <v>45012</v>
      </c>
      <c r="D602" s="22"/>
      <c r="E602" s="72"/>
      <c r="F602" s="102">
        <v>15000</v>
      </c>
      <c r="G602" s="90"/>
      <c r="H602" s="26">
        <f t="shared" si="21"/>
        <v>-1367187.15</v>
      </c>
      <c r="I602" s="25" t="s">
        <v>306</v>
      </c>
      <c r="J602" s="22"/>
      <c r="K602" s="25"/>
      <c r="L602" s="25"/>
      <c r="M602" s="22"/>
    </row>
    <row r="603" spans="1:13">
      <c r="A603" s="14">
        <v>1592</v>
      </c>
      <c r="B603" s="67">
        <v>45014</v>
      </c>
      <c r="C603" s="15">
        <f t="shared" si="22"/>
        <v>45014</v>
      </c>
      <c r="D603" s="22"/>
      <c r="E603" s="71"/>
      <c r="F603" s="102">
        <v>6400</v>
      </c>
      <c r="G603" s="90"/>
      <c r="H603" s="26">
        <f t="shared" si="21"/>
        <v>-1373587.15</v>
      </c>
      <c r="I603" s="25" t="s">
        <v>309</v>
      </c>
      <c r="J603" s="22"/>
      <c r="K603" s="25"/>
      <c r="L603" s="25"/>
      <c r="M603" s="22"/>
    </row>
    <row r="604" spans="1:13">
      <c r="A604" s="14">
        <v>1593</v>
      </c>
      <c r="B604" s="67">
        <v>45014</v>
      </c>
      <c r="C604" s="15">
        <f t="shared" si="22"/>
        <v>45014</v>
      </c>
      <c r="D604" s="22"/>
      <c r="E604" s="72"/>
      <c r="F604" s="102">
        <v>400</v>
      </c>
      <c r="G604" s="90"/>
      <c r="H604" s="26">
        <f t="shared" si="21"/>
        <v>-1373987.15</v>
      </c>
      <c r="I604" s="25" t="s">
        <v>309</v>
      </c>
      <c r="J604" s="22"/>
      <c r="K604" s="25"/>
      <c r="L604" s="25"/>
      <c r="M604" s="22"/>
    </row>
    <row r="605" spans="1:13">
      <c r="A605" s="14">
        <v>1594</v>
      </c>
      <c r="B605" s="67">
        <v>45014</v>
      </c>
      <c r="C605" s="15">
        <f t="shared" si="22"/>
        <v>45014</v>
      </c>
      <c r="D605" s="22"/>
      <c r="E605" s="72"/>
      <c r="F605" s="102">
        <v>10000</v>
      </c>
      <c r="G605" s="90"/>
      <c r="H605" s="26">
        <f t="shared" si="21"/>
        <v>-1383987.15</v>
      </c>
      <c r="I605" s="25" t="s">
        <v>288</v>
      </c>
      <c r="J605" s="22"/>
      <c r="K605" s="25"/>
      <c r="L605" s="25"/>
      <c r="M605" s="22"/>
    </row>
    <row r="606" spans="1:13">
      <c r="A606" s="14">
        <v>1595</v>
      </c>
      <c r="B606" s="67">
        <v>45014</v>
      </c>
      <c r="C606" s="15">
        <f t="shared" si="22"/>
        <v>45014</v>
      </c>
      <c r="D606" s="22"/>
      <c r="E606" s="72"/>
      <c r="F606" s="102">
        <v>10000</v>
      </c>
      <c r="G606" s="90"/>
      <c r="H606" s="26">
        <f t="shared" si="21"/>
        <v>-1393987.15</v>
      </c>
      <c r="I606" s="25" t="s">
        <v>288</v>
      </c>
      <c r="J606" s="22"/>
      <c r="K606" s="25"/>
      <c r="L606" s="25"/>
      <c r="M606" s="22"/>
    </row>
    <row r="607" spans="1:13">
      <c r="A607" s="14">
        <v>1596</v>
      </c>
      <c r="B607" s="67">
        <v>45014</v>
      </c>
      <c r="C607" s="15">
        <f t="shared" si="22"/>
        <v>45014</v>
      </c>
      <c r="D607" s="22"/>
      <c r="E607" s="101"/>
      <c r="F607" s="102">
        <v>15000</v>
      </c>
      <c r="G607" s="90"/>
      <c r="H607" s="26">
        <f t="shared" si="21"/>
        <v>-1408987.15</v>
      </c>
      <c r="I607" s="25" t="s">
        <v>306</v>
      </c>
      <c r="J607" s="22"/>
      <c r="K607" s="25"/>
      <c r="L607" s="25"/>
      <c r="M607" s="22"/>
    </row>
    <row r="608" spans="1:13">
      <c r="A608" s="14">
        <v>1597</v>
      </c>
      <c r="B608" s="67">
        <v>45015</v>
      </c>
      <c r="C608" s="15">
        <f t="shared" si="22"/>
        <v>45015</v>
      </c>
      <c r="D608" s="22"/>
      <c r="E608" s="72"/>
      <c r="F608" s="102">
        <v>174410</v>
      </c>
      <c r="G608" s="90"/>
      <c r="H608" s="26">
        <f t="shared" si="21"/>
        <v>-1583397.15</v>
      </c>
      <c r="I608" s="25" t="s">
        <v>309</v>
      </c>
      <c r="J608" s="22"/>
      <c r="K608" s="25"/>
      <c r="L608" s="25"/>
      <c r="M608" s="22"/>
    </row>
    <row r="609" spans="1:13">
      <c r="A609" s="14">
        <v>1598</v>
      </c>
      <c r="B609" s="67">
        <v>45015</v>
      </c>
      <c r="C609" s="15">
        <f t="shared" si="22"/>
        <v>45015</v>
      </c>
      <c r="D609" s="22"/>
      <c r="E609" s="71"/>
      <c r="F609" s="102">
        <v>20</v>
      </c>
      <c r="G609" s="90"/>
      <c r="H609" s="26">
        <f t="shared" si="21"/>
        <v>-1583417.15</v>
      </c>
      <c r="I609" s="25" t="s">
        <v>264</v>
      </c>
      <c r="J609" s="22"/>
      <c r="K609" s="25"/>
      <c r="L609" s="25"/>
      <c r="M609" s="22"/>
    </row>
    <row r="610" spans="1:13">
      <c r="A610" s="14">
        <v>1599</v>
      </c>
      <c r="B610" s="67">
        <v>45015</v>
      </c>
      <c r="C610" s="15">
        <f t="shared" si="22"/>
        <v>45015</v>
      </c>
      <c r="D610" s="22"/>
      <c r="E610" s="71"/>
      <c r="F610" s="102">
        <v>1.5</v>
      </c>
      <c r="G610" s="90"/>
      <c r="H610" s="26">
        <f t="shared" si="21"/>
        <v>-1583418.65</v>
      </c>
      <c r="I610" s="25" t="s">
        <v>264</v>
      </c>
      <c r="J610" s="22"/>
      <c r="K610" s="25"/>
      <c r="L610" s="25"/>
      <c r="M610" s="22"/>
    </row>
    <row r="611" spans="1:13">
      <c r="A611" s="14">
        <v>1600</v>
      </c>
      <c r="B611" s="67">
        <v>45015</v>
      </c>
      <c r="C611" s="15">
        <f t="shared" si="22"/>
        <v>45015</v>
      </c>
      <c r="D611" s="22"/>
      <c r="E611" s="72"/>
      <c r="F611" s="102">
        <v>14000</v>
      </c>
      <c r="G611" s="90"/>
      <c r="H611" s="26">
        <f t="shared" si="21"/>
        <v>-1597418.65</v>
      </c>
      <c r="I611" s="25" t="s">
        <v>288</v>
      </c>
      <c r="J611" s="22"/>
      <c r="K611" s="25"/>
      <c r="L611" s="25"/>
      <c r="M611" s="22"/>
    </row>
    <row r="612" spans="1:13">
      <c r="A612" s="14">
        <v>1601</v>
      </c>
      <c r="B612" s="67">
        <v>45015</v>
      </c>
      <c r="C612" s="15">
        <f t="shared" si="22"/>
        <v>45015</v>
      </c>
      <c r="D612" s="22"/>
      <c r="E612" s="71"/>
      <c r="F612" s="102">
        <v>67500</v>
      </c>
      <c r="G612" s="90"/>
      <c r="H612" s="26">
        <f t="shared" si="21"/>
        <v>-1664918.65</v>
      </c>
      <c r="I612" s="25" t="s">
        <v>275</v>
      </c>
      <c r="J612" s="22"/>
      <c r="K612" s="25"/>
      <c r="L612" s="25"/>
      <c r="M612" s="22"/>
    </row>
    <row r="613" spans="1:13">
      <c r="A613" s="14">
        <v>1602</v>
      </c>
      <c r="B613" s="67">
        <v>45015</v>
      </c>
      <c r="C613" s="15">
        <f t="shared" si="22"/>
        <v>45015</v>
      </c>
      <c r="D613" s="22"/>
      <c r="E613" s="71"/>
      <c r="F613" s="102">
        <v>5410</v>
      </c>
      <c r="G613" s="90"/>
      <c r="H613" s="26">
        <f t="shared" si="21"/>
        <v>-1670328.65</v>
      </c>
      <c r="I613" s="25" t="s">
        <v>309</v>
      </c>
      <c r="J613" s="22"/>
      <c r="K613" s="25"/>
      <c r="L613" s="25"/>
      <c r="M613" s="22"/>
    </row>
    <row r="614" spans="1:13">
      <c r="A614" s="14">
        <v>1603</v>
      </c>
      <c r="B614" s="67">
        <v>45017</v>
      </c>
      <c r="C614" s="15">
        <f t="shared" si="22"/>
        <v>45017</v>
      </c>
      <c r="D614" s="22"/>
      <c r="E614" s="72"/>
      <c r="F614" s="102"/>
      <c r="G614" s="90">
        <v>5000</v>
      </c>
      <c r="H614" s="26">
        <f t="shared" si="21"/>
        <v>-1665328.65</v>
      </c>
      <c r="I614" s="25" t="s">
        <v>294</v>
      </c>
      <c r="J614" s="22"/>
      <c r="K614" s="25"/>
      <c r="L614" s="25"/>
      <c r="M614" s="22"/>
    </row>
    <row r="615" spans="1:13">
      <c r="A615" s="14">
        <v>1604</v>
      </c>
      <c r="B615" s="67">
        <v>45019</v>
      </c>
      <c r="C615" s="15">
        <f t="shared" si="22"/>
        <v>45019</v>
      </c>
      <c r="D615" s="22"/>
      <c r="E615" s="72"/>
      <c r="F615" s="102">
        <v>15000</v>
      </c>
      <c r="G615" s="90"/>
      <c r="H615" s="26">
        <f t="shared" si="21"/>
        <v>-1680328.65</v>
      </c>
      <c r="I615" s="25" t="s">
        <v>306</v>
      </c>
      <c r="J615" s="22"/>
      <c r="K615" s="25"/>
      <c r="L615" s="25"/>
      <c r="M615" s="22"/>
    </row>
    <row r="616" spans="1:13">
      <c r="A616" s="14">
        <v>1605</v>
      </c>
      <c r="B616" s="67">
        <v>45019</v>
      </c>
      <c r="C616" s="15">
        <f t="shared" si="22"/>
        <v>45019</v>
      </c>
      <c r="D616" s="22"/>
      <c r="E616" s="71"/>
      <c r="F616" s="102">
        <v>6400</v>
      </c>
      <c r="G616" s="90"/>
      <c r="H616" s="26">
        <f t="shared" si="21"/>
        <v>-1686728.65</v>
      </c>
      <c r="I616" s="25" t="s">
        <v>309</v>
      </c>
      <c r="J616" s="22"/>
      <c r="K616" s="25"/>
      <c r="L616" s="25"/>
      <c r="M616" s="22"/>
    </row>
    <row r="617" spans="1:13">
      <c r="A617" s="14">
        <v>1606</v>
      </c>
      <c r="B617" s="67">
        <v>45019</v>
      </c>
      <c r="C617" s="15">
        <f t="shared" si="22"/>
        <v>45019</v>
      </c>
      <c r="D617" s="22"/>
      <c r="E617" s="72"/>
      <c r="F617" s="102"/>
      <c r="G617" s="90">
        <v>96850</v>
      </c>
      <c r="H617" s="26">
        <f t="shared" si="21"/>
        <v>-1589878.65</v>
      </c>
      <c r="I617" s="25" t="s">
        <v>275</v>
      </c>
      <c r="J617" s="22"/>
      <c r="K617" s="25"/>
      <c r="L617" s="25"/>
      <c r="M617" s="22"/>
    </row>
    <row r="618" spans="1:13">
      <c r="A618" s="14">
        <v>1607</v>
      </c>
      <c r="B618" s="67">
        <v>45019</v>
      </c>
      <c r="C618" s="15">
        <f t="shared" si="22"/>
        <v>45019</v>
      </c>
      <c r="D618" s="22"/>
      <c r="E618" s="101"/>
      <c r="F618" s="102"/>
      <c r="G618" s="90">
        <v>23000</v>
      </c>
      <c r="H618" s="26">
        <f t="shared" si="21"/>
        <v>-1566878.65</v>
      </c>
      <c r="I618" s="25" t="s">
        <v>292</v>
      </c>
      <c r="J618" s="22"/>
      <c r="K618" s="25"/>
      <c r="L618" s="25"/>
      <c r="M618" s="22"/>
    </row>
    <row r="619" spans="1:13">
      <c r="A619" s="14">
        <v>1608</v>
      </c>
      <c r="B619" s="67">
        <v>45019</v>
      </c>
      <c r="C619" s="15">
        <f t="shared" si="22"/>
        <v>45019</v>
      </c>
      <c r="D619" s="22"/>
      <c r="E619" s="72"/>
      <c r="F619" s="102"/>
      <c r="G619" s="90">
        <v>65980</v>
      </c>
      <c r="H619" s="26">
        <f t="shared" si="21"/>
        <v>-1500898.65</v>
      </c>
      <c r="I619" s="25" t="s">
        <v>287</v>
      </c>
      <c r="J619" s="22"/>
      <c r="K619" s="25"/>
      <c r="L619" s="25"/>
      <c r="M619" s="22"/>
    </row>
    <row r="620" spans="1:13">
      <c r="A620" s="14">
        <v>1609</v>
      </c>
      <c r="B620" s="67">
        <v>45019</v>
      </c>
      <c r="C620" s="15">
        <f t="shared" si="22"/>
        <v>45019</v>
      </c>
      <c r="D620" s="22"/>
      <c r="E620" s="72"/>
      <c r="F620" s="102">
        <v>20000</v>
      </c>
      <c r="G620" s="90"/>
      <c r="H620" s="26">
        <f t="shared" ref="H620:H683" si="23">IFERROR(H619-F620+G620,"")</f>
        <v>-1520898.65</v>
      </c>
      <c r="I620" s="25" t="s">
        <v>288</v>
      </c>
      <c r="J620" s="22"/>
      <c r="K620" s="25"/>
      <c r="L620" s="25"/>
      <c r="M620" s="22"/>
    </row>
    <row r="621" spans="1:13">
      <c r="A621" s="14">
        <v>1610</v>
      </c>
      <c r="B621" s="67">
        <v>45020</v>
      </c>
      <c r="C621" s="15">
        <f t="shared" si="22"/>
        <v>45020</v>
      </c>
      <c r="D621" s="22"/>
      <c r="E621" s="71"/>
      <c r="F621" s="102">
        <v>68730</v>
      </c>
      <c r="G621" s="90"/>
      <c r="H621" s="26">
        <f t="shared" si="23"/>
        <v>-1589628.65</v>
      </c>
      <c r="I621" s="25" t="s">
        <v>309</v>
      </c>
      <c r="J621" s="22"/>
      <c r="K621" s="25"/>
      <c r="L621" s="25"/>
      <c r="M621" s="22"/>
    </row>
    <row r="622" spans="1:13">
      <c r="A622" s="14">
        <v>1611</v>
      </c>
      <c r="B622" s="67">
        <v>45020</v>
      </c>
      <c r="C622" s="15">
        <f t="shared" si="22"/>
        <v>45020</v>
      </c>
      <c r="D622" s="22"/>
      <c r="E622" s="71"/>
      <c r="F622" s="102"/>
      <c r="G622" s="90">
        <v>9840</v>
      </c>
      <c r="H622" s="26">
        <f t="shared" si="23"/>
        <v>-1579788.65</v>
      </c>
      <c r="I622" s="25" t="s">
        <v>307</v>
      </c>
      <c r="J622" s="22"/>
      <c r="K622" s="25"/>
      <c r="L622" s="25"/>
      <c r="M622" s="22"/>
    </row>
    <row r="623" spans="1:13">
      <c r="A623" s="14">
        <v>1612</v>
      </c>
      <c r="B623" s="67">
        <v>45020</v>
      </c>
      <c r="C623" s="15">
        <f t="shared" si="22"/>
        <v>45020</v>
      </c>
      <c r="D623" s="22"/>
      <c r="E623" s="71"/>
      <c r="F623" s="102"/>
      <c r="G623" s="90">
        <v>9840</v>
      </c>
      <c r="H623" s="26">
        <f t="shared" si="23"/>
        <v>-1569948.65</v>
      </c>
      <c r="I623" s="25" t="s">
        <v>307</v>
      </c>
      <c r="J623" s="22"/>
      <c r="K623" s="25"/>
      <c r="L623" s="25"/>
      <c r="M623" s="22"/>
    </row>
    <row r="624" spans="1:13">
      <c r="A624" s="14">
        <v>1613</v>
      </c>
      <c r="B624" s="67">
        <v>45021</v>
      </c>
      <c r="C624" s="15">
        <f t="shared" si="22"/>
        <v>45021</v>
      </c>
      <c r="D624" s="22"/>
      <c r="E624" s="72"/>
      <c r="F624" s="102">
        <v>15000</v>
      </c>
      <c r="G624" s="90"/>
      <c r="H624" s="26">
        <f t="shared" si="23"/>
        <v>-1584948.65</v>
      </c>
      <c r="I624" s="25" t="s">
        <v>306</v>
      </c>
      <c r="J624" s="22"/>
      <c r="K624" s="25"/>
      <c r="L624" s="25"/>
      <c r="M624" s="22"/>
    </row>
    <row r="625" spans="1:13">
      <c r="A625" s="14">
        <v>1614</v>
      </c>
      <c r="B625" s="67">
        <v>45021</v>
      </c>
      <c r="C625" s="15">
        <f t="shared" si="22"/>
        <v>45021</v>
      </c>
      <c r="D625" s="22"/>
      <c r="E625" s="71"/>
      <c r="F625" s="102">
        <v>4800</v>
      </c>
      <c r="G625" s="90"/>
      <c r="H625" s="26">
        <f t="shared" si="23"/>
        <v>-1589748.65</v>
      </c>
      <c r="I625" s="25" t="s">
        <v>309</v>
      </c>
      <c r="J625" s="22"/>
      <c r="K625" s="25"/>
      <c r="L625" s="25"/>
      <c r="M625" s="22"/>
    </row>
    <row r="626" spans="1:13">
      <c r="A626" s="14">
        <v>1615</v>
      </c>
      <c r="B626" s="67">
        <v>45021</v>
      </c>
      <c r="C626" s="15">
        <f t="shared" si="22"/>
        <v>45021</v>
      </c>
      <c r="D626" s="22"/>
      <c r="E626" s="72"/>
      <c r="F626" s="102">
        <v>16500</v>
      </c>
      <c r="G626" s="90"/>
      <c r="H626" s="26">
        <f t="shared" si="23"/>
        <v>-1606248.65</v>
      </c>
      <c r="I626" s="25" t="s">
        <v>309</v>
      </c>
      <c r="J626" s="22"/>
      <c r="K626" s="25"/>
      <c r="L626" s="25"/>
      <c r="M626" s="22"/>
    </row>
    <row r="627" spans="1:13">
      <c r="A627" s="14">
        <v>1616</v>
      </c>
      <c r="B627" s="67">
        <v>45021</v>
      </c>
      <c r="C627" s="15">
        <f t="shared" si="22"/>
        <v>45021</v>
      </c>
      <c r="D627" s="22"/>
      <c r="E627" s="72"/>
      <c r="F627" s="102">
        <v>23000</v>
      </c>
      <c r="G627" s="90"/>
      <c r="H627" s="26">
        <f t="shared" si="23"/>
        <v>-1629248.65</v>
      </c>
      <c r="I627" s="25" t="s">
        <v>309</v>
      </c>
      <c r="J627" s="22"/>
      <c r="K627" s="25"/>
      <c r="L627" s="25"/>
      <c r="M627" s="22"/>
    </row>
    <row r="628" spans="1:13">
      <c r="A628" s="14">
        <v>1617</v>
      </c>
      <c r="B628" s="67">
        <v>45021</v>
      </c>
      <c r="C628" s="15">
        <f t="shared" si="22"/>
        <v>45021</v>
      </c>
      <c r="D628" s="22"/>
      <c r="E628" s="71"/>
      <c r="F628" s="102">
        <v>20</v>
      </c>
      <c r="G628" s="90"/>
      <c r="H628" s="26">
        <f t="shared" si="23"/>
        <v>-1629268.65</v>
      </c>
      <c r="I628" s="25" t="s">
        <v>264</v>
      </c>
      <c r="J628" s="22"/>
      <c r="K628" s="25"/>
      <c r="L628" s="25"/>
      <c r="M628" s="22"/>
    </row>
    <row r="629" spans="1:13">
      <c r="A629" s="14">
        <v>1618</v>
      </c>
      <c r="B629" s="67">
        <v>45021</v>
      </c>
      <c r="C629" s="15">
        <f t="shared" si="22"/>
        <v>45021</v>
      </c>
      <c r="D629" s="22"/>
      <c r="E629" s="71"/>
      <c r="F629" s="102">
        <v>1.5</v>
      </c>
      <c r="G629" s="90"/>
      <c r="H629" s="26">
        <f t="shared" si="23"/>
        <v>-1629270.15</v>
      </c>
      <c r="I629" s="25" t="s">
        <v>264</v>
      </c>
      <c r="J629" s="22"/>
      <c r="K629" s="25"/>
      <c r="L629" s="25"/>
      <c r="M629" s="22"/>
    </row>
    <row r="630" spans="1:13">
      <c r="A630" s="14">
        <v>1619</v>
      </c>
      <c r="B630" s="67">
        <v>45021</v>
      </c>
      <c r="C630" s="15">
        <f t="shared" si="22"/>
        <v>45021</v>
      </c>
      <c r="D630" s="22"/>
      <c r="E630" s="101"/>
      <c r="F630" s="102">
        <v>20000</v>
      </c>
      <c r="G630" s="90"/>
      <c r="H630" s="26">
        <f t="shared" si="23"/>
        <v>-1649270.15</v>
      </c>
      <c r="I630" s="25" t="s">
        <v>288</v>
      </c>
      <c r="J630" s="22"/>
      <c r="K630" s="25"/>
      <c r="L630" s="25"/>
      <c r="M630" s="22"/>
    </row>
    <row r="631" spans="1:13">
      <c r="A631" s="14">
        <v>1620</v>
      </c>
      <c r="B631" s="67">
        <v>45027</v>
      </c>
      <c r="C631" s="15">
        <f t="shared" ref="C631:C694" si="24">B631</f>
        <v>45027</v>
      </c>
      <c r="D631" s="22"/>
      <c r="E631" s="71"/>
      <c r="F631" s="102">
        <v>6400</v>
      </c>
      <c r="G631" s="90"/>
      <c r="H631" s="26">
        <f t="shared" si="23"/>
        <v>-1655670.15</v>
      </c>
      <c r="I631" s="25" t="s">
        <v>309</v>
      </c>
      <c r="J631" s="22"/>
      <c r="K631" s="25"/>
      <c r="L631" s="25"/>
      <c r="M631" s="22"/>
    </row>
    <row r="632" spans="1:13">
      <c r="A632" s="14">
        <v>1621</v>
      </c>
      <c r="B632" s="67">
        <v>45027</v>
      </c>
      <c r="C632" s="15">
        <f t="shared" si="24"/>
        <v>45027</v>
      </c>
      <c r="D632" s="22"/>
      <c r="E632" s="72"/>
      <c r="F632" s="102">
        <v>15000</v>
      </c>
      <c r="G632" s="90"/>
      <c r="H632" s="26">
        <f t="shared" si="23"/>
        <v>-1670670.15</v>
      </c>
      <c r="I632" s="25" t="s">
        <v>306</v>
      </c>
      <c r="J632" s="22"/>
      <c r="K632" s="25"/>
      <c r="L632" s="25"/>
      <c r="M632" s="22"/>
    </row>
    <row r="633" spans="1:13">
      <c r="A633" s="14">
        <v>1622</v>
      </c>
      <c r="B633" s="67">
        <v>45027</v>
      </c>
      <c r="C633" s="15">
        <f t="shared" si="24"/>
        <v>45027</v>
      </c>
      <c r="D633" s="22"/>
      <c r="E633" s="72"/>
      <c r="F633" s="102">
        <v>20000</v>
      </c>
      <c r="G633" s="90"/>
      <c r="H633" s="26">
        <f t="shared" si="23"/>
        <v>-1690670.15</v>
      </c>
      <c r="I633" s="25" t="s">
        <v>288</v>
      </c>
      <c r="J633" s="22"/>
      <c r="K633" s="25"/>
      <c r="L633" s="25"/>
      <c r="M633" s="22"/>
    </row>
    <row r="634" spans="1:13">
      <c r="A634" s="14">
        <v>1623</v>
      </c>
      <c r="B634" s="67">
        <v>45028</v>
      </c>
      <c r="C634" s="15">
        <f t="shared" si="24"/>
        <v>45028</v>
      </c>
      <c r="D634" s="22"/>
      <c r="E634" s="72"/>
      <c r="F634" s="102">
        <v>20000</v>
      </c>
      <c r="G634" s="90"/>
      <c r="H634" s="26">
        <f t="shared" si="23"/>
        <v>-1710670.15</v>
      </c>
      <c r="I634" s="25" t="s">
        <v>288</v>
      </c>
      <c r="J634" s="22"/>
      <c r="K634" s="25"/>
      <c r="L634" s="25"/>
      <c r="M634" s="22"/>
    </row>
    <row r="635" spans="1:13">
      <c r="A635" s="14">
        <v>1624</v>
      </c>
      <c r="B635" s="67">
        <v>45028</v>
      </c>
      <c r="C635" s="15">
        <f t="shared" si="24"/>
        <v>45028</v>
      </c>
      <c r="D635" s="22"/>
      <c r="E635" s="72"/>
      <c r="F635" s="102">
        <v>20000</v>
      </c>
      <c r="G635" s="90"/>
      <c r="H635" s="26">
        <f t="shared" si="23"/>
        <v>-1730670.15</v>
      </c>
      <c r="I635" s="25" t="s">
        <v>288</v>
      </c>
      <c r="J635" s="22"/>
      <c r="K635" s="25"/>
      <c r="L635" s="25"/>
      <c r="M635" s="22"/>
    </row>
    <row r="636" spans="1:13">
      <c r="A636" s="14">
        <v>1625</v>
      </c>
      <c r="B636" s="67">
        <v>45028</v>
      </c>
      <c r="C636" s="15">
        <f t="shared" si="24"/>
        <v>45028</v>
      </c>
      <c r="D636" s="22"/>
      <c r="E636" s="72"/>
      <c r="F636" s="102"/>
      <c r="G636" s="90">
        <v>20000</v>
      </c>
      <c r="H636" s="26">
        <f t="shared" si="23"/>
        <v>-1710670.15</v>
      </c>
      <c r="I636" s="25" t="s">
        <v>307</v>
      </c>
      <c r="J636" s="22"/>
      <c r="K636" s="25"/>
      <c r="L636" s="25"/>
      <c r="M636" s="22"/>
    </row>
    <row r="637" spans="1:13">
      <c r="A637" s="14">
        <v>1626</v>
      </c>
      <c r="B637" s="67">
        <v>45028</v>
      </c>
      <c r="C637" s="15">
        <f t="shared" si="24"/>
        <v>45028</v>
      </c>
      <c r="D637" s="22"/>
      <c r="E637" s="71"/>
      <c r="F637" s="102">
        <v>51290</v>
      </c>
      <c r="G637" s="90"/>
      <c r="H637" s="26">
        <f t="shared" si="23"/>
        <v>-1761960.15</v>
      </c>
      <c r="I637" s="25" t="s">
        <v>309</v>
      </c>
      <c r="J637" s="22"/>
      <c r="K637" s="25"/>
      <c r="L637" s="25"/>
      <c r="M637" s="22"/>
    </row>
    <row r="638" spans="1:13">
      <c r="A638" s="14">
        <v>1627</v>
      </c>
      <c r="B638" s="67">
        <v>45028</v>
      </c>
      <c r="C638" s="15">
        <f t="shared" si="24"/>
        <v>45028</v>
      </c>
      <c r="D638" s="22"/>
      <c r="E638" s="71"/>
      <c r="F638" s="102">
        <v>17200</v>
      </c>
      <c r="G638" s="90"/>
      <c r="H638" s="26">
        <f t="shared" si="23"/>
        <v>-1779160.15</v>
      </c>
      <c r="I638" s="25" t="s">
        <v>309</v>
      </c>
      <c r="J638" s="22"/>
      <c r="K638" s="25"/>
      <c r="L638" s="25"/>
      <c r="M638" s="22"/>
    </row>
    <row r="639" spans="1:13">
      <c r="A639" s="14">
        <v>1628</v>
      </c>
      <c r="B639" s="67">
        <v>45029</v>
      </c>
      <c r="C639" s="15">
        <f t="shared" si="24"/>
        <v>45029</v>
      </c>
      <c r="D639" s="22"/>
      <c r="E639" s="71"/>
      <c r="F639" s="102">
        <v>6400</v>
      </c>
      <c r="G639" s="90"/>
      <c r="H639" s="26">
        <f t="shared" si="23"/>
        <v>-1785560.15</v>
      </c>
      <c r="I639" s="25" t="s">
        <v>309</v>
      </c>
      <c r="J639" s="22"/>
      <c r="K639" s="25"/>
      <c r="L639" s="25"/>
      <c r="M639" s="22"/>
    </row>
    <row r="640" spans="1:13">
      <c r="A640" s="14">
        <v>1629</v>
      </c>
      <c r="B640" s="67">
        <v>45030</v>
      </c>
      <c r="C640" s="15">
        <f t="shared" si="24"/>
        <v>45030</v>
      </c>
      <c r="D640" s="22"/>
      <c r="E640" s="72"/>
      <c r="F640" s="102"/>
      <c r="G640" s="90">
        <v>52500</v>
      </c>
      <c r="H640" s="26">
        <f t="shared" si="23"/>
        <v>-1733060.15</v>
      </c>
      <c r="I640" s="25" t="s">
        <v>292</v>
      </c>
      <c r="J640" s="22"/>
      <c r="K640" s="25"/>
      <c r="L640" s="25"/>
      <c r="M640" s="22"/>
    </row>
    <row r="641" spans="1:13">
      <c r="A641" s="14">
        <v>1630</v>
      </c>
      <c r="B641" s="67">
        <v>45030</v>
      </c>
      <c r="C641" s="15">
        <f t="shared" si="24"/>
        <v>45030</v>
      </c>
      <c r="D641" s="22"/>
      <c r="E641" s="72"/>
      <c r="F641" s="102"/>
      <c r="G641" s="90">
        <v>97500</v>
      </c>
      <c r="H641" s="26">
        <f t="shared" si="23"/>
        <v>-1635560.15</v>
      </c>
      <c r="I641" s="25" t="s">
        <v>292</v>
      </c>
      <c r="J641" s="22"/>
      <c r="K641" s="25"/>
      <c r="L641" s="25"/>
      <c r="M641" s="22"/>
    </row>
    <row r="642" spans="1:13">
      <c r="A642" s="14">
        <v>1631</v>
      </c>
      <c r="B642" s="67">
        <v>45031</v>
      </c>
      <c r="C642" s="15">
        <f t="shared" si="24"/>
        <v>45031</v>
      </c>
      <c r="D642" s="22"/>
      <c r="E642" s="101"/>
      <c r="F642" s="102">
        <v>15000</v>
      </c>
      <c r="G642" s="90"/>
      <c r="H642" s="26">
        <f t="shared" si="23"/>
        <v>-1650560.15</v>
      </c>
      <c r="I642" s="25" t="s">
        <v>306</v>
      </c>
      <c r="J642" s="22"/>
      <c r="K642" s="25"/>
      <c r="L642" s="25"/>
      <c r="M642" s="22"/>
    </row>
    <row r="643" spans="1:13">
      <c r="A643" s="14">
        <v>1632</v>
      </c>
      <c r="B643" s="67">
        <v>45033</v>
      </c>
      <c r="C643" s="15">
        <f t="shared" si="24"/>
        <v>45033</v>
      </c>
      <c r="D643" s="22"/>
      <c r="E643" s="72"/>
      <c r="F643" s="102">
        <v>20000</v>
      </c>
      <c r="G643" s="90"/>
      <c r="H643" s="26">
        <f t="shared" si="23"/>
        <v>-1670560.15</v>
      </c>
      <c r="I643" s="25" t="s">
        <v>288</v>
      </c>
      <c r="J643" s="22"/>
      <c r="K643" s="25"/>
      <c r="L643" s="25"/>
      <c r="M643" s="22"/>
    </row>
    <row r="644" spans="1:13">
      <c r="A644" s="14">
        <v>1633</v>
      </c>
      <c r="B644" s="67">
        <v>45034</v>
      </c>
      <c r="C644" s="15">
        <f t="shared" si="24"/>
        <v>45034</v>
      </c>
      <c r="D644" s="22"/>
      <c r="E644" s="72"/>
      <c r="F644" s="102"/>
      <c r="G644" s="90">
        <v>62000</v>
      </c>
      <c r="H644" s="26">
        <f t="shared" si="23"/>
        <v>-1608560.15</v>
      </c>
      <c r="I644" s="25" t="s">
        <v>292</v>
      </c>
      <c r="J644" s="22"/>
      <c r="K644" s="25"/>
      <c r="L644" s="25"/>
      <c r="M644" s="22"/>
    </row>
    <row r="645" spans="1:13">
      <c r="A645" s="14">
        <v>1634</v>
      </c>
      <c r="B645" s="67">
        <v>45034</v>
      </c>
      <c r="C645" s="15">
        <f t="shared" si="24"/>
        <v>45034</v>
      </c>
      <c r="D645" s="22"/>
      <c r="E645" s="72"/>
      <c r="F645" s="102">
        <v>6400</v>
      </c>
      <c r="G645" s="90"/>
      <c r="H645" s="26">
        <f t="shared" si="23"/>
        <v>-1614960.15</v>
      </c>
      <c r="I645" s="25" t="s">
        <v>309</v>
      </c>
      <c r="J645" s="22"/>
      <c r="K645" s="25"/>
      <c r="L645" s="25"/>
      <c r="M645" s="22"/>
    </row>
    <row r="646" spans="1:13">
      <c r="A646" s="14">
        <v>1635</v>
      </c>
      <c r="B646" s="67">
        <v>45034</v>
      </c>
      <c r="C646" s="15">
        <f t="shared" si="24"/>
        <v>45034</v>
      </c>
      <c r="D646" s="22"/>
      <c r="E646" s="72"/>
      <c r="F646" s="102">
        <v>45550</v>
      </c>
      <c r="G646" s="90"/>
      <c r="H646" s="26">
        <f t="shared" si="23"/>
        <v>-1660510.15</v>
      </c>
      <c r="I646" s="25" t="s">
        <v>309</v>
      </c>
      <c r="J646" s="22"/>
      <c r="K646" s="25"/>
      <c r="L646" s="25"/>
      <c r="M646" s="22"/>
    </row>
    <row r="647" spans="1:13">
      <c r="A647" s="14">
        <v>1636</v>
      </c>
      <c r="B647" s="67">
        <v>45034</v>
      </c>
      <c r="C647" s="15">
        <f t="shared" si="24"/>
        <v>45034</v>
      </c>
      <c r="D647" s="22"/>
      <c r="E647" s="72"/>
      <c r="F647" s="102">
        <v>15500</v>
      </c>
      <c r="G647" s="90"/>
      <c r="H647" s="26">
        <f t="shared" si="23"/>
        <v>-1676010.15</v>
      </c>
      <c r="I647" s="25" t="s">
        <v>285</v>
      </c>
      <c r="J647" s="22"/>
      <c r="K647" s="25"/>
      <c r="L647" s="25"/>
      <c r="M647" s="22"/>
    </row>
    <row r="648" spans="1:13">
      <c r="A648" s="14">
        <v>1637</v>
      </c>
      <c r="B648" s="67">
        <v>45034</v>
      </c>
      <c r="C648" s="15">
        <f t="shared" si="24"/>
        <v>45034</v>
      </c>
      <c r="D648" s="22"/>
      <c r="E648" s="72"/>
      <c r="F648" s="102">
        <v>15000</v>
      </c>
      <c r="G648" s="90"/>
      <c r="H648" s="26">
        <f t="shared" si="23"/>
        <v>-1691010.15</v>
      </c>
      <c r="I648" s="25" t="s">
        <v>306</v>
      </c>
      <c r="J648" s="22"/>
      <c r="K648" s="25"/>
      <c r="L648" s="25"/>
      <c r="M648" s="22"/>
    </row>
    <row r="649" spans="1:13">
      <c r="A649" s="14">
        <v>1638</v>
      </c>
      <c r="B649" s="67">
        <v>45035</v>
      </c>
      <c r="C649" s="15">
        <f t="shared" si="24"/>
        <v>45035</v>
      </c>
      <c r="D649" s="22"/>
      <c r="E649" s="71"/>
      <c r="F649" s="102">
        <v>4700</v>
      </c>
      <c r="G649" s="90"/>
      <c r="H649" s="26">
        <f t="shared" si="23"/>
        <v>-1695710.15</v>
      </c>
      <c r="I649" s="25" t="s">
        <v>309</v>
      </c>
      <c r="J649" s="22"/>
      <c r="K649" s="25"/>
      <c r="L649" s="25"/>
      <c r="M649" s="22"/>
    </row>
    <row r="650" spans="1:13">
      <c r="A650" s="14">
        <v>1639</v>
      </c>
      <c r="B650" s="67">
        <v>45035</v>
      </c>
      <c r="C650" s="15">
        <f t="shared" si="24"/>
        <v>45035</v>
      </c>
      <c r="D650" s="22"/>
      <c r="E650" s="72"/>
      <c r="F650" s="102">
        <v>20000</v>
      </c>
      <c r="G650" s="90"/>
      <c r="H650" s="26">
        <f t="shared" si="23"/>
        <v>-1715710.15</v>
      </c>
      <c r="I650" s="25" t="s">
        <v>288</v>
      </c>
      <c r="J650" s="22"/>
      <c r="K650" s="25"/>
      <c r="L650" s="25"/>
      <c r="M650" s="22"/>
    </row>
    <row r="651" spans="1:13">
      <c r="A651" s="14">
        <v>1640</v>
      </c>
      <c r="B651" s="67">
        <v>45036</v>
      </c>
      <c r="C651" s="15">
        <f t="shared" si="24"/>
        <v>45036</v>
      </c>
      <c r="D651" s="22"/>
      <c r="E651" s="72"/>
      <c r="F651" s="102">
        <v>4800</v>
      </c>
      <c r="G651" s="90"/>
      <c r="H651" s="26">
        <f t="shared" si="23"/>
        <v>-1720510.15</v>
      </c>
      <c r="I651" s="25" t="s">
        <v>309</v>
      </c>
      <c r="J651" s="22"/>
      <c r="K651" s="25"/>
      <c r="L651" s="25"/>
      <c r="M651" s="22"/>
    </row>
    <row r="652" spans="1:13">
      <c r="A652" s="14">
        <v>1641</v>
      </c>
      <c r="B652" s="67">
        <v>45036</v>
      </c>
      <c r="C652" s="15">
        <f t="shared" si="24"/>
        <v>45036</v>
      </c>
      <c r="D652" s="22"/>
      <c r="E652" s="72"/>
      <c r="F652" s="102">
        <v>4800</v>
      </c>
      <c r="G652" s="90"/>
      <c r="H652" s="26">
        <f t="shared" si="23"/>
        <v>-1725310.15</v>
      </c>
      <c r="I652" s="25" t="s">
        <v>309</v>
      </c>
      <c r="J652" s="22"/>
      <c r="K652" s="25"/>
      <c r="L652" s="25"/>
      <c r="M652" s="22"/>
    </row>
    <row r="653" spans="1:13">
      <c r="A653" s="14">
        <v>1642</v>
      </c>
      <c r="B653" s="67">
        <v>45036</v>
      </c>
      <c r="C653" s="15">
        <f t="shared" si="24"/>
        <v>45036</v>
      </c>
      <c r="D653" s="22"/>
      <c r="E653" s="71"/>
      <c r="F653" s="102">
        <v>46200</v>
      </c>
      <c r="G653" s="90"/>
      <c r="H653" s="26">
        <f t="shared" si="23"/>
        <v>-1771510.15</v>
      </c>
      <c r="I653" s="25" t="s">
        <v>309</v>
      </c>
      <c r="J653" s="22"/>
      <c r="K653" s="25"/>
      <c r="L653" s="25"/>
      <c r="M653" s="22"/>
    </row>
    <row r="654" spans="1:13">
      <c r="A654" s="14">
        <v>1643</v>
      </c>
      <c r="B654" s="67">
        <v>45036</v>
      </c>
      <c r="C654" s="15">
        <f t="shared" si="24"/>
        <v>45036</v>
      </c>
      <c r="D654" s="22"/>
      <c r="E654" s="72"/>
      <c r="F654" s="102">
        <v>15000</v>
      </c>
      <c r="G654" s="90"/>
      <c r="H654" s="26">
        <f t="shared" si="23"/>
        <v>-1786510.15</v>
      </c>
      <c r="I654" s="25" t="s">
        <v>306</v>
      </c>
      <c r="J654" s="22"/>
      <c r="K654" s="25"/>
      <c r="L654" s="25"/>
      <c r="M654" s="22"/>
    </row>
    <row r="655" spans="1:13">
      <c r="A655" s="14">
        <v>1644</v>
      </c>
      <c r="B655" s="67">
        <v>45042</v>
      </c>
      <c r="C655" s="15">
        <f t="shared" si="24"/>
        <v>45042</v>
      </c>
      <c r="D655" s="22"/>
      <c r="E655" s="72"/>
      <c r="F655" s="102">
        <v>15000</v>
      </c>
      <c r="G655" s="90"/>
      <c r="H655" s="26">
        <f t="shared" si="23"/>
        <v>-1801510.15</v>
      </c>
      <c r="I655" s="25" t="s">
        <v>306</v>
      </c>
      <c r="J655" s="22"/>
      <c r="K655" s="25"/>
      <c r="L655" s="25"/>
      <c r="M655" s="22"/>
    </row>
    <row r="656" spans="1:13">
      <c r="A656" s="14">
        <v>1645</v>
      </c>
      <c r="B656" s="67">
        <v>45042</v>
      </c>
      <c r="C656" s="15">
        <f t="shared" si="24"/>
        <v>45042</v>
      </c>
      <c r="D656" s="22"/>
      <c r="E656" s="72"/>
      <c r="F656" s="102">
        <v>10000</v>
      </c>
      <c r="G656" s="90"/>
      <c r="H656" s="26">
        <f t="shared" si="23"/>
        <v>-1811510.15</v>
      </c>
      <c r="I656" s="25" t="s">
        <v>288</v>
      </c>
      <c r="J656" s="22"/>
      <c r="K656" s="25"/>
      <c r="L656" s="25"/>
      <c r="M656" s="22"/>
    </row>
    <row r="657" spans="1:13">
      <c r="A657" s="14">
        <v>1646</v>
      </c>
      <c r="B657" s="67">
        <v>45042</v>
      </c>
      <c r="C657" s="15">
        <f t="shared" si="24"/>
        <v>45042</v>
      </c>
      <c r="D657" s="22"/>
      <c r="E657" s="72"/>
      <c r="F657" s="102">
        <v>10000</v>
      </c>
      <c r="G657" s="90"/>
      <c r="H657" s="26">
        <f t="shared" si="23"/>
        <v>-1821510.15</v>
      </c>
      <c r="I657" s="25" t="s">
        <v>288</v>
      </c>
      <c r="J657" s="22"/>
      <c r="K657" s="25"/>
      <c r="L657" s="25"/>
      <c r="M657" s="22"/>
    </row>
    <row r="658" spans="1:13">
      <c r="A658" s="14">
        <v>1647</v>
      </c>
      <c r="B658" s="67">
        <v>45043</v>
      </c>
      <c r="C658" s="15">
        <f t="shared" si="24"/>
        <v>45043</v>
      </c>
      <c r="D658" s="22"/>
      <c r="E658" s="72"/>
      <c r="F658" s="102">
        <v>20000</v>
      </c>
      <c r="G658" s="90"/>
      <c r="H658" s="26">
        <f t="shared" si="23"/>
        <v>-1841510.15</v>
      </c>
      <c r="I658" s="25" t="s">
        <v>288</v>
      </c>
      <c r="J658" s="22"/>
      <c r="K658" s="25"/>
      <c r="L658" s="25"/>
      <c r="M658" s="22"/>
    </row>
    <row r="659" spans="1:13">
      <c r="A659" s="14">
        <v>1648</v>
      </c>
      <c r="B659" s="67">
        <v>45044</v>
      </c>
      <c r="C659" s="15">
        <f t="shared" si="24"/>
        <v>45044</v>
      </c>
      <c r="D659" s="22"/>
      <c r="E659" s="72"/>
      <c r="F659" s="102">
        <v>15000</v>
      </c>
      <c r="G659" s="90"/>
      <c r="H659" s="26">
        <f t="shared" si="23"/>
        <v>-1856510.15</v>
      </c>
      <c r="I659" s="25" t="s">
        <v>306</v>
      </c>
      <c r="J659" s="22"/>
      <c r="K659" s="25"/>
      <c r="L659" s="25"/>
      <c r="M659" s="22"/>
    </row>
    <row r="660" spans="1:13">
      <c r="A660" s="14">
        <v>1649</v>
      </c>
      <c r="B660" s="67">
        <v>45044</v>
      </c>
      <c r="C660" s="15">
        <f t="shared" si="24"/>
        <v>45044</v>
      </c>
      <c r="D660" s="22"/>
      <c r="E660" s="72"/>
      <c r="F660" s="102"/>
      <c r="G660" s="90">
        <v>30000</v>
      </c>
      <c r="H660" s="26">
        <f t="shared" si="23"/>
        <v>-1826510.15</v>
      </c>
      <c r="I660" s="25" t="s">
        <v>292</v>
      </c>
      <c r="J660" s="22"/>
      <c r="K660" s="25"/>
      <c r="L660" s="25"/>
      <c r="M660" s="22"/>
    </row>
    <row r="661" spans="1:13">
      <c r="A661" s="14">
        <v>1650</v>
      </c>
      <c r="B661" s="67">
        <v>45045</v>
      </c>
      <c r="C661" s="15">
        <f t="shared" si="24"/>
        <v>45045</v>
      </c>
      <c r="D661" s="22"/>
      <c r="E661" s="72"/>
      <c r="F661" s="102"/>
      <c r="G661" s="90">
        <v>200000</v>
      </c>
      <c r="H661" s="26">
        <f t="shared" si="23"/>
        <v>-1626510.15</v>
      </c>
      <c r="I661" s="25" t="s">
        <v>292</v>
      </c>
      <c r="J661" s="22"/>
      <c r="K661" s="25"/>
      <c r="L661" s="25"/>
      <c r="M661" s="22"/>
    </row>
    <row r="662" spans="1:13">
      <c r="A662" s="14">
        <v>1651</v>
      </c>
      <c r="B662" s="67">
        <v>45045</v>
      </c>
      <c r="C662" s="15">
        <f t="shared" si="24"/>
        <v>45045</v>
      </c>
      <c r="D662" s="22"/>
      <c r="E662" s="72"/>
      <c r="F662" s="102"/>
      <c r="G662" s="90">
        <v>100000</v>
      </c>
      <c r="H662" s="26">
        <f t="shared" si="23"/>
        <v>-1526510.15</v>
      </c>
      <c r="I662" s="25" t="s">
        <v>310</v>
      </c>
      <c r="J662" s="22"/>
      <c r="K662" s="25"/>
      <c r="L662" s="25"/>
      <c r="M662" s="22"/>
    </row>
    <row r="663" spans="1:13">
      <c r="A663" s="14">
        <v>1652</v>
      </c>
      <c r="B663" s="67">
        <v>45045</v>
      </c>
      <c r="C663" s="15">
        <f t="shared" si="24"/>
        <v>45045</v>
      </c>
      <c r="D663" s="22"/>
      <c r="E663" s="72"/>
      <c r="F663" s="102"/>
      <c r="G663" s="90">
        <v>145000</v>
      </c>
      <c r="H663" s="26">
        <f t="shared" si="23"/>
        <v>-1381510.15</v>
      </c>
      <c r="I663" s="25" t="s">
        <v>265</v>
      </c>
      <c r="J663" s="22"/>
      <c r="K663" s="25"/>
      <c r="L663" s="25"/>
      <c r="M663" s="22"/>
    </row>
    <row r="664" spans="1:13">
      <c r="A664" s="14">
        <v>1653</v>
      </c>
      <c r="B664" s="67">
        <v>45045</v>
      </c>
      <c r="C664" s="15">
        <f t="shared" si="24"/>
        <v>45045</v>
      </c>
      <c r="D664" s="22"/>
      <c r="E664" s="72"/>
      <c r="F664" s="102"/>
      <c r="G664" s="90">
        <v>21800</v>
      </c>
      <c r="H664" s="26">
        <f t="shared" si="23"/>
        <v>-1359710.15</v>
      </c>
      <c r="I664" s="25" t="s">
        <v>292</v>
      </c>
      <c r="J664" s="22"/>
      <c r="K664" s="25"/>
      <c r="L664" s="25"/>
      <c r="M664" s="22"/>
    </row>
    <row r="665" spans="1:13">
      <c r="A665" s="14">
        <v>1654</v>
      </c>
      <c r="B665" s="67">
        <v>45045</v>
      </c>
      <c r="C665" s="15">
        <f t="shared" si="24"/>
        <v>45045</v>
      </c>
      <c r="D665" s="22"/>
      <c r="E665" s="101"/>
      <c r="F665" s="102"/>
      <c r="G665" s="90">
        <v>10000</v>
      </c>
      <c r="H665" s="26">
        <f t="shared" si="23"/>
        <v>-1349710.15</v>
      </c>
      <c r="I665" s="25" t="s">
        <v>292</v>
      </c>
      <c r="J665" s="22"/>
      <c r="K665" s="25"/>
      <c r="L665" s="25"/>
      <c r="M665" s="22"/>
    </row>
    <row r="666" spans="1:13">
      <c r="A666" s="14">
        <v>1655</v>
      </c>
      <c r="B666" s="67">
        <v>45046</v>
      </c>
      <c r="C666" s="15">
        <f t="shared" si="24"/>
        <v>45046</v>
      </c>
      <c r="D666" s="22"/>
      <c r="E666" s="71"/>
      <c r="F666" s="102">
        <v>171300</v>
      </c>
      <c r="G666" s="90"/>
      <c r="H666" s="26">
        <f t="shared" si="23"/>
        <v>-1521010.15</v>
      </c>
      <c r="I666" s="25" t="s">
        <v>309</v>
      </c>
      <c r="J666" s="22"/>
      <c r="K666" s="25"/>
      <c r="L666" s="25"/>
      <c r="M666" s="22"/>
    </row>
    <row r="667" spans="1:13">
      <c r="A667" s="14">
        <v>1656</v>
      </c>
      <c r="B667" s="67">
        <v>45048</v>
      </c>
      <c r="C667" s="15">
        <f t="shared" si="24"/>
        <v>45048</v>
      </c>
      <c r="D667" s="22"/>
      <c r="E667" s="71"/>
      <c r="F667" s="102">
        <v>5600</v>
      </c>
      <c r="G667" s="90"/>
      <c r="H667" s="26">
        <f t="shared" si="23"/>
        <v>-1526610.15</v>
      </c>
      <c r="I667" s="25" t="s">
        <v>309</v>
      </c>
      <c r="J667" s="22"/>
      <c r="K667" s="25"/>
      <c r="L667" s="25"/>
      <c r="M667" s="22"/>
    </row>
    <row r="668" spans="1:13">
      <c r="A668" s="14">
        <v>1657</v>
      </c>
      <c r="B668" s="67">
        <v>45048</v>
      </c>
      <c r="C668" s="15">
        <f t="shared" si="24"/>
        <v>45048</v>
      </c>
      <c r="D668" s="22"/>
      <c r="E668" s="72"/>
      <c r="F668" s="102">
        <v>5600</v>
      </c>
      <c r="G668" s="90"/>
      <c r="H668" s="26">
        <f t="shared" si="23"/>
        <v>-1532210.15</v>
      </c>
      <c r="I668" s="25" t="s">
        <v>309</v>
      </c>
      <c r="J668" s="22"/>
      <c r="K668" s="25"/>
      <c r="L668" s="25"/>
      <c r="M668" s="22"/>
    </row>
    <row r="669" spans="1:13">
      <c r="A669" s="14">
        <v>1658</v>
      </c>
      <c r="B669" s="67">
        <v>45048</v>
      </c>
      <c r="C669" s="15">
        <f t="shared" si="24"/>
        <v>45048</v>
      </c>
      <c r="D669" s="22"/>
      <c r="E669" s="72"/>
      <c r="F669" s="102"/>
      <c r="G669" s="90">
        <v>98050</v>
      </c>
      <c r="H669" s="26">
        <f t="shared" si="23"/>
        <v>-1434160.15</v>
      </c>
      <c r="I669" s="25" t="s">
        <v>275</v>
      </c>
      <c r="J669" s="22"/>
      <c r="K669" s="25"/>
      <c r="L669" s="25"/>
      <c r="M669" s="22"/>
    </row>
    <row r="670" spans="1:13">
      <c r="A670" s="14">
        <v>1659</v>
      </c>
      <c r="B670" s="67">
        <v>45048</v>
      </c>
      <c r="C670" s="15">
        <f t="shared" si="24"/>
        <v>45048</v>
      </c>
      <c r="D670" s="22"/>
      <c r="E670" s="72"/>
      <c r="F670" s="102"/>
      <c r="G670" s="90">
        <v>6500</v>
      </c>
      <c r="H670" s="26">
        <f t="shared" si="23"/>
        <v>-1427660.15</v>
      </c>
      <c r="I670" s="25" t="s">
        <v>294</v>
      </c>
      <c r="J670" s="22"/>
      <c r="K670" s="25"/>
      <c r="L670" s="25"/>
      <c r="M670" s="22"/>
    </row>
    <row r="671" spans="1:13">
      <c r="A671" s="14">
        <v>1660</v>
      </c>
      <c r="B671" s="67">
        <v>45048</v>
      </c>
      <c r="C671" s="15">
        <f t="shared" si="24"/>
        <v>45048</v>
      </c>
      <c r="D671" s="22"/>
      <c r="E671" s="71"/>
      <c r="F671" s="102">
        <v>15500</v>
      </c>
      <c r="G671" s="90"/>
      <c r="H671" s="26">
        <f t="shared" si="23"/>
        <v>-1443160.15</v>
      </c>
      <c r="I671" s="25" t="s">
        <v>309</v>
      </c>
      <c r="J671" s="22"/>
      <c r="K671" s="25"/>
      <c r="L671" s="25"/>
      <c r="M671" s="22"/>
    </row>
    <row r="672" spans="1:13">
      <c r="A672" s="14">
        <v>1661</v>
      </c>
      <c r="B672" s="67">
        <v>45048</v>
      </c>
      <c r="C672" s="15">
        <f t="shared" si="24"/>
        <v>45048</v>
      </c>
      <c r="D672" s="22"/>
      <c r="E672" s="72"/>
      <c r="F672" s="102">
        <v>15000</v>
      </c>
      <c r="G672" s="90"/>
      <c r="H672" s="26">
        <f t="shared" si="23"/>
        <v>-1458160.15</v>
      </c>
      <c r="I672" s="25" t="s">
        <v>306</v>
      </c>
      <c r="J672" s="22"/>
      <c r="K672" s="25"/>
      <c r="L672" s="25"/>
      <c r="M672" s="22"/>
    </row>
    <row r="673" spans="1:13">
      <c r="A673" s="14">
        <v>1662</v>
      </c>
      <c r="B673" s="67">
        <v>45049</v>
      </c>
      <c r="C673" s="15">
        <f t="shared" si="24"/>
        <v>45049</v>
      </c>
      <c r="D673" s="22"/>
      <c r="E673" s="72"/>
      <c r="F673" s="102">
        <v>45000</v>
      </c>
      <c r="G673" s="90"/>
      <c r="H673" s="26">
        <f t="shared" si="23"/>
        <v>-1503160.15</v>
      </c>
      <c r="I673" s="25" t="s">
        <v>309</v>
      </c>
      <c r="J673" s="22"/>
      <c r="K673" s="25"/>
      <c r="L673" s="25"/>
      <c r="M673" s="22"/>
    </row>
    <row r="674" spans="1:13">
      <c r="A674" s="14">
        <v>1663</v>
      </c>
      <c r="B674" s="67">
        <v>45049</v>
      </c>
      <c r="C674" s="15">
        <f t="shared" si="24"/>
        <v>45049</v>
      </c>
      <c r="D674" s="22"/>
      <c r="E674" s="71"/>
      <c r="F674" s="102">
        <v>20</v>
      </c>
      <c r="G674" s="90"/>
      <c r="H674" s="26">
        <f t="shared" si="23"/>
        <v>-1503180.15</v>
      </c>
      <c r="I674" s="25" t="s">
        <v>264</v>
      </c>
      <c r="J674" s="22"/>
      <c r="K674" s="25"/>
      <c r="L674" s="25"/>
      <c r="M674" s="22"/>
    </row>
    <row r="675" spans="1:13">
      <c r="A675" s="14">
        <v>1664</v>
      </c>
      <c r="B675" s="67">
        <v>45049</v>
      </c>
      <c r="C675" s="15">
        <f t="shared" si="24"/>
        <v>45049</v>
      </c>
      <c r="D675" s="22"/>
      <c r="E675" s="71"/>
      <c r="F675" s="102">
        <v>1.5</v>
      </c>
      <c r="G675" s="90"/>
      <c r="H675" s="26">
        <f t="shared" si="23"/>
        <v>-1503181.65</v>
      </c>
      <c r="I675" s="25" t="s">
        <v>264</v>
      </c>
      <c r="J675" s="22"/>
      <c r="K675" s="25"/>
      <c r="L675" s="25"/>
      <c r="M675" s="22"/>
    </row>
    <row r="676" spans="1:13">
      <c r="A676" s="14">
        <v>1665</v>
      </c>
      <c r="B676" s="67">
        <v>45049</v>
      </c>
      <c r="C676" s="15">
        <f t="shared" si="24"/>
        <v>45049</v>
      </c>
      <c r="D676" s="22"/>
      <c r="E676" s="101"/>
      <c r="F676" s="102">
        <v>15200</v>
      </c>
      <c r="G676" s="90"/>
      <c r="H676" s="26">
        <f t="shared" si="23"/>
        <v>-1518381.65</v>
      </c>
      <c r="I676" s="25" t="s">
        <v>309</v>
      </c>
      <c r="J676" s="22"/>
      <c r="K676" s="25"/>
      <c r="L676" s="25"/>
      <c r="M676" s="22"/>
    </row>
    <row r="677" spans="1:13">
      <c r="A677" s="14">
        <v>1666</v>
      </c>
      <c r="B677" s="67">
        <v>45049</v>
      </c>
      <c r="C677" s="15">
        <f t="shared" si="24"/>
        <v>45049</v>
      </c>
      <c r="D677" s="22"/>
      <c r="E677" s="71"/>
      <c r="F677" s="102">
        <v>20</v>
      </c>
      <c r="G677" s="90"/>
      <c r="H677" s="26">
        <f t="shared" si="23"/>
        <v>-1518401.65</v>
      </c>
      <c r="I677" s="25" t="s">
        <v>264</v>
      </c>
      <c r="J677" s="22"/>
      <c r="K677" s="25"/>
      <c r="L677" s="25"/>
      <c r="M677" s="22"/>
    </row>
    <row r="678" spans="1:13">
      <c r="A678" s="14">
        <v>1667</v>
      </c>
      <c r="B678" s="67">
        <v>45049</v>
      </c>
      <c r="C678" s="15">
        <f t="shared" si="24"/>
        <v>45049</v>
      </c>
      <c r="D678" s="22"/>
      <c r="E678" s="71"/>
      <c r="F678" s="102">
        <v>1.5</v>
      </c>
      <c r="G678" s="90"/>
      <c r="H678" s="26">
        <f t="shared" si="23"/>
        <v>-1518403.15</v>
      </c>
      <c r="I678" s="25" t="s">
        <v>264</v>
      </c>
      <c r="J678" s="22"/>
      <c r="K678" s="25"/>
      <c r="L678" s="25"/>
      <c r="M678" s="22"/>
    </row>
    <row r="679" spans="1:13">
      <c r="A679" s="14">
        <v>1668</v>
      </c>
      <c r="B679" s="67">
        <v>45049</v>
      </c>
      <c r="C679" s="15">
        <f t="shared" si="24"/>
        <v>45049</v>
      </c>
      <c r="D679" s="22"/>
      <c r="E679" s="72"/>
      <c r="F679" s="102">
        <v>20000</v>
      </c>
      <c r="G679" s="90"/>
      <c r="H679" s="26">
        <f t="shared" si="23"/>
        <v>-1538403.15</v>
      </c>
      <c r="I679" s="25" t="s">
        <v>288</v>
      </c>
      <c r="J679" s="22"/>
      <c r="K679" s="25"/>
      <c r="L679" s="25"/>
      <c r="M679" s="22"/>
    </row>
    <row r="680" spans="1:13">
      <c r="A680" s="14">
        <v>1669</v>
      </c>
      <c r="B680" s="67">
        <v>45049</v>
      </c>
      <c r="C680" s="15">
        <f t="shared" si="24"/>
        <v>45049</v>
      </c>
      <c r="D680" s="22"/>
      <c r="E680" s="72"/>
      <c r="F680" s="102">
        <v>99500</v>
      </c>
      <c r="G680" s="90"/>
      <c r="H680" s="26">
        <f t="shared" si="23"/>
        <v>-1637903.15</v>
      </c>
      <c r="I680" s="25" t="s">
        <v>309</v>
      </c>
      <c r="J680" s="22"/>
      <c r="K680" s="25"/>
      <c r="L680" s="25"/>
      <c r="M680" s="22"/>
    </row>
    <row r="681" spans="1:13">
      <c r="A681" s="14">
        <v>1670</v>
      </c>
      <c r="B681" s="67">
        <v>45049</v>
      </c>
      <c r="C681" s="15">
        <f t="shared" si="24"/>
        <v>45049</v>
      </c>
      <c r="D681" s="22"/>
      <c r="E681" s="71"/>
      <c r="F681" s="102">
        <v>20</v>
      </c>
      <c r="G681" s="90"/>
      <c r="H681" s="26">
        <f t="shared" si="23"/>
        <v>-1637923.15</v>
      </c>
      <c r="I681" s="25" t="s">
        <v>264</v>
      </c>
      <c r="J681" s="22"/>
      <c r="K681" s="25"/>
      <c r="L681" s="25"/>
      <c r="M681" s="22"/>
    </row>
    <row r="682" spans="1:13">
      <c r="A682" s="14">
        <v>1671</v>
      </c>
      <c r="B682" s="67">
        <v>45049</v>
      </c>
      <c r="C682" s="15">
        <f t="shared" si="24"/>
        <v>45049</v>
      </c>
      <c r="D682" s="22"/>
      <c r="E682" s="71"/>
      <c r="F682" s="102">
        <v>1.5</v>
      </c>
      <c r="G682" s="90"/>
      <c r="H682" s="26">
        <f t="shared" si="23"/>
        <v>-1637924.65</v>
      </c>
      <c r="I682" s="25" t="s">
        <v>264</v>
      </c>
      <c r="J682" s="22"/>
      <c r="K682" s="25"/>
      <c r="L682" s="25"/>
      <c r="M682" s="22"/>
    </row>
    <row r="683" spans="1:13">
      <c r="A683" s="14">
        <v>1672</v>
      </c>
      <c r="B683" s="67">
        <v>45049</v>
      </c>
      <c r="C683" s="15">
        <f t="shared" si="24"/>
        <v>45049</v>
      </c>
      <c r="D683" s="22"/>
      <c r="E683" s="72"/>
      <c r="F683" s="102">
        <v>18000</v>
      </c>
      <c r="G683" s="90"/>
      <c r="H683" s="26">
        <f t="shared" si="23"/>
        <v>-1655924.65</v>
      </c>
      <c r="I683" s="25" t="s">
        <v>309</v>
      </c>
      <c r="J683" s="22"/>
      <c r="K683" s="25"/>
      <c r="L683" s="25"/>
      <c r="M683" s="22"/>
    </row>
    <row r="684" spans="1:13">
      <c r="A684" s="14">
        <v>1673</v>
      </c>
      <c r="B684" s="67">
        <v>45049</v>
      </c>
      <c r="C684" s="15">
        <f t="shared" si="24"/>
        <v>45049</v>
      </c>
      <c r="D684" s="22"/>
      <c r="E684" s="72"/>
      <c r="F684" s="102">
        <v>1990</v>
      </c>
      <c r="G684" s="90"/>
      <c r="H684" s="26">
        <f t="shared" ref="H684:H747" si="25">IFERROR(H683-F684+G684,"")</f>
        <v>-1657914.65</v>
      </c>
      <c r="I684" s="25" t="s">
        <v>309</v>
      </c>
      <c r="J684" s="22"/>
      <c r="K684" s="25"/>
      <c r="L684" s="25"/>
      <c r="M684" s="22"/>
    </row>
    <row r="685" spans="1:13">
      <c r="A685" s="14">
        <v>1674</v>
      </c>
      <c r="B685" s="67">
        <v>45051</v>
      </c>
      <c r="C685" s="15">
        <f t="shared" si="24"/>
        <v>45051</v>
      </c>
      <c r="D685" s="22"/>
      <c r="E685" s="72"/>
      <c r="F685" s="102">
        <v>49450</v>
      </c>
      <c r="G685" s="90"/>
      <c r="H685" s="26">
        <f t="shared" si="25"/>
        <v>-1707364.65</v>
      </c>
      <c r="I685" s="25" t="s">
        <v>306</v>
      </c>
      <c r="J685" s="22"/>
      <c r="K685" s="25"/>
      <c r="L685" s="25"/>
      <c r="M685" s="22"/>
    </row>
    <row r="686" spans="1:13">
      <c r="A686" s="14">
        <v>1675</v>
      </c>
      <c r="B686" s="67">
        <v>45051</v>
      </c>
      <c r="C686" s="15">
        <f t="shared" si="24"/>
        <v>45051</v>
      </c>
      <c r="D686" s="22"/>
      <c r="E686" s="72"/>
      <c r="F686" s="102">
        <v>20000</v>
      </c>
      <c r="G686" s="90"/>
      <c r="H686" s="26">
        <f t="shared" si="25"/>
        <v>-1727364.65</v>
      </c>
      <c r="I686" s="25" t="s">
        <v>288</v>
      </c>
      <c r="J686" s="22"/>
      <c r="K686" s="25"/>
      <c r="L686" s="25"/>
      <c r="M686" s="22"/>
    </row>
    <row r="687" spans="1:13">
      <c r="A687" s="14">
        <v>1676</v>
      </c>
      <c r="B687" s="67">
        <v>45051</v>
      </c>
      <c r="C687" s="15">
        <f t="shared" si="24"/>
        <v>45051</v>
      </c>
      <c r="D687" s="22"/>
      <c r="E687" s="72"/>
      <c r="F687" s="102">
        <v>52750</v>
      </c>
      <c r="G687" s="90"/>
      <c r="H687" s="26">
        <f t="shared" si="25"/>
        <v>-1780114.65</v>
      </c>
      <c r="I687" s="25" t="s">
        <v>309</v>
      </c>
      <c r="J687" s="22"/>
      <c r="K687" s="25"/>
      <c r="L687" s="25"/>
      <c r="M687" s="22"/>
    </row>
    <row r="688" spans="1:13">
      <c r="A688" s="14">
        <v>1677</v>
      </c>
      <c r="B688" s="67">
        <v>45051</v>
      </c>
      <c r="C688" s="15">
        <f t="shared" si="24"/>
        <v>45051</v>
      </c>
      <c r="D688" s="22"/>
      <c r="E688" s="72"/>
      <c r="F688" s="102">
        <v>50</v>
      </c>
      <c r="G688" s="90"/>
      <c r="H688" s="26">
        <f t="shared" si="25"/>
        <v>-1780164.65</v>
      </c>
      <c r="I688" s="25" t="s">
        <v>264</v>
      </c>
      <c r="J688" s="22"/>
      <c r="K688" s="25"/>
      <c r="L688" s="25"/>
      <c r="M688" s="22"/>
    </row>
    <row r="689" spans="1:13">
      <c r="A689" s="14">
        <v>1678</v>
      </c>
      <c r="B689" s="67">
        <v>45051</v>
      </c>
      <c r="C689" s="15">
        <f t="shared" si="24"/>
        <v>45051</v>
      </c>
      <c r="D689" s="22"/>
      <c r="E689" s="72"/>
      <c r="F689" s="102">
        <v>3.75</v>
      </c>
      <c r="G689" s="90"/>
      <c r="H689" s="26">
        <f t="shared" si="25"/>
        <v>-1780168.4</v>
      </c>
      <c r="I689" s="25" t="s">
        <v>264</v>
      </c>
      <c r="J689" s="22"/>
      <c r="K689" s="25"/>
      <c r="L689" s="25"/>
      <c r="M689" s="22"/>
    </row>
    <row r="690" spans="1:13">
      <c r="A690" s="14">
        <v>1679</v>
      </c>
      <c r="B690" s="67">
        <v>45054</v>
      </c>
      <c r="C690" s="15">
        <f t="shared" si="24"/>
        <v>45054</v>
      </c>
      <c r="D690" s="22"/>
      <c r="E690" s="72"/>
      <c r="F690" s="102">
        <v>15000</v>
      </c>
      <c r="G690" s="90"/>
      <c r="H690" s="26">
        <f t="shared" si="25"/>
        <v>-1795168.4</v>
      </c>
      <c r="I690" s="25" t="s">
        <v>306</v>
      </c>
      <c r="J690" s="22"/>
      <c r="K690" s="25"/>
      <c r="L690" s="25"/>
      <c r="M690" s="22"/>
    </row>
    <row r="691" spans="1:13">
      <c r="A691" s="14">
        <v>1680</v>
      </c>
      <c r="B691" s="67">
        <v>45054</v>
      </c>
      <c r="C691" s="15">
        <f t="shared" si="24"/>
        <v>45054</v>
      </c>
      <c r="D691" s="22"/>
      <c r="E691" s="72"/>
      <c r="F691" s="102">
        <v>183500</v>
      </c>
      <c r="G691" s="90"/>
      <c r="H691" s="26">
        <f t="shared" si="25"/>
        <v>-1978668.4</v>
      </c>
      <c r="I691" s="25" t="s">
        <v>306</v>
      </c>
      <c r="J691" s="22"/>
      <c r="K691" s="25"/>
      <c r="L691" s="25"/>
      <c r="M691" s="22"/>
    </row>
    <row r="692" spans="1:13">
      <c r="A692" s="14">
        <v>1681</v>
      </c>
      <c r="B692" s="67">
        <v>45054</v>
      </c>
      <c r="C692" s="15">
        <f t="shared" si="24"/>
        <v>45054</v>
      </c>
      <c r="D692" s="22"/>
      <c r="E692" s="72"/>
      <c r="F692" s="102"/>
      <c r="G692" s="90">
        <v>42500</v>
      </c>
      <c r="H692" s="26">
        <f t="shared" si="25"/>
        <v>-1936168.4</v>
      </c>
      <c r="I692" s="25" t="s">
        <v>265</v>
      </c>
      <c r="J692" s="22"/>
      <c r="K692" s="25"/>
      <c r="L692" s="25"/>
      <c r="M692" s="22"/>
    </row>
    <row r="693" spans="1:13">
      <c r="A693" s="14">
        <v>1682</v>
      </c>
      <c r="B693" s="67">
        <v>45054</v>
      </c>
      <c r="C693" s="15">
        <f t="shared" si="24"/>
        <v>45054</v>
      </c>
      <c r="D693" s="22"/>
      <c r="E693" s="72"/>
      <c r="F693" s="102"/>
      <c r="G693" s="90">
        <v>30000</v>
      </c>
      <c r="H693" s="26">
        <f t="shared" si="25"/>
        <v>-1906168.4</v>
      </c>
      <c r="I693" s="25" t="s">
        <v>300</v>
      </c>
      <c r="J693" s="22"/>
      <c r="K693" s="25"/>
      <c r="L693" s="25"/>
      <c r="M693" s="22"/>
    </row>
    <row r="694" spans="1:13">
      <c r="A694" s="14">
        <v>1683</v>
      </c>
      <c r="B694" s="67">
        <v>45055</v>
      </c>
      <c r="C694" s="15">
        <f t="shared" si="24"/>
        <v>45055</v>
      </c>
      <c r="D694" s="22"/>
      <c r="E694" s="71"/>
      <c r="F694" s="102">
        <v>5600</v>
      </c>
      <c r="G694" s="90"/>
      <c r="H694" s="26">
        <f t="shared" si="25"/>
        <v>-1911768.4</v>
      </c>
      <c r="I694" s="25" t="s">
        <v>309</v>
      </c>
      <c r="J694" s="22"/>
      <c r="K694" s="25"/>
      <c r="L694" s="25"/>
      <c r="M694" s="22"/>
    </row>
    <row r="695" spans="1:13">
      <c r="A695" s="14">
        <v>1684</v>
      </c>
      <c r="B695" s="67">
        <v>45055</v>
      </c>
      <c r="C695" s="15">
        <f t="shared" ref="C695:C758" si="26">B695</f>
        <v>45055</v>
      </c>
      <c r="D695" s="22"/>
      <c r="E695" s="71"/>
      <c r="F695" s="102">
        <v>5600</v>
      </c>
      <c r="G695" s="90"/>
      <c r="H695" s="26">
        <f t="shared" si="25"/>
        <v>-1917368.4</v>
      </c>
      <c r="I695" s="25" t="s">
        <v>309</v>
      </c>
      <c r="J695" s="22"/>
      <c r="K695" s="25"/>
      <c r="L695" s="25"/>
      <c r="M695" s="22"/>
    </row>
    <row r="696" spans="1:13">
      <c r="A696" s="14">
        <v>1685</v>
      </c>
      <c r="B696" s="67">
        <v>45055</v>
      </c>
      <c r="C696" s="15">
        <f t="shared" si="26"/>
        <v>45055</v>
      </c>
      <c r="D696" s="22"/>
      <c r="E696" s="71"/>
      <c r="F696" s="102">
        <v>42702</v>
      </c>
      <c r="G696" s="90"/>
      <c r="H696" s="26">
        <f t="shared" si="25"/>
        <v>-1960070.4</v>
      </c>
      <c r="I696" s="25" t="s">
        <v>309</v>
      </c>
      <c r="J696" s="22"/>
      <c r="K696" s="25"/>
      <c r="L696" s="25"/>
      <c r="M696" s="22"/>
    </row>
    <row r="697" spans="1:13">
      <c r="A697" s="14">
        <v>1686</v>
      </c>
      <c r="B697" s="67">
        <v>45055</v>
      </c>
      <c r="C697" s="15">
        <f t="shared" si="26"/>
        <v>45055</v>
      </c>
      <c r="D697" s="22"/>
      <c r="E697" s="71"/>
      <c r="F697" s="102">
        <v>19800</v>
      </c>
      <c r="G697" s="90"/>
      <c r="H697" s="26">
        <f t="shared" si="25"/>
        <v>-1979870.4</v>
      </c>
      <c r="I697" s="25" t="s">
        <v>309</v>
      </c>
      <c r="J697" s="22"/>
      <c r="K697" s="25"/>
      <c r="L697" s="25"/>
      <c r="M697" s="22"/>
    </row>
    <row r="698" spans="1:13">
      <c r="A698" s="14">
        <v>1687</v>
      </c>
      <c r="B698" s="67">
        <v>45055</v>
      </c>
      <c r="C698" s="15">
        <f t="shared" si="26"/>
        <v>45055</v>
      </c>
      <c r="D698" s="22"/>
      <c r="E698" s="72"/>
      <c r="F698" s="102">
        <v>20000</v>
      </c>
      <c r="G698" s="90"/>
      <c r="H698" s="26">
        <f t="shared" si="25"/>
        <v>-1999870.4</v>
      </c>
      <c r="I698" s="25" t="s">
        <v>288</v>
      </c>
      <c r="J698" s="22"/>
      <c r="K698" s="25"/>
      <c r="L698" s="25"/>
      <c r="M698" s="22"/>
    </row>
    <row r="699" spans="1:13">
      <c r="A699" s="14">
        <v>1688</v>
      </c>
      <c r="B699" s="67">
        <v>45056</v>
      </c>
      <c r="C699" s="15">
        <f t="shared" si="26"/>
        <v>45056</v>
      </c>
      <c r="D699" s="22"/>
      <c r="E699" s="72"/>
      <c r="F699" s="102">
        <v>20000</v>
      </c>
      <c r="G699" s="90"/>
      <c r="H699" s="26">
        <f t="shared" si="25"/>
        <v>-2019870.4</v>
      </c>
      <c r="I699" s="25" t="s">
        <v>288</v>
      </c>
      <c r="J699" s="22"/>
      <c r="K699" s="25"/>
      <c r="L699" s="25"/>
      <c r="M699" s="22"/>
    </row>
    <row r="700" spans="1:13">
      <c r="A700" s="14">
        <v>1689</v>
      </c>
      <c r="B700" s="67">
        <v>45056</v>
      </c>
      <c r="C700" s="15">
        <f t="shared" si="26"/>
        <v>45056</v>
      </c>
      <c r="D700" s="22"/>
      <c r="E700" s="72"/>
      <c r="F700" s="102">
        <v>15000</v>
      </c>
      <c r="G700" s="90"/>
      <c r="H700" s="26">
        <f t="shared" si="25"/>
        <v>-2034870.4</v>
      </c>
      <c r="I700" s="25" t="s">
        <v>306</v>
      </c>
      <c r="J700" s="22"/>
      <c r="K700" s="25"/>
      <c r="L700" s="25"/>
      <c r="M700" s="22"/>
    </row>
    <row r="701" spans="1:13">
      <c r="A701" s="14">
        <v>1690</v>
      </c>
      <c r="B701" s="67">
        <v>45057</v>
      </c>
      <c r="C701" s="15">
        <f t="shared" si="26"/>
        <v>45057</v>
      </c>
      <c r="D701" s="22"/>
      <c r="E701" s="72"/>
      <c r="F701" s="102">
        <v>20000</v>
      </c>
      <c r="G701" s="90"/>
      <c r="H701" s="26">
        <f t="shared" si="25"/>
        <v>-2054870.4</v>
      </c>
      <c r="I701" s="25" t="s">
        <v>288</v>
      </c>
      <c r="J701" s="22"/>
      <c r="K701" s="25"/>
      <c r="L701" s="25"/>
      <c r="M701" s="22"/>
    </row>
    <row r="702" spans="1:13">
      <c r="A702" s="14">
        <v>1691</v>
      </c>
      <c r="B702" s="67">
        <v>45058</v>
      </c>
      <c r="C702" s="15">
        <f t="shared" si="26"/>
        <v>45058</v>
      </c>
      <c r="D702" s="22"/>
      <c r="E702" s="72"/>
      <c r="F702" s="102">
        <v>20000</v>
      </c>
      <c r="G702" s="90"/>
      <c r="H702" s="26">
        <f t="shared" si="25"/>
        <v>-2074870.4</v>
      </c>
      <c r="I702" s="25" t="s">
        <v>288</v>
      </c>
      <c r="J702" s="22"/>
      <c r="K702" s="25"/>
      <c r="L702" s="25"/>
      <c r="M702" s="22"/>
    </row>
    <row r="703" spans="1:13">
      <c r="A703" s="14">
        <v>1692</v>
      </c>
      <c r="B703" s="67">
        <v>45062</v>
      </c>
      <c r="C703" s="15">
        <f t="shared" si="26"/>
        <v>45062</v>
      </c>
      <c r="D703" s="22"/>
      <c r="E703" s="72"/>
      <c r="F703" s="102">
        <v>15000</v>
      </c>
      <c r="G703" s="90"/>
      <c r="H703" s="26">
        <f t="shared" si="25"/>
        <v>-2089870.4</v>
      </c>
      <c r="I703" s="25" t="s">
        <v>306</v>
      </c>
      <c r="J703" s="22"/>
      <c r="K703" s="25"/>
      <c r="L703" s="25"/>
      <c r="M703" s="22"/>
    </row>
    <row r="704" spans="1:13">
      <c r="A704" s="14">
        <v>1693</v>
      </c>
      <c r="B704" s="67">
        <v>45062</v>
      </c>
      <c r="C704" s="15">
        <f t="shared" si="26"/>
        <v>45062</v>
      </c>
      <c r="D704" s="22"/>
      <c r="E704" s="72"/>
      <c r="F704" s="102">
        <v>3200</v>
      </c>
      <c r="G704" s="90"/>
      <c r="H704" s="26">
        <f t="shared" si="25"/>
        <v>-2093070.4</v>
      </c>
      <c r="I704" s="25" t="s">
        <v>306</v>
      </c>
      <c r="J704" s="22"/>
      <c r="K704" s="25"/>
      <c r="L704" s="25"/>
      <c r="M704" s="22"/>
    </row>
    <row r="705" spans="1:13">
      <c r="A705" s="14">
        <v>1694</v>
      </c>
      <c r="B705" s="67">
        <v>45062</v>
      </c>
      <c r="C705" s="15">
        <f t="shared" si="26"/>
        <v>45062</v>
      </c>
      <c r="D705" s="22"/>
      <c r="E705" s="71"/>
      <c r="F705" s="102">
        <v>14700</v>
      </c>
      <c r="G705" s="90"/>
      <c r="H705" s="26">
        <f t="shared" si="25"/>
        <v>-2107770.4</v>
      </c>
      <c r="I705" s="25" t="s">
        <v>309</v>
      </c>
      <c r="J705" s="22"/>
      <c r="K705" s="25"/>
      <c r="L705" s="25"/>
      <c r="M705" s="22"/>
    </row>
    <row r="706" spans="1:13">
      <c r="A706" s="14">
        <v>1695</v>
      </c>
      <c r="B706" s="67">
        <v>45062</v>
      </c>
      <c r="C706" s="15">
        <f t="shared" si="26"/>
        <v>45062</v>
      </c>
      <c r="D706" s="22"/>
      <c r="E706" s="71"/>
      <c r="F706" s="102">
        <v>5600</v>
      </c>
      <c r="G706" s="90"/>
      <c r="H706" s="26">
        <f t="shared" si="25"/>
        <v>-2113370.4</v>
      </c>
      <c r="I706" s="25" t="s">
        <v>309</v>
      </c>
      <c r="J706" s="22"/>
      <c r="K706" s="25"/>
      <c r="L706" s="25"/>
      <c r="M706" s="22"/>
    </row>
    <row r="707" spans="1:13">
      <c r="A707" s="14">
        <v>1696</v>
      </c>
      <c r="B707" s="67">
        <v>45062</v>
      </c>
      <c r="C707" s="15">
        <f t="shared" si="26"/>
        <v>45062</v>
      </c>
      <c r="D707" s="22"/>
      <c r="E707" s="71"/>
      <c r="F707" s="102">
        <v>6500</v>
      </c>
      <c r="G707" s="90"/>
      <c r="H707" s="26">
        <f t="shared" si="25"/>
        <v>-2119870.4</v>
      </c>
      <c r="I707" s="25" t="s">
        <v>309</v>
      </c>
      <c r="J707" s="22"/>
      <c r="K707" s="25"/>
      <c r="L707" s="25"/>
      <c r="M707" s="22"/>
    </row>
    <row r="708" spans="1:13">
      <c r="A708" s="14">
        <v>1697</v>
      </c>
      <c r="B708" s="67">
        <v>45062</v>
      </c>
      <c r="C708" s="15">
        <f t="shared" si="26"/>
        <v>45062</v>
      </c>
      <c r="D708" s="22"/>
      <c r="E708" s="71"/>
      <c r="F708" s="102">
        <v>46832</v>
      </c>
      <c r="G708" s="90"/>
      <c r="H708" s="26">
        <f t="shared" si="25"/>
        <v>-2166702.4</v>
      </c>
      <c r="I708" s="25" t="s">
        <v>309</v>
      </c>
      <c r="J708" s="22"/>
      <c r="K708" s="25"/>
      <c r="L708" s="25"/>
      <c r="M708" s="22"/>
    </row>
    <row r="709" spans="1:13">
      <c r="A709" s="14">
        <v>1698</v>
      </c>
      <c r="B709" s="67">
        <v>45063</v>
      </c>
      <c r="C709" s="15">
        <f t="shared" si="26"/>
        <v>45063</v>
      </c>
      <c r="D709" s="22"/>
      <c r="E709" s="72"/>
      <c r="F709" s="102">
        <v>20000</v>
      </c>
      <c r="G709" s="90"/>
      <c r="H709" s="26">
        <f t="shared" si="25"/>
        <v>-2186702.4</v>
      </c>
      <c r="I709" s="25" t="s">
        <v>288</v>
      </c>
      <c r="J709" s="22"/>
      <c r="K709" s="25"/>
      <c r="L709" s="25"/>
      <c r="M709" s="22"/>
    </row>
    <row r="710" spans="1:13">
      <c r="A710" s="14">
        <v>1699</v>
      </c>
      <c r="B710" s="67">
        <v>45065</v>
      </c>
      <c r="C710" s="15">
        <f t="shared" si="26"/>
        <v>45065</v>
      </c>
      <c r="D710" s="22"/>
      <c r="E710" s="72"/>
      <c r="F710" s="102">
        <v>15000</v>
      </c>
      <c r="G710" s="90"/>
      <c r="H710" s="26">
        <f t="shared" si="25"/>
        <v>-2201702.3999999999</v>
      </c>
      <c r="I710" s="25" t="s">
        <v>306</v>
      </c>
      <c r="J710" s="22"/>
      <c r="K710" s="25"/>
      <c r="L710" s="25"/>
      <c r="M710" s="22"/>
    </row>
    <row r="711" spans="1:13">
      <c r="A711" s="14">
        <v>1700</v>
      </c>
      <c r="B711" s="67">
        <v>45065</v>
      </c>
      <c r="C711" s="15">
        <f t="shared" si="26"/>
        <v>45065</v>
      </c>
      <c r="D711" s="22"/>
      <c r="E711" s="101"/>
      <c r="F711" s="102">
        <v>20000</v>
      </c>
      <c r="G711" s="90"/>
      <c r="H711" s="26">
        <f t="shared" si="25"/>
        <v>-2221702.4</v>
      </c>
      <c r="I711" s="25" t="s">
        <v>288</v>
      </c>
      <c r="J711" s="22"/>
      <c r="K711" s="25"/>
      <c r="L711" s="25"/>
      <c r="M711" s="22"/>
    </row>
    <row r="712" spans="1:13">
      <c r="A712" s="14">
        <v>1701</v>
      </c>
      <c r="B712" s="67">
        <v>45066</v>
      </c>
      <c r="C712" s="15">
        <f t="shared" si="26"/>
        <v>45066</v>
      </c>
      <c r="D712" s="22"/>
      <c r="E712" s="72"/>
      <c r="F712" s="102"/>
      <c r="G712" s="90">
        <v>29800</v>
      </c>
      <c r="H712" s="26">
        <f t="shared" si="25"/>
        <v>-2191902.4</v>
      </c>
      <c r="I712" s="25" t="s">
        <v>292</v>
      </c>
      <c r="J712" s="22"/>
      <c r="K712" s="25"/>
      <c r="L712" s="25"/>
      <c r="M712" s="22"/>
    </row>
    <row r="713" spans="1:13">
      <c r="A713" s="14">
        <v>1702</v>
      </c>
      <c r="B713" s="67">
        <v>45068</v>
      </c>
      <c r="C713" s="15">
        <f t="shared" si="26"/>
        <v>45068</v>
      </c>
      <c r="D713" s="22"/>
      <c r="E713" s="72"/>
      <c r="F713" s="102">
        <v>15000</v>
      </c>
      <c r="G713" s="90"/>
      <c r="H713" s="26">
        <f t="shared" si="25"/>
        <v>-2206902.4</v>
      </c>
      <c r="I713" s="25" t="s">
        <v>306</v>
      </c>
      <c r="J713" s="22"/>
      <c r="K713" s="25"/>
      <c r="L713" s="25"/>
      <c r="M713" s="22"/>
    </row>
    <row r="714" spans="1:13">
      <c r="A714" s="14">
        <v>1703</v>
      </c>
      <c r="B714" s="67">
        <v>45068</v>
      </c>
      <c r="C714" s="15">
        <f t="shared" si="26"/>
        <v>45068</v>
      </c>
      <c r="D714" s="22"/>
      <c r="E714" s="72"/>
      <c r="F714" s="102">
        <v>20000</v>
      </c>
      <c r="G714" s="90"/>
      <c r="H714" s="26">
        <f t="shared" si="25"/>
        <v>-2226902.4</v>
      </c>
      <c r="I714" s="25" t="s">
        <v>288</v>
      </c>
      <c r="J714" s="22"/>
      <c r="K714" s="25"/>
      <c r="L714" s="25"/>
      <c r="M714" s="22"/>
    </row>
    <row r="715" spans="1:13">
      <c r="A715" s="14">
        <v>1704</v>
      </c>
      <c r="B715" s="67">
        <v>45068</v>
      </c>
      <c r="C715" s="15">
        <f t="shared" si="26"/>
        <v>45068</v>
      </c>
      <c r="D715" s="22"/>
      <c r="E715" s="72"/>
      <c r="F715" s="102">
        <v>29800</v>
      </c>
      <c r="G715" s="90"/>
      <c r="H715" s="26">
        <f t="shared" si="25"/>
        <v>-2256702.4</v>
      </c>
      <c r="I715" s="25" t="s">
        <v>309</v>
      </c>
      <c r="J715" s="22"/>
      <c r="K715" s="25"/>
      <c r="L715" s="25"/>
      <c r="M715" s="22"/>
    </row>
    <row r="716" spans="1:13">
      <c r="A716" s="14">
        <v>1705</v>
      </c>
      <c r="B716" s="67">
        <v>45068</v>
      </c>
      <c r="C716" s="15">
        <f t="shared" si="26"/>
        <v>45068</v>
      </c>
      <c r="D716" s="22"/>
      <c r="E716" s="71"/>
      <c r="F716" s="102">
        <v>20</v>
      </c>
      <c r="G716" s="90"/>
      <c r="H716" s="26">
        <f t="shared" si="25"/>
        <v>-2256722.4</v>
      </c>
      <c r="I716" s="25" t="s">
        <v>264</v>
      </c>
      <c r="J716" s="22"/>
      <c r="K716" s="25"/>
      <c r="L716" s="25"/>
      <c r="M716" s="22"/>
    </row>
    <row r="717" spans="1:13">
      <c r="A717" s="14">
        <v>1706</v>
      </c>
      <c r="B717" s="67">
        <v>45068</v>
      </c>
      <c r="C717" s="15">
        <f t="shared" si="26"/>
        <v>45068</v>
      </c>
      <c r="D717" s="22"/>
      <c r="E717" s="71"/>
      <c r="F717" s="102">
        <v>1.5</v>
      </c>
      <c r="G717" s="90"/>
      <c r="H717" s="26">
        <f t="shared" si="25"/>
        <v>-2256723.9</v>
      </c>
      <c r="I717" s="25" t="s">
        <v>264</v>
      </c>
      <c r="J717" s="22"/>
      <c r="K717" s="25"/>
      <c r="L717" s="25"/>
      <c r="M717" s="22"/>
    </row>
    <row r="718" spans="1:13">
      <c r="A718" s="14">
        <v>1707</v>
      </c>
      <c r="B718" s="67">
        <v>45069</v>
      </c>
      <c r="C718" s="15">
        <f t="shared" si="26"/>
        <v>45069</v>
      </c>
      <c r="D718" s="22"/>
      <c r="E718" s="72"/>
      <c r="F718" s="102">
        <v>5600</v>
      </c>
      <c r="G718" s="90"/>
      <c r="H718" s="26">
        <f t="shared" si="25"/>
        <v>-2262323.9</v>
      </c>
      <c r="I718" s="25" t="s">
        <v>309</v>
      </c>
      <c r="J718" s="22"/>
      <c r="K718" s="25"/>
      <c r="L718" s="25"/>
      <c r="M718" s="22"/>
    </row>
    <row r="719" spans="1:13">
      <c r="A719" s="14">
        <v>1708</v>
      </c>
      <c r="B719" s="67">
        <v>45069</v>
      </c>
      <c r="C719" s="15">
        <f t="shared" si="26"/>
        <v>45069</v>
      </c>
      <c r="D719" s="22"/>
      <c r="E719" s="72"/>
      <c r="F719" s="102">
        <v>5600</v>
      </c>
      <c r="G719" s="90"/>
      <c r="H719" s="26">
        <f t="shared" si="25"/>
        <v>-2267923.9</v>
      </c>
      <c r="I719" s="25" t="s">
        <v>311</v>
      </c>
      <c r="J719" s="22"/>
      <c r="K719" s="25"/>
      <c r="L719" s="25"/>
      <c r="M719" s="22"/>
    </row>
    <row r="720" spans="1:13">
      <c r="A720" s="14">
        <v>1709</v>
      </c>
      <c r="B720" s="67">
        <v>45069</v>
      </c>
      <c r="C720" s="15">
        <f t="shared" si="26"/>
        <v>45069</v>
      </c>
      <c r="D720" s="22"/>
      <c r="E720" s="71"/>
      <c r="F720" s="102">
        <v>46000</v>
      </c>
      <c r="G720" s="90"/>
      <c r="H720" s="26">
        <f t="shared" si="25"/>
        <v>-2313923.9</v>
      </c>
      <c r="I720" s="25" t="s">
        <v>309</v>
      </c>
      <c r="J720" s="22"/>
      <c r="K720" s="25"/>
      <c r="L720" s="25"/>
      <c r="M720" s="22"/>
    </row>
    <row r="721" spans="1:13">
      <c r="A721" s="14">
        <v>1710</v>
      </c>
      <c r="B721" s="67">
        <v>45070</v>
      </c>
      <c r="C721" s="15">
        <f t="shared" si="26"/>
        <v>45070</v>
      </c>
      <c r="D721" s="22"/>
      <c r="E721" s="71"/>
      <c r="F721" s="102">
        <v>2200</v>
      </c>
      <c r="G721" s="90"/>
      <c r="H721" s="26">
        <f t="shared" si="25"/>
        <v>-2316123.9</v>
      </c>
      <c r="I721" s="25" t="s">
        <v>309</v>
      </c>
      <c r="J721" s="22"/>
      <c r="K721" s="25"/>
      <c r="L721" s="25"/>
      <c r="M721" s="22"/>
    </row>
    <row r="722" spans="1:13">
      <c r="A722" s="14">
        <v>1711</v>
      </c>
      <c r="B722" s="67">
        <v>45070</v>
      </c>
      <c r="C722" s="15">
        <f t="shared" si="26"/>
        <v>45070</v>
      </c>
      <c r="D722" s="22"/>
      <c r="E722" s="72"/>
      <c r="F722" s="102">
        <v>15700</v>
      </c>
      <c r="G722" s="90"/>
      <c r="H722" s="26">
        <f t="shared" si="25"/>
        <v>-2331823.9</v>
      </c>
      <c r="I722" s="25" t="s">
        <v>309</v>
      </c>
      <c r="J722" s="22"/>
      <c r="K722" s="25"/>
      <c r="L722" s="25"/>
      <c r="M722" s="22"/>
    </row>
    <row r="723" spans="1:13">
      <c r="A723" s="14">
        <v>1712</v>
      </c>
      <c r="B723" s="67">
        <v>45070</v>
      </c>
      <c r="C723" s="15">
        <f t="shared" si="26"/>
        <v>45070</v>
      </c>
      <c r="D723" s="22"/>
      <c r="E723" s="72"/>
      <c r="F723" s="102">
        <v>8000</v>
      </c>
      <c r="G723" s="90"/>
      <c r="H723" s="26">
        <f t="shared" si="25"/>
        <v>-2339823.9</v>
      </c>
      <c r="I723" s="25" t="s">
        <v>288</v>
      </c>
      <c r="J723" s="22"/>
      <c r="K723" s="25"/>
      <c r="L723" s="25"/>
      <c r="M723" s="22"/>
    </row>
    <row r="724" spans="1:13">
      <c r="A724" s="14">
        <v>1713</v>
      </c>
      <c r="B724" s="67">
        <v>45072</v>
      </c>
      <c r="C724" s="15">
        <f t="shared" si="26"/>
        <v>45072</v>
      </c>
      <c r="D724" s="22"/>
      <c r="E724" s="72"/>
      <c r="F724" s="102"/>
      <c r="G724" s="90">
        <v>8000</v>
      </c>
      <c r="H724" s="26">
        <f t="shared" si="25"/>
        <v>-2331823.9</v>
      </c>
      <c r="I724" s="25" t="s">
        <v>292</v>
      </c>
      <c r="J724" s="22"/>
      <c r="K724" s="25"/>
      <c r="L724" s="25"/>
      <c r="M724" s="22"/>
    </row>
    <row r="725" spans="1:13">
      <c r="A725" s="14">
        <v>1714</v>
      </c>
      <c r="B725" s="67">
        <v>45072</v>
      </c>
      <c r="C725" s="15">
        <f t="shared" si="26"/>
        <v>45072</v>
      </c>
      <c r="D725" s="22"/>
      <c r="E725" s="72"/>
      <c r="F725" s="102">
        <v>15000</v>
      </c>
      <c r="G725" s="90"/>
      <c r="H725" s="26">
        <f t="shared" si="25"/>
        <v>-2346823.9</v>
      </c>
      <c r="I725" s="25" t="s">
        <v>306</v>
      </c>
      <c r="J725" s="22"/>
      <c r="K725" s="25"/>
      <c r="L725" s="25"/>
      <c r="M725" s="22"/>
    </row>
    <row r="726" spans="1:13">
      <c r="A726" s="14">
        <v>1715</v>
      </c>
      <c r="B726" s="67">
        <v>45072</v>
      </c>
      <c r="C726" s="15">
        <f t="shared" si="26"/>
        <v>45072</v>
      </c>
      <c r="D726" s="22"/>
      <c r="E726" s="72"/>
      <c r="F726" s="102">
        <v>20000</v>
      </c>
      <c r="G726" s="90"/>
      <c r="H726" s="26">
        <f t="shared" si="25"/>
        <v>-2366823.9</v>
      </c>
      <c r="I726" s="25" t="s">
        <v>288</v>
      </c>
      <c r="J726" s="22"/>
      <c r="K726" s="25"/>
      <c r="L726" s="25"/>
      <c r="M726" s="22"/>
    </row>
    <row r="727" spans="1:13">
      <c r="A727" s="14">
        <v>1716</v>
      </c>
      <c r="B727" s="67">
        <v>45075</v>
      </c>
      <c r="C727" s="15">
        <f t="shared" si="26"/>
        <v>45075</v>
      </c>
      <c r="D727" s="22"/>
      <c r="E727" s="72"/>
      <c r="F727" s="102"/>
      <c r="G727" s="90">
        <v>59100</v>
      </c>
      <c r="H727" s="26">
        <f t="shared" si="25"/>
        <v>-2307723.9</v>
      </c>
      <c r="I727" s="25" t="s">
        <v>292</v>
      </c>
      <c r="J727" s="22"/>
      <c r="K727" s="25"/>
      <c r="L727" s="25"/>
      <c r="M727" s="22"/>
    </row>
    <row r="728" spans="1:13">
      <c r="A728" s="14">
        <v>1717</v>
      </c>
      <c r="B728" s="67">
        <v>45075</v>
      </c>
      <c r="C728" s="15">
        <f t="shared" si="26"/>
        <v>45075</v>
      </c>
      <c r="D728" s="22"/>
      <c r="E728" s="72"/>
      <c r="F728" s="102"/>
      <c r="G728" s="90">
        <v>34680</v>
      </c>
      <c r="H728" s="26">
        <f t="shared" si="25"/>
        <v>-2273043.9</v>
      </c>
      <c r="I728" s="25" t="s">
        <v>275</v>
      </c>
      <c r="J728" s="22"/>
      <c r="K728" s="25"/>
      <c r="L728" s="25"/>
      <c r="M728" s="22"/>
    </row>
    <row r="729" spans="1:13">
      <c r="A729" s="14">
        <v>1718</v>
      </c>
      <c r="B729" s="67">
        <v>45076</v>
      </c>
      <c r="C729" s="15">
        <f t="shared" si="26"/>
        <v>45076</v>
      </c>
      <c r="D729" s="22"/>
      <c r="E729" s="71"/>
      <c r="F729" s="102">
        <v>27000</v>
      </c>
      <c r="G729" s="90"/>
      <c r="H729" s="26">
        <f t="shared" si="25"/>
        <v>-2300043.9</v>
      </c>
      <c r="I729" s="25" t="s">
        <v>309</v>
      </c>
      <c r="J729" s="22"/>
      <c r="K729" s="25"/>
      <c r="L729" s="25"/>
      <c r="M729" s="22"/>
    </row>
    <row r="730" spans="1:13">
      <c r="A730" s="14">
        <v>1719</v>
      </c>
      <c r="B730" s="67">
        <v>45076</v>
      </c>
      <c r="C730" s="15">
        <f t="shared" si="26"/>
        <v>45076</v>
      </c>
      <c r="D730" s="22"/>
      <c r="E730" s="71"/>
      <c r="F730" s="102">
        <v>7820</v>
      </c>
      <c r="G730" s="90"/>
      <c r="H730" s="26">
        <f t="shared" si="25"/>
        <v>-2307863.9</v>
      </c>
      <c r="I730" s="25" t="s">
        <v>309</v>
      </c>
      <c r="J730" s="22"/>
      <c r="K730" s="25"/>
      <c r="L730" s="25"/>
      <c r="M730" s="22"/>
    </row>
    <row r="731" spans="1:13">
      <c r="A731" s="14">
        <v>1720</v>
      </c>
      <c r="B731" s="67">
        <v>45077</v>
      </c>
      <c r="C731" s="15">
        <f t="shared" si="26"/>
        <v>45077</v>
      </c>
      <c r="D731" s="22"/>
      <c r="E731" s="71"/>
      <c r="F731" s="102">
        <v>11940</v>
      </c>
      <c r="G731" s="90"/>
      <c r="H731" s="26">
        <f t="shared" si="25"/>
        <v>-2319803.9</v>
      </c>
      <c r="I731" s="25" t="s">
        <v>309</v>
      </c>
      <c r="J731" s="22"/>
      <c r="K731" s="25"/>
      <c r="L731" s="25"/>
      <c r="M731" s="22"/>
    </row>
    <row r="732" spans="1:13">
      <c r="A732" s="14">
        <v>1721</v>
      </c>
      <c r="B732" s="67">
        <v>45078</v>
      </c>
      <c r="C732" s="15">
        <f t="shared" si="26"/>
        <v>45078</v>
      </c>
      <c r="D732" s="22"/>
      <c r="E732" s="72"/>
      <c r="F732" s="102"/>
      <c r="G732" s="90">
        <v>300000</v>
      </c>
      <c r="H732" s="26">
        <f t="shared" si="25"/>
        <v>-2019803.9</v>
      </c>
      <c r="I732" s="25" t="s">
        <v>292</v>
      </c>
      <c r="J732" s="22"/>
      <c r="K732" s="25"/>
      <c r="L732" s="25"/>
      <c r="M732" s="22"/>
    </row>
    <row r="733" spans="1:13">
      <c r="A733" s="14">
        <v>1722</v>
      </c>
      <c r="B733" s="67">
        <v>45078</v>
      </c>
      <c r="C733" s="15">
        <f t="shared" si="26"/>
        <v>45078</v>
      </c>
      <c r="D733" s="22"/>
      <c r="E733" s="71"/>
      <c r="F733" s="102">
        <v>5600</v>
      </c>
      <c r="G733" s="90"/>
      <c r="H733" s="26">
        <f t="shared" si="25"/>
        <v>-2025403.9</v>
      </c>
      <c r="I733" s="25" t="s">
        <v>309</v>
      </c>
      <c r="J733" s="22"/>
      <c r="K733" s="25"/>
      <c r="L733" s="25"/>
      <c r="M733" s="22"/>
    </row>
    <row r="734" spans="1:13">
      <c r="A734" s="14">
        <v>1723</v>
      </c>
      <c r="B734" s="67">
        <v>45078</v>
      </c>
      <c r="C734" s="15">
        <f t="shared" si="26"/>
        <v>45078</v>
      </c>
      <c r="D734" s="22"/>
      <c r="E734" s="71"/>
      <c r="F734" s="102">
        <v>5600</v>
      </c>
      <c r="G734" s="90"/>
      <c r="H734" s="26">
        <f t="shared" si="25"/>
        <v>-2031003.9</v>
      </c>
      <c r="I734" s="25" t="s">
        <v>309</v>
      </c>
      <c r="J734" s="22"/>
      <c r="K734" s="25"/>
      <c r="L734" s="25"/>
      <c r="M734" s="22"/>
    </row>
    <row r="735" spans="1:13">
      <c r="A735" s="14">
        <v>1724</v>
      </c>
      <c r="B735" s="67">
        <v>45078</v>
      </c>
      <c r="C735" s="15">
        <f t="shared" si="26"/>
        <v>45078</v>
      </c>
      <c r="D735" s="22"/>
      <c r="E735" s="73"/>
      <c r="F735" s="102">
        <v>46400</v>
      </c>
      <c r="G735" s="90"/>
      <c r="H735" s="26">
        <f t="shared" si="25"/>
        <v>-2077403.9</v>
      </c>
      <c r="I735" s="25" t="s">
        <v>309</v>
      </c>
      <c r="J735" s="22"/>
      <c r="K735" s="25"/>
      <c r="L735" s="25"/>
      <c r="M735" s="22"/>
    </row>
    <row r="736" spans="1:13">
      <c r="A736" s="14">
        <v>1725</v>
      </c>
      <c r="B736" s="67">
        <v>45078</v>
      </c>
      <c r="C736" s="15">
        <f t="shared" si="26"/>
        <v>45078</v>
      </c>
      <c r="D736" s="22"/>
      <c r="E736" s="71"/>
      <c r="F736" s="102">
        <v>40223</v>
      </c>
      <c r="G736" s="90"/>
      <c r="H736" s="26">
        <f t="shared" si="25"/>
        <v>-2117626.9</v>
      </c>
      <c r="I736" s="25" t="s">
        <v>309</v>
      </c>
      <c r="J736" s="22"/>
      <c r="K736" s="25"/>
      <c r="L736" s="25"/>
      <c r="M736" s="22"/>
    </row>
    <row r="737" spans="1:13">
      <c r="A737" s="14">
        <v>1726</v>
      </c>
      <c r="B737" s="67">
        <v>45078</v>
      </c>
      <c r="C737" s="15">
        <f t="shared" si="26"/>
        <v>45078</v>
      </c>
      <c r="D737" s="22"/>
      <c r="E737" s="71"/>
      <c r="F737" s="102">
        <v>40223</v>
      </c>
      <c r="G737" s="90"/>
      <c r="H737" s="26">
        <f t="shared" si="25"/>
        <v>-2157849.9</v>
      </c>
      <c r="I737" s="25" t="s">
        <v>309</v>
      </c>
      <c r="J737" s="22"/>
      <c r="K737" s="25"/>
      <c r="L737" s="25"/>
      <c r="M737" s="22"/>
    </row>
    <row r="738" spans="1:13">
      <c r="A738" s="14">
        <v>1727</v>
      </c>
      <c r="B738" s="67">
        <v>45079</v>
      </c>
      <c r="C738" s="15">
        <f t="shared" si="26"/>
        <v>45079</v>
      </c>
      <c r="D738" s="22"/>
      <c r="E738" s="72"/>
      <c r="F738" s="102"/>
      <c r="G738" s="90">
        <v>5500</v>
      </c>
      <c r="H738" s="26">
        <f t="shared" si="25"/>
        <v>-2152349.9</v>
      </c>
      <c r="I738" s="25" t="s">
        <v>295</v>
      </c>
      <c r="J738" s="22"/>
      <c r="K738" s="25"/>
      <c r="L738" s="25"/>
      <c r="M738" s="22"/>
    </row>
    <row r="739" spans="1:13">
      <c r="A739" s="14">
        <v>1728</v>
      </c>
      <c r="B739" s="67">
        <v>45079</v>
      </c>
      <c r="C739" s="15">
        <f t="shared" si="26"/>
        <v>45079</v>
      </c>
      <c r="D739" s="22"/>
      <c r="E739" s="72"/>
      <c r="F739" s="102"/>
      <c r="G739" s="90">
        <v>6500</v>
      </c>
      <c r="H739" s="26">
        <f t="shared" si="25"/>
        <v>-2145849.9</v>
      </c>
      <c r="I739" s="25" t="s">
        <v>294</v>
      </c>
      <c r="J739" s="22"/>
      <c r="K739" s="25"/>
      <c r="L739" s="25"/>
      <c r="M739" s="22"/>
    </row>
    <row r="740" spans="1:13">
      <c r="A740" s="14">
        <v>1729</v>
      </c>
      <c r="B740" s="67">
        <v>45079</v>
      </c>
      <c r="C740" s="15">
        <f t="shared" si="26"/>
        <v>45079</v>
      </c>
      <c r="D740" s="22"/>
      <c r="E740" s="72"/>
      <c r="F740" s="102"/>
      <c r="G740" s="90">
        <v>56390</v>
      </c>
      <c r="H740" s="26">
        <f t="shared" si="25"/>
        <v>-2089459.9</v>
      </c>
      <c r="I740" s="25" t="s">
        <v>287</v>
      </c>
      <c r="J740" s="22"/>
      <c r="K740" s="25"/>
      <c r="L740" s="25"/>
      <c r="M740" s="22"/>
    </row>
    <row r="741" spans="1:13">
      <c r="A741" s="14">
        <v>1730</v>
      </c>
      <c r="B741" s="67">
        <v>45079</v>
      </c>
      <c r="C741" s="15">
        <f t="shared" si="26"/>
        <v>45079</v>
      </c>
      <c r="D741" s="22"/>
      <c r="E741" s="72"/>
      <c r="F741" s="102"/>
      <c r="G741" s="90">
        <v>102250</v>
      </c>
      <c r="H741" s="26">
        <f t="shared" si="25"/>
        <v>-1987209.9</v>
      </c>
      <c r="I741" s="25" t="s">
        <v>275</v>
      </c>
      <c r="J741" s="22"/>
      <c r="K741" s="25"/>
      <c r="L741" s="25"/>
      <c r="M741" s="22"/>
    </row>
    <row r="742" spans="1:13">
      <c r="A742" s="14">
        <v>1731</v>
      </c>
      <c r="B742" s="67">
        <v>45079</v>
      </c>
      <c r="C742" s="15">
        <f t="shared" si="26"/>
        <v>45079</v>
      </c>
      <c r="D742" s="22"/>
      <c r="E742" s="72"/>
      <c r="F742" s="102">
        <v>15000</v>
      </c>
      <c r="G742" s="90"/>
      <c r="H742" s="26">
        <f t="shared" si="25"/>
        <v>-2002209.9</v>
      </c>
      <c r="I742" s="25" t="s">
        <v>306</v>
      </c>
      <c r="J742" s="22"/>
      <c r="K742" s="25"/>
      <c r="L742" s="25"/>
      <c r="M742" s="22"/>
    </row>
    <row r="743" spans="1:13">
      <c r="A743" s="14">
        <v>1732</v>
      </c>
      <c r="B743" s="67">
        <v>45082</v>
      </c>
      <c r="C743" s="15">
        <f t="shared" si="26"/>
        <v>45082</v>
      </c>
      <c r="D743" s="22"/>
      <c r="E743" s="72"/>
      <c r="F743" s="102">
        <v>15000</v>
      </c>
      <c r="G743" s="90"/>
      <c r="H743" s="26">
        <f t="shared" si="25"/>
        <v>-2017209.9</v>
      </c>
      <c r="I743" s="25" t="s">
        <v>306</v>
      </c>
      <c r="J743" s="22"/>
      <c r="K743" s="25"/>
      <c r="L743" s="25"/>
      <c r="M743" s="22"/>
    </row>
    <row r="744" spans="1:13">
      <c r="A744" s="14">
        <v>1733</v>
      </c>
      <c r="B744" s="67">
        <v>45082</v>
      </c>
      <c r="C744" s="15">
        <f t="shared" si="26"/>
        <v>45082</v>
      </c>
      <c r="D744" s="22"/>
      <c r="E744" s="72"/>
      <c r="F744" s="102">
        <v>8000</v>
      </c>
      <c r="G744" s="90"/>
      <c r="H744" s="26">
        <f t="shared" si="25"/>
        <v>-2025209.9</v>
      </c>
      <c r="I744" s="25" t="s">
        <v>309</v>
      </c>
      <c r="J744" s="22"/>
      <c r="K744" s="25"/>
      <c r="L744" s="25"/>
      <c r="M744" s="22"/>
    </row>
    <row r="745" spans="1:13">
      <c r="A745" s="14">
        <v>1734</v>
      </c>
      <c r="B745" s="67">
        <v>45082</v>
      </c>
      <c r="C745" s="15">
        <f t="shared" si="26"/>
        <v>45082</v>
      </c>
      <c r="D745" s="22"/>
      <c r="E745" s="71"/>
      <c r="F745" s="102">
        <v>20</v>
      </c>
      <c r="G745" s="90"/>
      <c r="H745" s="26">
        <f t="shared" si="25"/>
        <v>-2025229.9</v>
      </c>
      <c r="I745" s="25" t="s">
        <v>264</v>
      </c>
      <c r="J745" s="22"/>
      <c r="K745" s="25"/>
      <c r="L745" s="25"/>
      <c r="M745" s="22"/>
    </row>
    <row r="746" spans="1:13">
      <c r="A746" s="14">
        <v>1735</v>
      </c>
      <c r="B746" s="67">
        <v>45082</v>
      </c>
      <c r="C746" s="15">
        <f t="shared" si="26"/>
        <v>45082</v>
      </c>
      <c r="D746" s="22"/>
      <c r="E746" s="71"/>
      <c r="F746" s="102">
        <v>1.5</v>
      </c>
      <c r="G746" s="90"/>
      <c r="H746" s="26">
        <f t="shared" si="25"/>
        <v>-2025231.4</v>
      </c>
      <c r="I746" s="25" t="s">
        <v>264</v>
      </c>
      <c r="J746" s="22"/>
      <c r="K746" s="25"/>
      <c r="L746" s="25"/>
      <c r="M746" s="22"/>
    </row>
    <row r="747" spans="1:13">
      <c r="A747" s="14">
        <v>1736</v>
      </c>
      <c r="B747" s="67">
        <v>45082</v>
      </c>
      <c r="C747" s="15">
        <f t="shared" si="26"/>
        <v>45082</v>
      </c>
      <c r="D747" s="22"/>
      <c r="E747" s="72"/>
      <c r="F747" s="102">
        <v>47000</v>
      </c>
      <c r="G747" s="90"/>
      <c r="H747" s="26">
        <f t="shared" si="25"/>
        <v>-2072231.4</v>
      </c>
      <c r="I747" s="25" t="s">
        <v>309</v>
      </c>
      <c r="J747" s="22"/>
      <c r="K747" s="25"/>
      <c r="L747" s="25"/>
      <c r="M747" s="22"/>
    </row>
    <row r="748" spans="1:13">
      <c r="A748" s="14">
        <v>1737</v>
      </c>
      <c r="B748" s="67">
        <v>45082</v>
      </c>
      <c r="C748" s="15">
        <f t="shared" si="26"/>
        <v>45082</v>
      </c>
      <c r="D748" s="22"/>
      <c r="E748" s="72"/>
      <c r="F748" s="102">
        <v>25</v>
      </c>
      <c r="G748" s="90"/>
      <c r="H748" s="26">
        <f t="shared" ref="H748:H811" si="27">IFERROR(H747-F748+G748,"")</f>
        <v>-2072256.4</v>
      </c>
      <c r="I748" s="25" t="s">
        <v>264</v>
      </c>
      <c r="J748" s="22"/>
      <c r="K748" s="25"/>
      <c r="L748" s="25"/>
      <c r="M748" s="22"/>
    </row>
    <row r="749" spans="1:13">
      <c r="A749" s="14">
        <v>1738</v>
      </c>
      <c r="B749" s="67">
        <v>45082</v>
      </c>
      <c r="C749" s="15">
        <f t="shared" si="26"/>
        <v>45082</v>
      </c>
      <c r="D749" s="22"/>
      <c r="E749" s="72"/>
      <c r="F749" s="102">
        <v>1.87</v>
      </c>
      <c r="G749" s="90"/>
      <c r="H749" s="26">
        <f t="shared" si="27"/>
        <v>-2072258.27</v>
      </c>
      <c r="I749" s="25" t="s">
        <v>264</v>
      </c>
      <c r="J749" s="22"/>
      <c r="K749" s="25"/>
      <c r="L749" s="25"/>
      <c r="M749" s="22"/>
    </row>
    <row r="750" spans="1:13">
      <c r="A750" s="14">
        <v>1739</v>
      </c>
      <c r="B750" s="67">
        <v>45082</v>
      </c>
      <c r="C750" s="15">
        <f t="shared" si="26"/>
        <v>45082</v>
      </c>
      <c r="D750" s="22"/>
      <c r="E750" s="72"/>
      <c r="F750" s="102">
        <v>20000</v>
      </c>
      <c r="G750" s="90"/>
      <c r="H750" s="26">
        <f t="shared" si="27"/>
        <v>-2092258.27</v>
      </c>
      <c r="I750" s="25" t="s">
        <v>288</v>
      </c>
      <c r="J750" s="22"/>
      <c r="K750" s="25"/>
      <c r="L750" s="25"/>
      <c r="M750" s="22"/>
    </row>
    <row r="751" spans="1:13">
      <c r="A751" s="14">
        <v>1740</v>
      </c>
      <c r="B751" s="67">
        <v>45083</v>
      </c>
      <c r="C751" s="15">
        <f t="shared" si="26"/>
        <v>45083</v>
      </c>
      <c r="D751" s="22"/>
      <c r="E751" s="72"/>
      <c r="F751" s="102">
        <v>20000</v>
      </c>
      <c r="G751" s="90"/>
      <c r="H751" s="26">
        <f t="shared" si="27"/>
        <v>-2112258.27</v>
      </c>
      <c r="I751" s="25" t="s">
        <v>288</v>
      </c>
      <c r="J751" s="22"/>
      <c r="K751" s="25"/>
      <c r="L751" s="25"/>
      <c r="M751" s="22"/>
    </row>
    <row r="752" spans="1:13">
      <c r="A752" s="14">
        <v>1741</v>
      </c>
      <c r="B752" s="67">
        <v>45083</v>
      </c>
      <c r="C752" s="15">
        <f t="shared" si="26"/>
        <v>45083</v>
      </c>
      <c r="D752" s="22"/>
      <c r="E752" s="72"/>
      <c r="F752" s="102">
        <v>25200</v>
      </c>
      <c r="G752" s="90"/>
      <c r="H752" s="26">
        <f t="shared" si="27"/>
        <v>-2137458.27</v>
      </c>
      <c r="I752" s="25" t="s">
        <v>306</v>
      </c>
      <c r="J752" s="22"/>
      <c r="K752" s="25"/>
      <c r="L752" s="25"/>
      <c r="M752" s="22"/>
    </row>
    <row r="753" spans="1:13">
      <c r="A753" s="14">
        <v>1742</v>
      </c>
      <c r="B753" s="67">
        <v>45083</v>
      </c>
      <c r="C753" s="15">
        <f t="shared" si="26"/>
        <v>45083</v>
      </c>
      <c r="D753" s="22"/>
      <c r="E753" s="71"/>
      <c r="F753" s="102">
        <v>16000</v>
      </c>
      <c r="G753" s="90"/>
      <c r="H753" s="26">
        <f t="shared" si="27"/>
        <v>-2153458.27</v>
      </c>
      <c r="I753" s="25" t="s">
        <v>306</v>
      </c>
      <c r="J753" s="22"/>
      <c r="K753" s="25"/>
      <c r="L753" s="25"/>
      <c r="M753" s="22"/>
    </row>
    <row r="754" spans="1:13">
      <c r="A754" s="14">
        <v>1743</v>
      </c>
      <c r="B754" s="67">
        <v>45083</v>
      </c>
      <c r="C754" s="15">
        <f t="shared" si="26"/>
        <v>45083</v>
      </c>
      <c r="D754" s="22"/>
      <c r="E754" s="71"/>
      <c r="F754" s="102">
        <v>14370</v>
      </c>
      <c r="G754" s="90"/>
      <c r="H754" s="26">
        <f t="shared" si="27"/>
        <v>-2167828.27</v>
      </c>
      <c r="I754" s="25" t="s">
        <v>309</v>
      </c>
      <c r="J754" s="22"/>
      <c r="K754" s="25"/>
      <c r="L754" s="25"/>
      <c r="M754" s="22"/>
    </row>
    <row r="755" spans="1:13">
      <c r="A755" s="14">
        <v>1744</v>
      </c>
      <c r="B755" s="67">
        <v>45084</v>
      </c>
      <c r="C755" s="15">
        <f t="shared" si="26"/>
        <v>45084</v>
      </c>
      <c r="D755" s="22"/>
      <c r="E755" s="72"/>
      <c r="F755" s="102">
        <v>15000</v>
      </c>
      <c r="G755" s="90"/>
      <c r="H755" s="26">
        <f t="shared" si="27"/>
        <v>-2182828.27</v>
      </c>
      <c r="I755" s="25" t="s">
        <v>306</v>
      </c>
      <c r="J755" s="22"/>
      <c r="K755" s="25"/>
      <c r="L755" s="25"/>
      <c r="M755" s="22"/>
    </row>
    <row r="756" spans="1:13">
      <c r="A756" s="14">
        <v>1745</v>
      </c>
      <c r="B756" s="67">
        <v>45084</v>
      </c>
      <c r="C756" s="15">
        <f t="shared" si="26"/>
        <v>45084</v>
      </c>
      <c r="D756" s="22"/>
      <c r="E756" s="101"/>
      <c r="F756" s="102">
        <v>20000</v>
      </c>
      <c r="G756" s="90"/>
      <c r="H756" s="26">
        <f t="shared" si="27"/>
        <v>-2202828.27</v>
      </c>
      <c r="I756" s="25" t="s">
        <v>288</v>
      </c>
      <c r="J756" s="22"/>
      <c r="K756" s="25"/>
      <c r="L756" s="25"/>
      <c r="M756" s="22"/>
    </row>
    <row r="757" spans="1:13">
      <c r="A757" s="14">
        <v>1746</v>
      </c>
      <c r="B757" s="67">
        <v>45084</v>
      </c>
      <c r="C757" s="15">
        <f t="shared" si="26"/>
        <v>45084</v>
      </c>
      <c r="D757" s="22"/>
      <c r="E757" s="71"/>
      <c r="F757" s="102">
        <v>6300</v>
      </c>
      <c r="G757" s="90"/>
      <c r="H757" s="26">
        <f t="shared" si="27"/>
        <v>-2209128.27</v>
      </c>
      <c r="I757" s="25" t="s">
        <v>309</v>
      </c>
      <c r="J757" s="22"/>
      <c r="K757" s="25"/>
      <c r="L757" s="25"/>
      <c r="M757" s="22"/>
    </row>
    <row r="758" spans="1:13">
      <c r="A758" s="14">
        <v>1747</v>
      </c>
      <c r="B758" s="67">
        <v>45084</v>
      </c>
      <c r="C758" s="15">
        <f t="shared" si="26"/>
        <v>45084</v>
      </c>
      <c r="D758" s="22"/>
      <c r="E758" s="71"/>
      <c r="F758" s="102">
        <v>6300</v>
      </c>
      <c r="G758" s="90"/>
      <c r="H758" s="26">
        <f t="shared" si="27"/>
        <v>-2215428.27</v>
      </c>
      <c r="I758" s="25" t="s">
        <v>309</v>
      </c>
      <c r="J758" s="22"/>
      <c r="K758" s="25"/>
      <c r="L758" s="25"/>
      <c r="M758" s="22"/>
    </row>
    <row r="759" spans="1:13">
      <c r="A759" s="14">
        <v>1748</v>
      </c>
      <c r="B759" s="67">
        <v>45085</v>
      </c>
      <c r="C759" s="15">
        <f t="shared" ref="C759:C800" si="28">B759</f>
        <v>45085</v>
      </c>
      <c r="D759" s="22"/>
      <c r="E759" s="71"/>
      <c r="F759" s="102">
        <v>36500</v>
      </c>
      <c r="G759" s="90"/>
      <c r="H759" s="26">
        <f t="shared" si="27"/>
        <v>-2251928.27</v>
      </c>
      <c r="I759" s="25" t="s">
        <v>285</v>
      </c>
      <c r="J759" s="22"/>
      <c r="K759" s="25"/>
      <c r="L759" s="25"/>
      <c r="M759" s="22"/>
    </row>
    <row r="760" spans="1:13">
      <c r="A760" s="14">
        <v>1749</v>
      </c>
      <c r="B760" s="67">
        <v>45085</v>
      </c>
      <c r="C760" s="15">
        <f t="shared" si="28"/>
        <v>45085</v>
      </c>
      <c r="D760" s="22"/>
      <c r="E760" s="72"/>
      <c r="F760" s="102">
        <v>20000</v>
      </c>
      <c r="G760" s="90"/>
      <c r="H760" s="26">
        <f t="shared" si="27"/>
        <v>-2271928.27</v>
      </c>
      <c r="I760" s="25" t="s">
        <v>288</v>
      </c>
      <c r="J760" s="22"/>
      <c r="K760" s="25"/>
      <c r="L760" s="25"/>
      <c r="M760" s="22"/>
    </row>
    <row r="761" spans="1:13">
      <c r="A761" s="14">
        <v>1750</v>
      </c>
      <c r="B761" s="67">
        <v>45086</v>
      </c>
      <c r="C761" s="15">
        <f t="shared" si="28"/>
        <v>45086</v>
      </c>
      <c r="D761" s="22"/>
      <c r="E761" s="71"/>
      <c r="F761" s="102">
        <v>2500</v>
      </c>
      <c r="G761" s="90"/>
      <c r="H761" s="26">
        <f t="shared" si="27"/>
        <v>-2274428.27</v>
      </c>
      <c r="I761" s="25" t="s">
        <v>309</v>
      </c>
      <c r="J761" s="22"/>
      <c r="K761" s="25"/>
      <c r="L761" s="25"/>
      <c r="M761" s="22"/>
    </row>
    <row r="762" spans="1:13">
      <c r="A762" s="14">
        <v>1751</v>
      </c>
      <c r="B762" s="67">
        <v>45086</v>
      </c>
      <c r="C762" s="15">
        <f t="shared" si="28"/>
        <v>45086</v>
      </c>
      <c r="D762" s="22"/>
      <c r="E762" s="72"/>
      <c r="F762" s="102">
        <v>20000</v>
      </c>
      <c r="G762" s="90"/>
      <c r="H762" s="26">
        <f t="shared" si="27"/>
        <v>-2294428.27</v>
      </c>
      <c r="I762" s="25" t="s">
        <v>288</v>
      </c>
      <c r="J762" s="22"/>
      <c r="K762" s="25"/>
      <c r="L762" s="25"/>
      <c r="M762" s="22"/>
    </row>
    <row r="763" spans="1:13">
      <c r="A763" s="14">
        <v>1752</v>
      </c>
      <c r="B763" s="67">
        <v>45088</v>
      </c>
      <c r="C763" s="15">
        <f t="shared" si="28"/>
        <v>45088</v>
      </c>
      <c r="D763" s="22"/>
      <c r="E763" s="71"/>
      <c r="F763" s="102">
        <v>20000</v>
      </c>
      <c r="G763" s="90"/>
      <c r="H763" s="26">
        <f t="shared" si="27"/>
        <v>-2314428.27</v>
      </c>
      <c r="I763" s="25" t="s">
        <v>288</v>
      </c>
      <c r="J763" s="22"/>
      <c r="K763" s="25"/>
      <c r="L763" s="25"/>
      <c r="M763" s="22"/>
    </row>
    <row r="764" spans="1:13">
      <c r="A764" s="14">
        <v>1753</v>
      </c>
      <c r="B764" s="67">
        <v>45089</v>
      </c>
      <c r="C764" s="15">
        <f t="shared" si="28"/>
        <v>45089</v>
      </c>
      <c r="D764" s="22"/>
      <c r="E764" s="72"/>
      <c r="F764" s="102">
        <v>15000</v>
      </c>
      <c r="G764" s="90"/>
      <c r="H764" s="26">
        <f t="shared" si="27"/>
        <v>-2329428.27</v>
      </c>
      <c r="I764" s="25" t="s">
        <v>306</v>
      </c>
      <c r="J764" s="22"/>
      <c r="K764" s="25"/>
      <c r="L764" s="25"/>
      <c r="M764" s="22"/>
    </row>
    <row r="765" spans="1:13">
      <c r="A765" s="14">
        <v>1754</v>
      </c>
      <c r="B765" s="67">
        <v>45090</v>
      </c>
      <c r="C765" s="15">
        <f t="shared" si="28"/>
        <v>45090</v>
      </c>
      <c r="D765" s="22"/>
      <c r="E765" s="72"/>
      <c r="F765" s="102">
        <v>20000</v>
      </c>
      <c r="G765" s="90"/>
      <c r="H765" s="26">
        <f t="shared" si="27"/>
        <v>-2349428.27</v>
      </c>
      <c r="I765" s="25" t="s">
        <v>288</v>
      </c>
      <c r="J765" s="22"/>
      <c r="K765" s="25"/>
      <c r="L765" s="25"/>
      <c r="M765" s="22"/>
    </row>
    <row r="766" spans="1:13">
      <c r="A766" s="14">
        <v>1755</v>
      </c>
      <c r="B766" s="67">
        <v>45090</v>
      </c>
      <c r="C766" s="15">
        <f t="shared" si="28"/>
        <v>45090</v>
      </c>
      <c r="D766" s="22"/>
      <c r="E766" s="71"/>
      <c r="F766" s="102">
        <v>5910</v>
      </c>
      <c r="G766" s="90"/>
      <c r="H766" s="26">
        <f t="shared" si="27"/>
        <v>-2355338.27</v>
      </c>
      <c r="I766" s="25" t="s">
        <v>309</v>
      </c>
      <c r="J766" s="22"/>
      <c r="K766" s="25"/>
      <c r="L766" s="25"/>
      <c r="M766" s="22"/>
    </row>
    <row r="767" spans="1:13">
      <c r="A767" s="14">
        <v>1756</v>
      </c>
      <c r="B767" s="67">
        <v>45091</v>
      </c>
      <c r="C767" s="15">
        <f t="shared" si="28"/>
        <v>45091</v>
      </c>
      <c r="D767" s="22"/>
      <c r="E767" s="72"/>
      <c r="F767" s="102">
        <v>20000</v>
      </c>
      <c r="G767" s="90"/>
      <c r="H767" s="26">
        <f t="shared" si="27"/>
        <v>-2375338.27</v>
      </c>
      <c r="I767" s="25" t="s">
        <v>288</v>
      </c>
      <c r="J767" s="22"/>
      <c r="K767" s="25"/>
      <c r="L767" s="25"/>
      <c r="M767" s="22"/>
    </row>
    <row r="768" spans="1:13">
      <c r="A768" s="14">
        <v>1757</v>
      </c>
      <c r="B768" s="67">
        <v>45091</v>
      </c>
      <c r="C768" s="15">
        <f t="shared" si="28"/>
        <v>45091</v>
      </c>
      <c r="D768" s="22"/>
      <c r="E768" s="72"/>
      <c r="F768" s="102"/>
      <c r="G768" s="90">
        <v>20000</v>
      </c>
      <c r="H768" s="26">
        <f t="shared" si="27"/>
        <v>-2355338.27</v>
      </c>
      <c r="I768" s="25" t="s">
        <v>307</v>
      </c>
      <c r="J768" s="22"/>
      <c r="K768" s="25"/>
      <c r="L768" s="25"/>
      <c r="M768" s="22"/>
    </row>
    <row r="769" spans="1:13">
      <c r="A769" s="14">
        <v>1758</v>
      </c>
      <c r="B769" s="67">
        <v>45091</v>
      </c>
      <c r="C769" s="15">
        <f t="shared" si="28"/>
        <v>45091</v>
      </c>
      <c r="D769" s="22"/>
      <c r="E769" s="72"/>
      <c r="F769" s="102"/>
      <c r="G769" s="90">
        <v>20000</v>
      </c>
      <c r="H769" s="26">
        <f t="shared" si="27"/>
        <v>-2335338.27</v>
      </c>
      <c r="I769" s="25" t="s">
        <v>307</v>
      </c>
      <c r="J769" s="22"/>
      <c r="K769" s="25"/>
      <c r="L769" s="25"/>
      <c r="M769" s="22"/>
    </row>
    <row r="770" spans="1:13">
      <c r="A770" s="14">
        <v>1759</v>
      </c>
      <c r="B770" s="67">
        <v>45091</v>
      </c>
      <c r="C770" s="15">
        <f t="shared" si="28"/>
        <v>45091</v>
      </c>
      <c r="D770" s="22"/>
      <c r="E770" s="72"/>
      <c r="F770" s="102">
        <v>20000</v>
      </c>
      <c r="G770" s="90"/>
      <c r="H770" s="26">
        <f t="shared" si="27"/>
        <v>-2355338.27</v>
      </c>
      <c r="I770" s="25" t="s">
        <v>288</v>
      </c>
      <c r="J770" s="22"/>
      <c r="K770" s="25"/>
      <c r="L770" s="25"/>
      <c r="M770" s="22"/>
    </row>
    <row r="771" spans="1:13">
      <c r="A771" s="14">
        <v>1760</v>
      </c>
      <c r="B771" s="67">
        <v>45091</v>
      </c>
      <c r="C771" s="15">
        <f t="shared" si="28"/>
        <v>45091</v>
      </c>
      <c r="D771" s="22"/>
      <c r="E771" s="72"/>
      <c r="F771" s="102">
        <v>10000</v>
      </c>
      <c r="G771" s="90"/>
      <c r="H771" s="26">
        <f t="shared" si="27"/>
        <v>-2365338.27</v>
      </c>
      <c r="I771" s="25" t="s">
        <v>288</v>
      </c>
      <c r="J771" s="22"/>
      <c r="K771" s="25"/>
      <c r="L771" s="25"/>
      <c r="M771" s="22"/>
    </row>
    <row r="772" spans="1:13">
      <c r="A772" s="14">
        <v>1761</v>
      </c>
      <c r="B772" s="67">
        <v>45091</v>
      </c>
      <c r="C772" s="15">
        <f t="shared" si="28"/>
        <v>45091</v>
      </c>
      <c r="D772" s="22"/>
      <c r="E772" s="71"/>
      <c r="F772" s="102">
        <v>6300</v>
      </c>
      <c r="G772" s="90"/>
      <c r="H772" s="26">
        <f t="shared" si="27"/>
        <v>-2371638.27</v>
      </c>
      <c r="I772" s="25" t="s">
        <v>309</v>
      </c>
      <c r="J772" s="22"/>
      <c r="K772" s="25"/>
      <c r="L772" s="25"/>
      <c r="M772" s="22"/>
    </row>
    <row r="773" spans="1:13">
      <c r="A773" s="14">
        <v>1762</v>
      </c>
      <c r="B773" s="67">
        <v>45092</v>
      </c>
      <c r="C773" s="15">
        <f t="shared" si="28"/>
        <v>45092</v>
      </c>
      <c r="D773" s="22"/>
      <c r="E773" s="72"/>
      <c r="F773" s="102">
        <v>20000</v>
      </c>
      <c r="G773" s="90"/>
      <c r="H773" s="26">
        <f t="shared" si="27"/>
        <v>-2391638.27</v>
      </c>
      <c r="I773" s="25" t="s">
        <v>288</v>
      </c>
      <c r="J773" s="22"/>
      <c r="K773" s="25"/>
      <c r="L773" s="25"/>
      <c r="M773" s="22"/>
    </row>
    <row r="774" spans="1:13">
      <c r="A774" s="14">
        <v>1763</v>
      </c>
      <c r="B774" s="67">
        <v>45092</v>
      </c>
      <c r="C774" s="15">
        <f t="shared" si="28"/>
        <v>45092</v>
      </c>
      <c r="D774" s="22"/>
      <c r="E774" s="72"/>
      <c r="F774" s="102">
        <v>15000</v>
      </c>
      <c r="G774" s="90"/>
      <c r="H774" s="26">
        <f t="shared" si="27"/>
        <v>-2406638.27</v>
      </c>
      <c r="I774" s="25" t="s">
        <v>306</v>
      </c>
      <c r="J774" s="22"/>
      <c r="K774" s="25"/>
      <c r="L774" s="25"/>
      <c r="M774" s="22"/>
    </row>
    <row r="775" spans="1:13">
      <c r="A775" s="14">
        <v>1764</v>
      </c>
      <c r="B775" s="67">
        <v>45093</v>
      </c>
      <c r="C775" s="15">
        <f t="shared" si="28"/>
        <v>45093</v>
      </c>
      <c r="D775" s="22"/>
      <c r="E775" s="71"/>
      <c r="F775" s="102"/>
      <c r="G775" s="90">
        <v>40223</v>
      </c>
      <c r="H775" s="26">
        <f t="shared" si="27"/>
        <v>-2366415.27</v>
      </c>
      <c r="I775" s="25" t="s">
        <v>309</v>
      </c>
      <c r="J775" s="22"/>
      <c r="K775" s="25"/>
      <c r="L775" s="25"/>
      <c r="M775" s="22"/>
    </row>
    <row r="776" spans="1:13">
      <c r="A776" s="14">
        <v>1765</v>
      </c>
      <c r="B776" s="67">
        <v>45096</v>
      </c>
      <c r="C776" s="15">
        <f t="shared" si="28"/>
        <v>45096</v>
      </c>
      <c r="D776" s="22"/>
      <c r="E776" s="72"/>
      <c r="F776" s="102">
        <v>15000</v>
      </c>
      <c r="G776" s="90"/>
      <c r="H776" s="26">
        <f t="shared" si="27"/>
        <v>-2381415.27</v>
      </c>
      <c r="I776" s="25" t="s">
        <v>306</v>
      </c>
      <c r="J776" s="22"/>
      <c r="K776" s="25"/>
      <c r="L776" s="25"/>
      <c r="M776" s="22"/>
    </row>
    <row r="777" spans="1:13">
      <c r="A777" s="14">
        <v>1766</v>
      </c>
      <c r="B777" s="67">
        <v>45096</v>
      </c>
      <c r="C777" s="15">
        <f t="shared" si="28"/>
        <v>45096</v>
      </c>
      <c r="D777" s="22"/>
      <c r="E777" s="72"/>
      <c r="F777" s="102">
        <v>10000</v>
      </c>
      <c r="G777" s="90"/>
      <c r="H777" s="26">
        <f t="shared" si="27"/>
        <v>-2391415.27</v>
      </c>
      <c r="I777" s="25" t="s">
        <v>288</v>
      </c>
      <c r="J777" s="22"/>
      <c r="K777" s="25"/>
      <c r="L777" s="25"/>
      <c r="M777" s="22"/>
    </row>
    <row r="778" spans="1:13">
      <c r="A778" s="14">
        <v>1767</v>
      </c>
      <c r="B778" s="67">
        <v>45096</v>
      </c>
      <c r="C778" s="15">
        <f t="shared" si="28"/>
        <v>45096</v>
      </c>
      <c r="D778" s="22"/>
      <c r="E778" s="72"/>
      <c r="F778" s="102">
        <v>3500</v>
      </c>
      <c r="G778" s="90"/>
      <c r="H778" s="26">
        <f t="shared" si="27"/>
        <v>-2394915.27</v>
      </c>
      <c r="I778" s="25" t="s">
        <v>309</v>
      </c>
      <c r="J778" s="22"/>
      <c r="K778" s="25"/>
      <c r="L778" s="25"/>
      <c r="M778" s="22"/>
    </row>
    <row r="779" spans="1:13">
      <c r="A779" s="14">
        <v>1768</v>
      </c>
      <c r="B779" s="67">
        <v>45096</v>
      </c>
      <c r="C779" s="15">
        <f t="shared" si="28"/>
        <v>45096</v>
      </c>
      <c r="D779" s="22"/>
      <c r="E779" s="71"/>
      <c r="F779" s="102">
        <v>20</v>
      </c>
      <c r="G779" s="90"/>
      <c r="H779" s="26">
        <f t="shared" si="27"/>
        <v>-2394935.27</v>
      </c>
      <c r="I779" s="25" t="s">
        <v>264</v>
      </c>
      <c r="J779" s="22"/>
      <c r="K779" s="25"/>
      <c r="L779" s="25"/>
      <c r="M779" s="22"/>
    </row>
    <row r="780" spans="1:13">
      <c r="A780" s="14">
        <v>1769</v>
      </c>
      <c r="B780" s="67">
        <v>45096</v>
      </c>
      <c r="C780" s="15">
        <f t="shared" si="28"/>
        <v>45096</v>
      </c>
      <c r="D780" s="22"/>
      <c r="E780" s="71"/>
      <c r="F780" s="102">
        <v>1.5</v>
      </c>
      <c r="G780" s="90"/>
      <c r="H780" s="26">
        <f t="shared" si="27"/>
        <v>-2394936.77</v>
      </c>
      <c r="I780" s="25" t="s">
        <v>264</v>
      </c>
      <c r="J780" s="22"/>
      <c r="K780" s="25"/>
      <c r="L780" s="25"/>
      <c r="M780" s="22"/>
    </row>
    <row r="781" spans="1:13">
      <c r="A781" s="14">
        <v>1770</v>
      </c>
      <c r="B781" s="67">
        <v>45096</v>
      </c>
      <c r="C781" s="15">
        <f t="shared" si="28"/>
        <v>45096</v>
      </c>
      <c r="D781" s="22"/>
      <c r="E781" s="72"/>
      <c r="F781" s="102">
        <v>50900</v>
      </c>
      <c r="G781" s="90"/>
      <c r="H781" s="26">
        <f t="shared" si="27"/>
        <v>-2445836.77</v>
      </c>
      <c r="I781" s="25" t="s">
        <v>309</v>
      </c>
      <c r="J781" s="22"/>
      <c r="K781" s="25"/>
      <c r="L781" s="25"/>
      <c r="M781" s="22"/>
    </row>
    <row r="782" spans="1:13">
      <c r="A782" s="14">
        <v>1771</v>
      </c>
      <c r="B782" s="67">
        <v>45097</v>
      </c>
      <c r="C782" s="15">
        <f t="shared" si="28"/>
        <v>45097</v>
      </c>
      <c r="D782" s="22"/>
      <c r="E782" s="72"/>
      <c r="F782" s="102">
        <v>15000</v>
      </c>
      <c r="G782" s="90"/>
      <c r="H782" s="26">
        <f t="shared" si="27"/>
        <v>-2460836.77</v>
      </c>
      <c r="I782" s="25" t="s">
        <v>306</v>
      </c>
      <c r="J782" s="22"/>
      <c r="K782" s="25"/>
      <c r="L782" s="25"/>
      <c r="M782" s="22"/>
    </row>
    <row r="783" spans="1:13">
      <c r="A783" s="14">
        <v>1772</v>
      </c>
      <c r="B783" s="67">
        <v>45097</v>
      </c>
      <c r="C783" s="15">
        <f t="shared" si="28"/>
        <v>45097</v>
      </c>
      <c r="D783" s="22"/>
      <c r="E783" s="72"/>
      <c r="F783" s="102">
        <v>20000</v>
      </c>
      <c r="G783" s="90"/>
      <c r="H783" s="26">
        <f t="shared" si="27"/>
        <v>-2480836.77</v>
      </c>
      <c r="I783" s="25" t="s">
        <v>288</v>
      </c>
      <c r="J783" s="22"/>
      <c r="K783" s="25"/>
      <c r="L783" s="25"/>
      <c r="M783" s="22"/>
    </row>
    <row r="784" spans="1:13">
      <c r="A784" s="14">
        <v>1773</v>
      </c>
      <c r="B784" s="67">
        <v>45099</v>
      </c>
      <c r="C784" s="15">
        <f t="shared" si="28"/>
        <v>45099</v>
      </c>
      <c r="D784" s="22"/>
      <c r="E784" s="72"/>
      <c r="F784" s="102">
        <v>20000</v>
      </c>
      <c r="G784" s="90"/>
      <c r="H784" s="26">
        <f t="shared" si="27"/>
        <v>-2500836.77</v>
      </c>
      <c r="I784" s="25" t="s">
        <v>288</v>
      </c>
      <c r="J784" s="22"/>
      <c r="K784" s="25"/>
      <c r="L784" s="25"/>
      <c r="M784" s="22"/>
    </row>
    <row r="785" spans="1:13">
      <c r="A785" s="14">
        <v>1774</v>
      </c>
      <c r="B785" s="67">
        <v>45099</v>
      </c>
      <c r="C785" s="15">
        <f t="shared" si="28"/>
        <v>45099</v>
      </c>
      <c r="D785" s="22"/>
      <c r="E785" s="72"/>
      <c r="F785" s="102">
        <v>6300</v>
      </c>
      <c r="G785" s="90"/>
      <c r="H785" s="26">
        <f t="shared" si="27"/>
        <v>-2507136.77</v>
      </c>
      <c r="I785" s="25" t="s">
        <v>309</v>
      </c>
      <c r="J785" s="22"/>
      <c r="K785" s="25"/>
      <c r="L785" s="25"/>
      <c r="M785" s="22"/>
    </row>
    <row r="786" spans="1:13">
      <c r="A786" s="14">
        <v>1775</v>
      </c>
      <c r="B786" s="67">
        <v>45101</v>
      </c>
      <c r="C786" s="15">
        <f t="shared" si="28"/>
        <v>45101</v>
      </c>
      <c r="D786" s="22"/>
      <c r="E786" s="72"/>
      <c r="F786" s="102">
        <v>15000</v>
      </c>
      <c r="G786" s="90"/>
      <c r="H786" s="26">
        <f t="shared" si="27"/>
        <v>-2522136.77</v>
      </c>
      <c r="I786" s="25" t="s">
        <v>306</v>
      </c>
      <c r="J786" s="22"/>
      <c r="K786" s="25"/>
      <c r="L786" s="25"/>
      <c r="M786" s="22"/>
    </row>
    <row r="787" spans="1:13">
      <c r="A787" s="14">
        <v>1776</v>
      </c>
      <c r="B787" s="67">
        <v>45103</v>
      </c>
      <c r="C787" s="15">
        <f t="shared" si="28"/>
        <v>45103</v>
      </c>
      <c r="D787" s="22"/>
      <c r="E787" s="72"/>
      <c r="F787" s="102">
        <v>20000</v>
      </c>
      <c r="G787" s="90"/>
      <c r="H787" s="26">
        <f t="shared" si="27"/>
        <v>-2542136.77</v>
      </c>
      <c r="I787" s="25" t="s">
        <v>288</v>
      </c>
      <c r="J787" s="22"/>
      <c r="K787" s="25"/>
      <c r="L787" s="25"/>
      <c r="M787" s="22"/>
    </row>
    <row r="788" spans="1:13">
      <c r="A788" s="14">
        <v>1777</v>
      </c>
      <c r="B788" s="67">
        <v>45103</v>
      </c>
      <c r="C788" s="15">
        <f t="shared" si="28"/>
        <v>45103</v>
      </c>
      <c r="D788" s="22"/>
      <c r="E788" s="72"/>
      <c r="F788" s="102"/>
      <c r="G788" s="90">
        <v>124050</v>
      </c>
      <c r="H788" s="26">
        <f t="shared" si="27"/>
        <v>-2418086.77</v>
      </c>
      <c r="I788" s="25" t="s">
        <v>275</v>
      </c>
      <c r="J788" s="22"/>
      <c r="K788" s="25"/>
      <c r="L788" s="25"/>
      <c r="M788" s="22"/>
    </row>
    <row r="789" spans="1:13">
      <c r="A789" s="14">
        <v>1778</v>
      </c>
      <c r="B789" s="67">
        <v>45103</v>
      </c>
      <c r="C789" s="15">
        <f t="shared" si="28"/>
        <v>45103</v>
      </c>
      <c r="D789" s="22"/>
      <c r="E789" s="72"/>
      <c r="F789" s="102"/>
      <c r="G789" s="90">
        <v>300000</v>
      </c>
      <c r="H789" s="26">
        <f t="shared" si="27"/>
        <v>-2118086.77</v>
      </c>
      <c r="I789" s="25" t="s">
        <v>310</v>
      </c>
      <c r="J789" s="22"/>
      <c r="K789" s="25"/>
      <c r="L789" s="25"/>
      <c r="M789" s="22"/>
    </row>
    <row r="790" spans="1:13">
      <c r="A790" s="14">
        <v>1779</v>
      </c>
      <c r="B790" s="67">
        <v>45104</v>
      </c>
      <c r="C790" s="15">
        <f t="shared" si="28"/>
        <v>45104</v>
      </c>
      <c r="D790" s="22"/>
      <c r="E790" s="72"/>
      <c r="F790" s="102">
        <v>3120</v>
      </c>
      <c r="G790" s="90"/>
      <c r="H790" s="26">
        <f t="shared" si="27"/>
        <v>-2121206.77</v>
      </c>
      <c r="I790" s="25" t="s">
        <v>309</v>
      </c>
      <c r="J790" s="22"/>
      <c r="K790" s="25"/>
      <c r="L790" s="25"/>
      <c r="M790" s="22"/>
    </row>
    <row r="791" spans="1:13">
      <c r="A791" s="14">
        <v>1780</v>
      </c>
      <c r="B791" s="67">
        <v>45104</v>
      </c>
      <c r="C791" s="15">
        <f t="shared" si="28"/>
        <v>45104</v>
      </c>
      <c r="D791" s="22"/>
      <c r="E791" s="71"/>
      <c r="F791" s="102">
        <v>9000</v>
      </c>
      <c r="G791" s="90"/>
      <c r="H791" s="26">
        <f t="shared" si="27"/>
        <v>-2130206.77</v>
      </c>
      <c r="I791" s="25" t="s">
        <v>309</v>
      </c>
      <c r="J791" s="22"/>
      <c r="K791" s="25"/>
      <c r="L791" s="25"/>
      <c r="M791" s="22"/>
    </row>
    <row r="792" spans="1:13">
      <c r="A792" s="14">
        <v>1781</v>
      </c>
      <c r="B792" s="67">
        <v>45104</v>
      </c>
      <c r="C792" s="15">
        <f t="shared" si="28"/>
        <v>45104</v>
      </c>
      <c r="D792" s="22"/>
      <c r="E792" s="71"/>
      <c r="F792" s="102">
        <v>15010</v>
      </c>
      <c r="G792" s="90"/>
      <c r="H792" s="26">
        <f t="shared" si="27"/>
        <v>-2145216.77</v>
      </c>
      <c r="I792" s="25" t="s">
        <v>309</v>
      </c>
      <c r="J792" s="22"/>
      <c r="K792" s="25"/>
      <c r="L792" s="25"/>
      <c r="M792" s="22"/>
    </row>
    <row r="793" spans="1:13">
      <c r="A793" s="14">
        <v>1782</v>
      </c>
      <c r="B793" s="67">
        <v>45106</v>
      </c>
      <c r="C793" s="15">
        <f t="shared" si="28"/>
        <v>45106</v>
      </c>
      <c r="D793" s="22"/>
      <c r="E793" s="72"/>
      <c r="F793" s="102">
        <v>300000</v>
      </c>
      <c r="G793" s="90"/>
      <c r="H793" s="26">
        <f t="shared" si="27"/>
        <v>-2445216.77</v>
      </c>
      <c r="I793" s="25" t="s">
        <v>306</v>
      </c>
      <c r="J793" s="22"/>
      <c r="K793" s="25"/>
      <c r="L793" s="25"/>
      <c r="M793" s="22"/>
    </row>
    <row r="794" spans="1:13">
      <c r="A794" s="14">
        <v>1783</v>
      </c>
      <c r="B794" s="67">
        <v>45107</v>
      </c>
      <c r="C794" s="15">
        <f t="shared" si="28"/>
        <v>45107</v>
      </c>
      <c r="D794" s="22"/>
      <c r="E794" s="75"/>
      <c r="F794" s="102">
        <v>103100</v>
      </c>
      <c r="G794" s="90"/>
      <c r="H794" s="26">
        <f t="shared" si="27"/>
        <v>-2548316.77</v>
      </c>
      <c r="I794" s="25" t="s">
        <v>309</v>
      </c>
      <c r="J794" s="22"/>
      <c r="K794" s="25"/>
      <c r="L794" s="25"/>
      <c r="M794" s="22"/>
    </row>
    <row r="795" spans="1:13">
      <c r="A795" s="14">
        <v>1784</v>
      </c>
      <c r="B795" s="67">
        <v>45107</v>
      </c>
      <c r="C795" s="15">
        <f t="shared" si="28"/>
        <v>45107</v>
      </c>
      <c r="D795" s="22"/>
      <c r="E795" s="71"/>
      <c r="F795" s="102">
        <v>20</v>
      </c>
      <c r="G795" s="90"/>
      <c r="H795" s="26">
        <f t="shared" si="27"/>
        <v>-2548336.77</v>
      </c>
      <c r="I795" s="25" t="s">
        <v>264</v>
      </c>
      <c r="J795" s="22"/>
      <c r="K795" s="25"/>
      <c r="L795" s="25"/>
      <c r="M795" s="22"/>
    </row>
    <row r="796" spans="1:13">
      <c r="A796" s="14">
        <v>1785</v>
      </c>
      <c r="B796" s="67">
        <v>45107</v>
      </c>
      <c r="C796" s="15">
        <f t="shared" si="28"/>
        <v>45107</v>
      </c>
      <c r="D796" s="22"/>
      <c r="E796" s="71"/>
      <c r="F796" s="102">
        <v>1.5</v>
      </c>
      <c r="G796" s="90"/>
      <c r="H796" s="26">
        <f t="shared" si="27"/>
        <v>-2548338.27</v>
      </c>
      <c r="I796" s="25" t="s">
        <v>264</v>
      </c>
      <c r="J796" s="22"/>
      <c r="K796" s="25"/>
      <c r="L796" s="25"/>
      <c r="M796" s="22"/>
    </row>
    <row r="797" spans="1:13">
      <c r="A797" s="14">
        <v>1786</v>
      </c>
      <c r="B797" s="67">
        <v>45107</v>
      </c>
      <c r="C797" s="15">
        <f t="shared" si="28"/>
        <v>45107</v>
      </c>
      <c r="D797" s="22"/>
      <c r="E797" s="72"/>
      <c r="F797" s="102">
        <v>6000</v>
      </c>
      <c r="G797" s="90"/>
      <c r="H797" s="26">
        <f t="shared" si="27"/>
        <v>-2554338.27</v>
      </c>
      <c r="I797" s="25" t="s">
        <v>309</v>
      </c>
      <c r="J797" s="22"/>
      <c r="K797" s="25"/>
      <c r="L797" s="25"/>
      <c r="M797" s="22"/>
    </row>
    <row r="798" spans="1:13">
      <c r="A798" s="14">
        <v>1787</v>
      </c>
      <c r="B798" s="67">
        <v>45107</v>
      </c>
      <c r="C798" s="15">
        <f t="shared" si="28"/>
        <v>45107</v>
      </c>
      <c r="D798" s="22"/>
      <c r="E798" s="71"/>
      <c r="F798" s="102">
        <v>20</v>
      </c>
      <c r="G798" s="90"/>
      <c r="H798" s="26">
        <f t="shared" si="27"/>
        <v>-2554358.27</v>
      </c>
      <c r="I798" s="25" t="s">
        <v>264</v>
      </c>
      <c r="J798" s="22"/>
      <c r="K798" s="25"/>
      <c r="L798" s="25"/>
      <c r="M798" s="22"/>
    </row>
    <row r="799" spans="1:13">
      <c r="A799" s="14">
        <v>1788</v>
      </c>
      <c r="B799" s="67">
        <v>45107</v>
      </c>
      <c r="C799" s="15">
        <f t="shared" si="28"/>
        <v>45107</v>
      </c>
      <c r="D799" s="22"/>
      <c r="E799" s="71"/>
      <c r="F799" s="102">
        <v>1.5</v>
      </c>
      <c r="G799" s="90"/>
      <c r="H799" s="26">
        <f t="shared" si="27"/>
        <v>-2554359.77</v>
      </c>
      <c r="I799" s="25" t="s">
        <v>264</v>
      </c>
      <c r="J799" s="22"/>
      <c r="K799" s="25"/>
      <c r="L799" s="25"/>
      <c r="M799" s="22"/>
    </row>
    <row r="800" spans="1:13">
      <c r="A800" s="14">
        <v>1789</v>
      </c>
      <c r="B800" s="67">
        <v>45107</v>
      </c>
      <c r="C800" s="15">
        <f t="shared" si="28"/>
        <v>45107</v>
      </c>
      <c r="D800" s="22"/>
      <c r="E800" s="72"/>
      <c r="F800" s="102"/>
      <c r="G800" s="90">
        <v>12600</v>
      </c>
      <c r="H800" s="26">
        <f t="shared" si="27"/>
        <v>-2541759.77</v>
      </c>
      <c r="I800" s="25" t="s">
        <v>275</v>
      </c>
      <c r="J800" s="22"/>
      <c r="K800" s="25"/>
      <c r="L800" s="25"/>
      <c r="M800" s="22"/>
    </row>
    <row r="801" spans="1:13">
      <c r="A801" s="14"/>
      <c r="B801" s="67"/>
      <c r="C801" s="15"/>
      <c r="D801" s="22"/>
      <c r="E801" s="71"/>
      <c r="F801" s="102"/>
      <c r="G801" s="90"/>
      <c r="H801" s="26"/>
      <c r="I801" s="25"/>
      <c r="J801" s="22"/>
      <c r="K801" s="25"/>
      <c r="L801" s="25"/>
      <c r="M801" s="22"/>
    </row>
    <row r="802" spans="1:13" s="83" customFormat="1">
      <c r="A802" s="68"/>
      <c r="B802" s="99"/>
      <c r="C802" s="82"/>
      <c r="D802" s="69"/>
      <c r="E802" s="97"/>
      <c r="F802" s="102"/>
      <c r="G802" s="90">
        <v>2764292.22</v>
      </c>
      <c r="H802" s="26"/>
      <c r="I802" s="70" t="s">
        <v>54</v>
      </c>
      <c r="J802" s="69"/>
      <c r="K802" s="70"/>
      <c r="L802" s="70"/>
      <c r="M802" s="69"/>
    </row>
    <row r="803" spans="1:13">
      <c r="A803" s="14">
        <v>1790</v>
      </c>
      <c r="B803" s="67">
        <v>45108</v>
      </c>
      <c r="C803" s="15">
        <f t="shared" ref="C803:C865" si="29">B803</f>
        <v>45108</v>
      </c>
      <c r="D803" s="16"/>
      <c r="E803" s="71"/>
      <c r="F803" s="91">
        <v>23925</v>
      </c>
      <c r="G803" s="90"/>
      <c r="H803" s="26">
        <f t="shared" si="27"/>
        <v>-23925</v>
      </c>
      <c r="I803" s="25" t="s">
        <v>280</v>
      </c>
      <c r="J803" s="22"/>
      <c r="K803" s="25"/>
      <c r="L803" s="25"/>
      <c r="M803" s="22"/>
    </row>
    <row r="804" spans="1:13">
      <c r="A804" s="14">
        <v>1791</v>
      </c>
      <c r="B804" s="67">
        <v>45108</v>
      </c>
      <c r="C804" s="15">
        <f t="shared" si="29"/>
        <v>45108</v>
      </c>
      <c r="D804" s="16"/>
      <c r="E804" s="72"/>
      <c r="F804" s="91">
        <v>20000</v>
      </c>
      <c r="G804" s="90"/>
      <c r="H804" s="26">
        <f t="shared" si="27"/>
        <v>-43925</v>
      </c>
      <c r="I804" s="25" t="s">
        <v>280</v>
      </c>
      <c r="J804" s="22"/>
      <c r="K804" s="25"/>
      <c r="L804" s="25"/>
      <c r="M804" s="22"/>
    </row>
    <row r="805" spans="1:13">
      <c r="A805" s="14">
        <v>1792</v>
      </c>
      <c r="B805" s="67">
        <v>45108</v>
      </c>
      <c r="C805" s="15">
        <f t="shared" si="29"/>
        <v>45108</v>
      </c>
      <c r="D805" s="16"/>
      <c r="E805" s="71"/>
      <c r="F805" s="91">
        <v>25</v>
      </c>
      <c r="G805" s="90"/>
      <c r="H805" s="26">
        <f t="shared" si="27"/>
        <v>-43950</v>
      </c>
      <c r="I805" s="25" t="s">
        <v>264</v>
      </c>
      <c r="J805" s="22"/>
      <c r="K805" s="25"/>
      <c r="L805" s="25"/>
      <c r="M805" s="22"/>
    </row>
    <row r="806" spans="1:13">
      <c r="A806" s="14">
        <v>1793</v>
      </c>
      <c r="B806" s="67">
        <v>45108</v>
      </c>
      <c r="C806" s="15">
        <f t="shared" si="29"/>
        <v>45108</v>
      </c>
      <c r="D806" s="16"/>
      <c r="E806" s="72"/>
      <c r="F806" s="91">
        <v>1.87</v>
      </c>
      <c r="G806" s="90"/>
      <c r="H806" s="26">
        <f t="shared" si="27"/>
        <v>-43951.87</v>
      </c>
      <c r="I806" s="25" t="s">
        <v>264</v>
      </c>
      <c r="J806" s="22"/>
      <c r="K806" s="25"/>
      <c r="L806" s="25"/>
      <c r="M806" s="22"/>
    </row>
    <row r="807" spans="1:13">
      <c r="A807" s="14">
        <v>1794</v>
      </c>
      <c r="B807" s="67">
        <v>45108</v>
      </c>
      <c r="C807" s="15">
        <f t="shared" si="29"/>
        <v>45108</v>
      </c>
      <c r="D807" s="16"/>
      <c r="E807" s="71"/>
      <c r="F807" s="91">
        <v>20000</v>
      </c>
      <c r="G807" s="90"/>
      <c r="H807" s="26">
        <f t="shared" si="27"/>
        <v>-63951.87</v>
      </c>
      <c r="I807" s="25" t="s">
        <v>280</v>
      </c>
      <c r="J807" s="22"/>
      <c r="K807" s="25"/>
      <c r="L807" s="25"/>
      <c r="M807" s="22"/>
    </row>
    <row r="808" spans="1:13">
      <c r="A808" s="14">
        <v>1795</v>
      </c>
      <c r="B808" s="67">
        <v>45108</v>
      </c>
      <c r="C808" s="15">
        <f t="shared" si="29"/>
        <v>45108</v>
      </c>
      <c r="D808" s="16"/>
      <c r="E808" s="72"/>
      <c r="F808" s="91">
        <v>20000</v>
      </c>
      <c r="G808" s="90"/>
      <c r="H808" s="26">
        <f t="shared" si="27"/>
        <v>-83951.87</v>
      </c>
      <c r="I808" s="25" t="s">
        <v>280</v>
      </c>
      <c r="J808" s="22"/>
      <c r="K808" s="25"/>
      <c r="L808" s="25"/>
      <c r="M808" s="22"/>
    </row>
    <row r="809" spans="1:13">
      <c r="A809" s="14">
        <v>1796</v>
      </c>
      <c r="B809" s="67">
        <v>45108</v>
      </c>
      <c r="C809" s="15">
        <f t="shared" si="29"/>
        <v>45108</v>
      </c>
      <c r="D809" s="16"/>
      <c r="E809" s="71"/>
      <c r="F809" s="91">
        <v>20000</v>
      </c>
      <c r="G809" s="90"/>
      <c r="H809" s="26">
        <f t="shared" si="27"/>
        <v>-103951.87</v>
      </c>
      <c r="I809" s="25" t="s">
        <v>280</v>
      </c>
      <c r="J809" s="22"/>
      <c r="K809" s="25"/>
      <c r="L809" s="25"/>
      <c r="M809" s="22"/>
    </row>
    <row r="810" spans="1:13">
      <c r="A810" s="14">
        <v>1797</v>
      </c>
      <c r="B810" s="67">
        <v>45108</v>
      </c>
      <c r="C810" s="15">
        <f t="shared" si="29"/>
        <v>45108</v>
      </c>
      <c r="D810" s="16"/>
      <c r="E810" s="72"/>
      <c r="F810" s="91">
        <v>20000</v>
      </c>
      <c r="G810" s="90"/>
      <c r="H810" s="26">
        <f t="shared" si="27"/>
        <v>-123951.87</v>
      </c>
      <c r="I810" s="25" t="s">
        <v>280</v>
      </c>
      <c r="J810" s="22"/>
      <c r="K810" s="25"/>
      <c r="L810" s="25"/>
      <c r="M810" s="22"/>
    </row>
    <row r="811" spans="1:13">
      <c r="A811" s="14">
        <v>1798</v>
      </c>
      <c r="B811" s="67">
        <v>45108</v>
      </c>
      <c r="C811" s="15">
        <f t="shared" si="29"/>
        <v>45108</v>
      </c>
      <c r="D811" s="16"/>
      <c r="E811" s="71"/>
      <c r="F811" s="96">
        <v>20000</v>
      </c>
      <c r="G811" s="94"/>
      <c r="H811" s="26">
        <f t="shared" si="27"/>
        <v>-143951.87</v>
      </c>
      <c r="I811" s="25" t="s">
        <v>280</v>
      </c>
      <c r="J811" s="22"/>
      <c r="K811" s="25"/>
      <c r="L811" s="25"/>
      <c r="M811" s="22"/>
    </row>
    <row r="812" spans="1:13">
      <c r="A812" s="14">
        <v>1799</v>
      </c>
      <c r="B812" s="67">
        <v>45108</v>
      </c>
      <c r="C812" s="15">
        <f t="shared" si="29"/>
        <v>45108</v>
      </c>
      <c r="D812" s="16"/>
      <c r="E812" s="72"/>
      <c r="F812" s="91">
        <v>128553.33</v>
      </c>
      <c r="G812" s="90"/>
      <c r="H812" s="26">
        <f t="shared" ref="H812:H875" si="30">IFERROR(H811-F812+G812,"")</f>
        <v>-272505.2</v>
      </c>
      <c r="I812" s="25" t="s">
        <v>271</v>
      </c>
      <c r="J812" s="22"/>
      <c r="K812" s="25"/>
      <c r="L812" s="25"/>
      <c r="M812" s="22"/>
    </row>
    <row r="813" spans="1:13">
      <c r="A813" s="14">
        <v>1800</v>
      </c>
      <c r="B813" s="67">
        <v>45108</v>
      </c>
      <c r="C813" s="15">
        <f t="shared" si="29"/>
        <v>45108</v>
      </c>
      <c r="D813" s="16"/>
      <c r="E813" s="71"/>
      <c r="F813" s="91">
        <v>34034.85</v>
      </c>
      <c r="G813" s="90"/>
      <c r="H813" s="26">
        <f t="shared" si="30"/>
        <v>-306540.05</v>
      </c>
      <c r="I813" s="25" t="s">
        <v>271</v>
      </c>
      <c r="J813" s="22"/>
      <c r="K813" s="25"/>
      <c r="L813" s="25"/>
      <c r="M813" s="22"/>
    </row>
    <row r="814" spans="1:13">
      <c r="A814" s="14">
        <v>1801</v>
      </c>
      <c r="B814" s="67">
        <v>45108</v>
      </c>
      <c r="C814" s="15">
        <f t="shared" si="29"/>
        <v>45108</v>
      </c>
      <c r="D814" s="16"/>
      <c r="E814" s="72"/>
      <c r="F814" s="91">
        <v>170913.33</v>
      </c>
      <c r="G814" s="90"/>
      <c r="H814" s="26">
        <f t="shared" si="30"/>
        <v>-477453.38</v>
      </c>
      <c r="I814" s="25" t="s">
        <v>271</v>
      </c>
      <c r="J814" s="22"/>
      <c r="K814" s="25"/>
      <c r="L814" s="25"/>
      <c r="M814" s="22"/>
    </row>
    <row r="815" spans="1:13">
      <c r="A815" s="14">
        <v>1802</v>
      </c>
      <c r="B815" s="67">
        <v>45108</v>
      </c>
      <c r="C815" s="15">
        <f t="shared" si="29"/>
        <v>45108</v>
      </c>
      <c r="D815" s="16"/>
      <c r="E815" s="71"/>
      <c r="F815" s="91">
        <v>121391.25</v>
      </c>
      <c r="G815" s="90"/>
      <c r="H815" s="26">
        <f t="shared" si="30"/>
        <v>-598844.63</v>
      </c>
      <c r="I815" s="25" t="s">
        <v>271</v>
      </c>
      <c r="J815" s="22"/>
      <c r="K815" s="25"/>
      <c r="L815" s="25"/>
      <c r="M815" s="22"/>
    </row>
    <row r="816" spans="1:13">
      <c r="A816" s="14">
        <v>1803</v>
      </c>
      <c r="B816" s="67">
        <v>45108</v>
      </c>
      <c r="C816" s="15">
        <f t="shared" si="29"/>
        <v>45108</v>
      </c>
      <c r="D816" s="16"/>
      <c r="E816" s="72"/>
      <c r="F816" s="91">
        <v>100100</v>
      </c>
      <c r="G816" s="90"/>
      <c r="H816" s="26">
        <f t="shared" si="30"/>
        <v>-698944.63</v>
      </c>
      <c r="I816" s="25" t="s">
        <v>271</v>
      </c>
      <c r="J816" s="22"/>
      <c r="K816" s="25"/>
      <c r="L816" s="25"/>
      <c r="M816" s="22"/>
    </row>
    <row r="817" spans="1:13">
      <c r="A817" s="14">
        <v>1804</v>
      </c>
      <c r="B817" s="67">
        <v>45108</v>
      </c>
      <c r="C817" s="15">
        <f t="shared" si="29"/>
        <v>45108</v>
      </c>
      <c r="D817" s="16"/>
      <c r="E817" s="71"/>
      <c r="F817" s="91">
        <v>351443.33</v>
      </c>
      <c r="G817" s="90"/>
      <c r="H817" s="26">
        <f t="shared" si="30"/>
        <v>-1050387.96</v>
      </c>
      <c r="I817" s="25" t="s">
        <v>271</v>
      </c>
      <c r="J817" s="22"/>
      <c r="K817" s="25"/>
      <c r="L817" s="25"/>
      <c r="M817" s="22"/>
    </row>
    <row r="818" spans="1:13">
      <c r="A818" s="14">
        <v>1805</v>
      </c>
      <c r="B818" s="67">
        <v>45108</v>
      </c>
      <c r="C818" s="15">
        <f t="shared" si="29"/>
        <v>45108</v>
      </c>
      <c r="D818" s="16"/>
      <c r="E818" s="72"/>
      <c r="F818" s="91">
        <v>101500</v>
      </c>
      <c r="G818" s="90"/>
      <c r="H818" s="26">
        <f t="shared" si="30"/>
        <v>-1151887.96</v>
      </c>
      <c r="I818" s="25" t="s">
        <v>271</v>
      </c>
      <c r="J818" s="22"/>
      <c r="K818" s="25"/>
      <c r="L818" s="25"/>
      <c r="M818" s="22"/>
    </row>
    <row r="819" spans="1:13">
      <c r="A819" s="14">
        <v>1806</v>
      </c>
      <c r="B819" s="67">
        <v>45108</v>
      </c>
      <c r="C819" s="15">
        <f t="shared" si="29"/>
        <v>45108</v>
      </c>
      <c r="D819" s="16"/>
      <c r="E819" s="71"/>
      <c r="F819" s="96">
        <v>50</v>
      </c>
      <c r="G819" s="93"/>
      <c r="H819" s="26">
        <f t="shared" si="30"/>
        <v>-1151937.96</v>
      </c>
      <c r="I819" s="25" t="s">
        <v>264</v>
      </c>
      <c r="J819" s="22"/>
      <c r="K819" s="25"/>
      <c r="L819" s="25"/>
      <c r="M819" s="22"/>
    </row>
    <row r="820" spans="1:13">
      <c r="A820" s="14">
        <v>1807</v>
      </c>
      <c r="B820" s="67">
        <v>45108</v>
      </c>
      <c r="C820" s="15">
        <f t="shared" si="29"/>
        <v>45108</v>
      </c>
      <c r="D820" s="16"/>
      <c r="E820" s="72"/>
      <c r="F820" s="91">
        <v>3.75</v>
      </c>
      <c r="G820" s="90"/>
      <c r="H820" s="26">
        <f t="shared" si="30"/>
        <v>-1151941.71</v>
      </c>
      <c r="I820" s="25" t="s">
        <v>264</v>
      </c>
      <c r="J820" s="22"/>
      <c r="K820" s="25"/>
      <c r="L820" s="25"/>
      <c r="M820" s="22"/>
    </row>
    <row r="821" spans="1:13">
      <c r="A821" s="14">
        <v>1808</v>
      </c>
      <c r="B821" s="67">
        <v>45108</v>
      </c>
      <c r="C821" s="15">
        <f t="shared" si="29"/>
        <v>45108</v>
      </c>
      <c r="D821" s="16"/>
      <c r="E821" s="71"/>
      <c r="F821" s="91">
        <v>105</v>
      </c>
      <c r="G821" s="90"/>
      <c r="H821" s="26">
        <f t="shared" si="30"/>
        <v>-1152046.71</v>
      </c>
      <c r="I821" s="25" t="s">
        <v>264</v>
      </c>
      <c r="J821" s="22"/>
      <c r="K821" s="25"/>
      <c r="L821" s="25"/>
      <c r="M821" s="22"/>
    </row>
    <row r="822" spans="1:13">
      <c r="A822" s="14">
        <v>1809</v>
      </c>
      <c r="B822" s="67">
        <v>45108</v>
      </c>
      <c r="C822" s="15">
        <f t="shared" si="29"/>
        <v>45108</v>
      </c>
      <c r="D822" s="16"/>
      <c r="E822" s="72"/>
      <c r="F822" s="91">
        <v>7.88</v>
      </c>
      <c r="G822" s="90"/>
      <c r="H822" s="26">
        <f t="shared" si="30"/>
        <v>-1152054.5899999999</v>
      </c>
      <c r="I822" s="25" t="s">
        <v>264</v>
      </c>
      <c r="J822" s="22"/>
      <c r="K822" s="25"/>
      <c r="L822" s="25"/>
      <c r="M822" s="22"/>
    </row>
    <row r="823" spans="1:13">
      <c r="A823" s="14">
        <v>1810</v>
      </c>
      <c r="B823" s="67">
        <v>45108</v>
      </c>
      <c r="C823" s="15">
        <f t="shared" si="29"/>
        <v>45108</v>
      </c>
      <c r="D823" s="16"/>
      <c r="E823" s="71"/>
      <c r="F823" s="91">
        <v>105</v>
      </c>
      <c r="G823" s="90"/>
      <c r="H823" s="26">
        <f t="shared" si="30"/>
        <v>-1152159.5899999999</v>
      </c>
      <c r="I823" s="25" t="s">
        <v>264</v>
      </c>
      <c r="J823" s="22"/>
      <c r="K823" s="25"/>
      <c r="L823" s="25"/>
      <c r="M823" s="22"/>
    </row>
    <row r="824" spans="1:13">
      <c r="A824" s="14">
        <v>1811</v>
      </c>
      <c r="B824" s="67">
        <v>45108</v>
      </c>
      <c r="C824" s="15">
        <f t="shared" si="29"/>
        <v>45108</v>
      </c>
      <c r="D824" s="16"/>
      <c r="E824" s="72"/>
      <c r="F824" s="91">
        <v>7.88</v>
      </c>
      <c r="G824" s="90"/>
      <c r="H824" s="26">
        <f t="shared" si="30"/>
        <v>-1152167.4699999997</v>
      </c>
      <c r="I824" s="25" t="s">
        <v>264</v>
      </c>
      <c r="J824" s="22"/>
      <c r="K824" s="25"/>
      <c r="L824" s="25"/>
      <c r="M824" s="22"/>
    </row>
    <row r="825" spans="1:13">
      <c r="A825" s="14">
        <v>1812</v>
      </c>
      <c r="B825" s="67">
        <v>45108</v>
      </c>
      <c r="C825" s="15">
        <f t="shared" si="29"/>
        <v>45108</v>
      </c>
      <c r="D825" s="16"/>
      <c r="E825" s="71"/>
      <c r="F825" s="91">
        <v>60000</v>
      </c>
      <c r="G825" s="90"/>
      <c r="H825" s="26">
        <f t="shared" si="30"/>
        <v>-1212167.4699999997</v>
      </c>
      <c r="I825" s="25" t="s">
        <v>271</v>
      </c>
      <c r="J825" s="22"/>
      <c r="K825" s="25"/>
      <c r="L825" s="25"/>
      <c r="M825" s="22"/>
    </row>
    <row r="826" spans="1:13">
      <c r="A826" s="14">
        <v>1813</v>
      </c>
      <c r="B826" s="67">
        <v>45108</v>
      </c>
      <c r="C826" s="15">
        <f t="shared" si="29"/>
        <v>45108</v>
      </c>
      <c r="D826" s="16"/>
      <c r="E826" s="72"/>
      <c r="F826" s="91">
        <v>50</v>
      </c>
      <c r="G826" s="90"/>
      <c r="H826" s="26">
        <f t="shared" si="30"/>
        <v>-1212217.4699999997</v>
      </c>
      <c r="I826" s="25" t="s">
        <v>264</v>
      </c>
      <c r="J826" s="22"/>
      <c r="K826" s="25"/>
      <c r="L826" s="25"/>
      <c r="M826" s="22"/>
    </row>
    <row r="827" spans="1:13">
      <c r="A827" s="14">
        <v>1814</v>
      </c>
      <c r="B827" s="67">
        <v>45108</v>
      </c>
      <c r="C827" s="15">
        <f t="shared" si="29"/>
        <v>45108</v>
      </c>
      <c r="D827" s="16"/>
      <c r="E827" s="71"/>
      <c r="F827" s="96">
        <v>3.75</v>
      </c>
      <c r="G827" s="94"/>
      <c r="H827" s="26">
        <f t="shared" si="30"/>
        <v>-1212221.2199999997</v>
      </c>
      <c r="I827" s="25" t="s">
        <v>264</v>
      </c>
      <c r="J827" s="22"/>
      <c r="K827" s="25"/>
      <c r="L827" s="25"/>
      <c r="M827" s="22"/>
    </row>
    <row r="828" spans="1:13">
      <c r="A828" s="14">
        <v>1815</v>
      </c>
      <c r="B828" s="67">
        <v>45108</v>
      </c>
      <c r="C828" s="15">
        <f t="shared" si="29"/>
        <v>45108</v>
      </c>
      <c r="D828" s="16"/>
      <c r="E828" s="72"/>
      <c r="F828" s="91">
        <v>100</v>
      </c>
      <c r="G828" s="90"/>
      <c r="H828" s="26">
        <f t="shared" si="30"/>
        <v>-1212321.2199999997</v>
      </c>
      <c r="I828" s="25" t="s">
        <v>264</v>
      </c>
      <c r="J828" s="22"/>
      <c r="K828" s="25"/>
      <c r="L828" s="25"/>
      <c r="M828" s="22"/>
    </row>
    <row r="829" spans="1:13">
      <c r="A829" s="14">
        <v>1816</v>
      </c>
      <c r="B829" s="67">
        <v>45108</v>
      </c>
      <c r="C829" s="15">
        <f t="shared" si="29"/>
        <v>45108</v>
      </c>
      <c r="D829" s="16"/>
      <c r="E829" s="71"/>
      <c r="F829" s="91">
        <v>20000</v>
      </c>
      <c r="G829" s="90"/>
      <c r="H829" s="26">
        <f t="shared" si="30"/>
        <v>-1232321.2199999997</v>
      </c>
      <c r="I829" s="25" t="s">
        <v>280</v>
      </c>
      <c r="J829" s="22"/>
      <c r="K829" s="25"/>
      <c r="L829" s="25"/>
      <c r="M829" s="22"/>
    </row>
    <row r="830" spans="1:13">
      <c r="A830" s="14">
        <v>1817</v>
      </c>
      <c r="B830" s="67">
        <v>45108</v>
      </c>
      <c r="C830" s="15">
        <f t="shared" si="29"/>
        <v>45108</v>
      </c>
      <c r="D830" s="16"/>
      <c r="E830" s="72"/>
      <c r="F830" s="91">
        <v>25</v>
      </c>
      <c r="G830" s="90"/>
      <c r="H830" s="26">
        <f t="shared" si="30"/>
        <v>-1232346.2199999997</v>
      </c>
      <c r="I830" s="25" t="s">
        <v>264</v>
      </c>
      <c r="J830" s="22"/>
      <c r="K830" s="25"/>
      <c r="L830" s="25"/>
      <c r="M830" s="22"/>
    </row>
    <row r="831" spans="1:13">
      <c r="A831" s="14">
        <v>1818</v>
      </c>
      <c r="B831" s="67">
        <v>45108</v>
      </c>
      <c r="C831" s="15">
        <f t="shared" si="29"/>
        <v>45108</v>
      </c>
      <c r="D831" s="16"/>
      <c r="E831" s="71"/>
      <c r="F831" s="91">
        <v>1.87</v>
      </c>
      <c r="G831" s="90"/>
      <c r="H831" s="26">
        <f t="shared" si="30"/>
        <v>-1232348.0899999999</v>
      </c>
      <c r="I831" s="25" t="s">
        <v>264</v>
      </c>
      <c r="J831" s="22"/>
      <c r="K831" s="25"/>
      <c r="L831" s="25"/>
      <c r="M831" s="22"/>
    </row>
    <row r="832" spans="1:13">
      <c r="A832" s="14">
        <v>1819</v>
      </c>
      <c r="B832" s="67">
        <v>45108</v>
      </c>
      <c r="C832" s="15">
        <f t="shared" si="29"/>
        <v>45108</v>
      </c>
      <c r="D832" s="16"/>
      <c r="E832" s="72"/>
      <c r="F832" s="91">
        <v>15</v>
      </c>
      <c r="G832" s="90"/>
      <c r="H832" s="26">
        <f t="shared" si="30"/>
        <v>-1232363.0899999999</v>
      </c>
      <c r="I832" s="25" t="s">
        <v>264</v>
      </c>
      <c r="J832" s="22"/>
      <c r="K832" s="25"/>
      <c r="L832" s="25"/>
      <c r="M832" s="22"/>
    </row>
    <row r="833" spans="1:13">
      <c r="A833" s="14">
        <v>1820</v>
      </c>
      <c r="B833" s="67">
        <v>45108</v>
      </c>
      <c r="C833" s="15">
        <f t="shared" si="29"/>
        <v>45108</v>
      </c>
      <c r="D833" s="16"/>
      <c r="E833" s="71"/>
      <c r="F833" s="91">
        <v>1.1299999999999999</v>
      </c>
      <c r="G833" s="90"/>
      <c r="H833" s="26">
        <f t="shared" si="30"/>
        <v>-1232364.2199999997</v>
      </c>
      <c r="I833" s="25" t="s">
        <v>264</v>
      </c>
      <c r="J833" s="22"/>
      <c r="K833" s="25"/>
      <c r="L833" s="25"/>
      <c r="M833" s="22"/>
    </row>
    <row r="834" spans="1:13">
      <c r="A834" s="14">
        <v>1821</v>
      </c>
      <c r="B834" s="67">
        <v>45108</v>
      </c>
      <c r="C834" s="15">
        <f t="shared" si="29"/>
        <v>45108</v>
      </c>
      <c r="D834" s="16"/>
      <c r="E834" s="72"/>
      <c r="F834" s="91">
        <v>69919.09</v>
      </c>
      <c r="G834" s="90"/>
      <c r="H834" s="26">
        <f t="shared" si="30"/>
        <v>-1302283.3099999998</v>
      </c>
      <c r="I834" s="25" t="s">
        <v>271</v>
      </c>
      <c r="J834" s="22"/>
      <c r="K834" s="25"/>
      <c r="L834" s="25"/>
      <c r="M834" s="22"/>
    </row>
    <row r="835" spans="1:13">
      <c r="A835" s="14">
        <v>1822</v>
      </c>
      <c r="B835" s="67">
        <v>45108</v>
      </c>
      <c r="C835" s="15">
        <f t="shared" si="29"/>
        <v>45108</v>
      </c>
      <c r="D835" s="16"/>
      <c r="E835" s="71"/>
      <c r="F835" s="96">
        <v>50</v>
      </c>
      <c r="G835" s="94"/>
      <c r="H835" s="26">
        <f t="shared" si="30"/>
        <v>-1302333.3099999998</v>
      </c>
      <c r="I835" s="25" t="s">
        <v>264</v>
      </c>
      <c r="J835" s="22"/>
      <c r="K835" s="25"/>
      <c r="L835" s="25"/>
      <c r="M835" s="22"/>
    </row>
    <row r="836" spans="1:13">
      <c r="A836" s="14">
        <v>1824</v>
      </c>
      <c r="B836" s="67">
        <v>45108</v>
      </c>
      <c r="C836" s="15">
        <f t="shared" si="29"/>
        <v>45108</v>
      </c>
      <c r="D836" s="16"/>
      <c r="E836" s="71"/>
      <c r="F836" s="91">
        <v>3.75</v>
      </c>
      <c r="G836" s="90"/>
      <c r="H836" s="26">
        <f t="shared" si="30"/>
        <v>-1302337.0599999998</v>
      </c>
      <c r="I836" s="25" t="s">
        <v>264</v>
      </c>
      <c r="J836" s="22"/>
      <c r="K836" s="25"/>
      <c r="L836" s="25"/>
      <c r="M836" s="22"/>
    </row>
    <row r="837" spans="1:13">
      <c r="A837" s="14">
        <v>1825</v>
      </c>
      <c r="B837" s="67">
        <v>45108</v>
      </c>
      <c r="C837" s="15">
        <f t="shared" si="29"/>
        <v>45108</v>
      </c>
      <c r="D837" s="16"/>
      <c r="E837" s="72"/>
      <c r="F837" s="91">
        <v>15</v>
      </c>
      <c r="G837" s="90"/>
      <c r="H837" s="26">
        <f t="shared" si="30"/>
        <v>-1302352.0599999998</v>
      </c>
      <c r="I837" s="25" t="s">
        <v>264</v>
      </c>
      <c r="J837" s="22"/>
      <c r="K837" s="25"/>
      <c r="L837" s="25"/>
      <c r="M837" s="22"/>
    </row>
    <row r="838" spans="1:13">
      <c r="A838" s="14">
        <v>1826</v>
      </c>
      <c r="B838" s="67">
        <v>45108</v>
      </c>
      <c r="C838" s="15">
        <f t="shared" si="29"/>
        <v>45108</v>
      </c>
      <c r="D838" s="16"/>
      <c r="E838" s="71"/>
      <c r="F838" s="91">
        <v>1.1299999999999999</v>
      </c>
      <c r="G838" s="90"/>
      <c r="H838" s="26">
        <f t="shared" si="30"/>
        <v>-1302353.1899999997</v>
      </c>
      <c r="I838" s="25" t="s">
        <v>264</v>
      </c>
      <c r="J838" s="22"/>
      <c r="K838" s="25"/>
      <c r="L838" s="25"/>
      <c r="M838" s="22"/>
    </row>
    <row r="839" spans="1:13">
      <c r="A839" s="14">
        <v>1827</v>
      </c>
      <c r="B839" s="67">
        <v>45108</v>
      </c>
      <c r="C839" s="15">
        <f t="shared" si="29"/>
        <v>45108</v>
      </c>
      <c r="D839" s="16"/>
      <c r="E839" s="72"/>
      <c r="F839" s="91">
        <v>68505.600000000006</v>
      </c>
      <c r="G839" s="90"/>
      <c r="H839" s="26">
        <f t="shared" si="30"/>
        <v>-1370858.7899999998</v>
      </c>
      <c r="I839" s="25" t="s">
        <v>280</v>
      </c>
      <c r="J839" s="22"/>
      <c r="K839" s="25"/>
      <c r="L839" s="25"/>
      <c r="M839" s="22"/>
    </row>
    <row r="840" spans="1:13">
      <c r="A840" s="14">
        <v>1828</v>
      </c>
      <c r="B840" s="67">
        <v>45108</v>
      </c>
      <c r="C840" s="15">
        <f t="shared" si="29"/>
        <v>45108</v>
      </c>
      <c r="D840" s="16"/>
      <c r="E840" s="71"/>
      <c r="F840" s="91">
        <v>20000</v>
      </c>
      <c r="G840" s="90"/>
      <c r="H840" s="26">
        <f t="shared" si="30"/>
        <v>-1390858.7899999998</v>
      </c>
      <c r="I840" s="25" t="s">
        <v>280</v>
      </c>
      <c r="J840" s="22"/>
      <c r="K840" s="25"/>
      <c r="L840" s="25"/>
      <c r="M840" s="22"/>
    </row>
    <row r="841" spans="1:13">
      <c r="A841" s="14">
        <v>1829</v>
      </c>
      <c r="B841" s="67">
        <v>45108</v>
      </c>
      <c r="C841" s="15">
        <f t="shared" si="29"/>
        <v>45108</v>
      </c>
      <c r="D841" s="16"/>
      <c r="E841" s="72"/>
      <c r="F841" s="91">
        <v>166761.9</v>
      </c>
      <c r="G841" s="90"/>
      <c r="H841" s="26">
        <f t="shared" si="30"/>
        <v>-1557620.6899999997</v>
      </c>
      <c r="I841" s="25" t="s">
        <v>312</v>
      </c>
      <c r="J841" s="22"/>
      <c r="K841" s="25"/>
      <c r="L841" s="25"/>
      <c r="M841" s="22"/>
    </row>
    <row r="842" spans="1:13">
      <c r="A842" s="14">
        <v>1830</v>
      </c>
      <c r="B842" s="67">
        <v>45114</v>
      </c>
      <c r="C842" s="15">
        <f t="shared" si="29"/>
        <v>45114</v>
      </c>
      <c r="D842" s="16"/>
      <c r="E842" s="71"/>
      <c r="F842" s="96">
        <v>130000</v>
      </c>
      <c r="G842" s="94"/>
      <c r="H842" s="26">
        <f t="shared" si="30"/>
        <v>-1687620.6899999997</v>
      </c>
      <c r="I842" s="25" t="s">
        <v>313</v>
      </c>
      <c r="J842" s="22"/>
      <c r="K842" s="25"/>
      <c r="L842" s="25"/>
      <c r="M842" s="22"/>
    </row>
    <row r="843" spans="1:13">
      <c r="A843" s="14">
        <v>1831</v>
      </c>
      <c r="B843" s="67">
        <v>45118</v>
      </c>
      <c r="C843" s="15">
        <f t="shared" si="29"/>
        <v>45118</v>
      </c>
      <c r="D843" s="16"/>
      <c r="E843" s="72"/>
      <c r="F843" s="91">
        <v>21600</v>
      </c>
      <c r="G843" s="90"/>
      <c r="H843" s="26">
        <f t="shared" si="30"/>
        <v>-1709220.6899999997</v>
      </c>
      <c r="I843" s="25" t="s">
        <v>286</v>
      </c>
      <c r="J843" s="22"/>
      <c r="K843" s="25"/>
      <c r="L843" s="25"/>
      <c r="M843" s="22"/>
    </row>
    <row r="844" spans="1:13">
      <c r="A844" s="14">
        <v>1832</v>
      </c>
      <c r="B844" s="67">
        <v>45118</v>
      </c>
      <c r="C844" s="15">
        <f t="shared" si="29"/>
        <v>45118</v>
      </c>
      <c r="D844" s="16"/>
      <c r="E844" s="71"/>
      <c r="F844" s="91">
        <v>25</v>
      </c>
      <c r="G844" s="90"/>
      <c r="H844" s="26">
        <f t="shared" si="30"/>
        <v>-1709245.6899999997</v>
      </c>
      <c r="I844" s="25" t="s">
        <v>264</v>
      </c>
      <c r="J844" s="22"/>
      <c r="K844" s="25"/>
      <c r="L844" s="25"/>
      <c r="M844" s="22"/>
    </row>
    <row r="845" spans="1:13">
      <c r="A845" s="14">
        <v>1833</v>
      </c>
      <c r="B845" s="67">
        <v>45118</v>
      </c>
      <c r="C845" s="15">
        <f t="shared" si="29"/>
        <v>45118</v>
      </c>
      <c r="D845" s="16"/>
      <c r="E845" s="72"/>
      <c r="F845" s="91">
        <v>1.87</v>
      </c>
      <c r="G845" s="90"/>
      <c r="H845" s="26">
        <f t="shared" si="30"/>
        <v>-1709247.5599999998</v>
      </c>
      <c r="I845" s="25" t="s">
        <v>264</v>
      </c>
      <c r="J845" s="22"/>
      <c r="K845" s="25"/>
      <c r="L845" s="25"/>
      <c r="M845" s="22"/>
    </row>
    <row r="846" spans="1:13">
      <c r="A846" s="14">
        <v>1834</v>
      </c>
      <c r="B846" s="67">
        <v>45118</v>
      </c>
      <c r="C846" s="15">
        <f t="shared" si="29"/>
        <v>45118</v>
      </c>
      <c r="D846" s="16"/>
      <c r="E846" s="71"/>
      <c r="F846" s="90"/>
      <c r="G846" s="91">
        <v>1017516.27</v>
      </c>
      <c r="H846" s="26">
        <f t="shared" si="30"/>
        <v>-691731.2899999998</v>
      </c>
      <c r="I846" s="25" t="s">
        <v>314</v>
      </c>
      <c r="J846" s="22"/>
      <c r="K846" s="25"/>
      <c r="L846" s="25"/>
      <c r="M846" s="22"/>
    </row>
    <row r="847" spans="1:13">
      <c r="A847" s="14">
        <v>1835</v>
      </c>
      <c r="B847" s="67">
        <v>45118</v>
      </c>
      <c r="C847" s="15">
        <f t="shared" si="29"/>
        <v>45118</v>
      </c>
      <c r="D847" s="16"/>
      <c r="E847" s="72"/>
      <c r="F847" s="91">
        <v>50</v>
      </c>
      <c r="G847" s="95"/>
      <c r="H847" s="26">
        <f t="shared" si="30"/>
        <v>-691781.2899999998</v>
      </c>
      <c r="I847" s="25" t="s">
        <v>264</v>
      </c>
      <c r="J847" s="22"/>
      <c r="K847" s="25"/>
      <c r="L847" s="25"/>
      <c r="M847" s="22"/>
    </row>
    <row r="848" spans="1:13">
      <c r="A848" s="14">
        <v>1836</v>
      </c>
      <c r="B848" s="67">
        <v>45120</v>
      </c>
      <c r="C848" s="15">
        <f t="shared" si="29"/>
        <v>45120</v>
      </c>
      <c r="D848" s="16"/>
      <c r="E848" s="71"/>
      <c r="F848" s="91">
        <v>42000</v>
      </c>
      <c r="G848" s="90"/>
      <c r="H848" s="26">
        <f t="shared" si="30"/>
        <v>-733781.2899999998</v>
      </c>
      <c r="I848" s="25" t="s">
        <v>285</v>
      </c>
      <c r="J848" s="22"/>
      <c r="K848" s="25"/>
      <c r="L848" s="25"/>
      <c r="M848" s="22"/>
    </row>
    <row r="849" spans="1:13">
      <c r="A849" s="14">
        <v>1837</v>
      </c>
      <c r="B849" s="67">
        <v>45120</v>
      </c>
      <c r="C849" s="15">
        <f t="shared" si="29"/>
        <v>45120</v>
      </c>
      <c r="D849" s="16"/>
      <c r="E849" s="72"/>
      <c r="F849" s="96">
        <v>25</v>
      </c>
      <c r="G849" s="94"/>
      <c r="H849" s="26">
        <f t="shared" si="30"/>
        <v>-733806.2899999998</v>
      </c>
      <c r="I849" s="25" t="s">
        <v>264</v>
      </c>
      <c r="J849" s="22"/>
      <c r="K849" s="25"/>
      <c r="L849" s="25"/>
      <c r="M849" s="22"/>
    </row>
    <row r="850" spans="1:13">
      <c r="A850" s="14">
        <v>1838</v>
      </c>
      <c r="B850" s="67">
        <v>45120</v>
      </c>
      <c r="C850" s="15">
        <f t="shared" si="29"/>
        <v>45120</v>
      </c>
      <c r="D850" s="16"/>
      <c r="E850" s="71"/>
      <c r="F850" s="91">
        <v>1.87</v>
      </c>
      <c r="G850" s="90"/>
      <c r="H850" s="26">
        <f t="shared" si="30"/>
        <v>-733808.1599999998</v>
      </c>
      <c r="I850" s="25" t="s">
        <v>264</v>
      </c>
      <c r="J850" s="22"/>
      <c r="K850" s="25"/>
      <c r="L850" s="25"/>
      <c r="M850" s="22"/>
    </row>
    <row r="851" spans="1:13">
      <c r="A851" s="14">
        <v>1839</v>
      </c>
      <c r="B851" s="67">
        <v>45120</v>
      </c>
      <c r="C851" s="15">
        <f t="shared" si="29"/>
        <v>45120</v>
      </c>
      <c r="D851" s="16"/>
      <c r="E851" s="72"/>
      <c r="F851" s="91">
        <v>33000</v>
      </c>
      <c r="G851" s="90"/>
      <c r="H851" s="26">
        <f t="shared" si="30"/>
        <v>-766808.1599999998</v>
      </c>
      <c r="I851" s="25" t="s">
        <v>285</v>
      </c>
      <c r="J851" s="22"/>
      <c r="K851" s="25"/>
      <c r="L851" s="25"/>
      <c r="M851" s="22"/>
    </row>
    <row r="852" spans="1:13">
      <c r="A852" s="14">
        <v>1840</v>
      </c>
      <c r="B852" s="67">
        <v>45120</v>
      </c>
      <c r="C852" s="15">
        <f t="shared" si="29"/>
        <v>45120</v>
      </c>
      <c r="D852" s="16"/>
      <c r="E852" s="71"/>
      <c r="F852" s="91">
        <v>25</v>
      </c>
      <c r="G852" s="90"/>
      <c r="H852" s="26">
        <f t="shared" si="30"/>
        <v>-766833.1599999998</v>
      </c>
      <c r="I852" s="25" t="s">
        <v>264</v>
      </c>
      <c r="J852" s="22"/>
      <c r="K852" s="25"/>
      <c r="L852" s="25"/>
      <c r="M852" s="22"/>
    </row>
    <row r="853" spans="1:13">
      <c r="A853" s="14">
        <v>1841</v>
      </c>
      <c r="B853" s="67">
        <v>45120</v>
      </c>
      <c r="C853" s="15">
        <f t="shared" si="29"/>
        <v>45120</v>
      </c>
      <c r="D853" s="16"/>
      <c r="E853" s="72"/>
      <c r="F853" s="91">
        <v>1.87</v>
      </c>
      <c r="G853" s="90"/>
      <c r="H853" s="26">
        <f t="shared" si="30"/>
        <v>-766835.0299999998</v>
      </c>
      <c r="I853" s="25" t="s">
        <v>264</v>
      </c>
      <c r="J853" s="22"/>
      <c r="K853" s="25"/>
      <c r="L853" s="25"/>
      <c r="M853" s="22"/>
    </row>
    <row r="854" spans="1:13">
      <c r="A854" s="14">
        <v>1842</v>
      </c>
      <c r="B854" s="67">
        <v>45127</v>
      </c>
      <c r="C854" s="15">
        <f t="shared" si="29"/>
        <v>45127</v>
      </c>
      <c r="D854" s="16"/>
      <c r="E854" s="71"/>
      <c r="F854" s="91">
        <v>39000</v>
      </c>
      <c r="G854" s="90"/>
      <c r="H854" s="26">
        <f t="shared" si="30"/>
        <v>-805835.0299999998</v>
      </c>
      <c r="I854" s="25" t="s">
        <v>285</v>
      </c>
      <c r="J854" s="22"/>
      <c r="K854" s="25"/>
      <c r="L854" s="25"/>
      <c r="M854" s="22"/>
    </row>
    <row r="855" spans="1:13">
      <c r="A855" s="14">
        <v>1843</v>
      </c>
      <c r="B855" s="67">
        <v>45127</v>
      </c>
      <c r="C855" s="15">
        <f t="shared" si="29"/>
        <v>45127</v>
      </c>
      <c r="D855" s="16"/>
      <c r="E855" s="72"/>
      <c r="F855" s="91">
        <v>25</v>
      </c>
      <c r="G855" s="90"/>
      <c r="H855" s="26">
        <f t="shared" si="30"/>
        <v>-805860.0299999998</v>
      </c>
      <c r="I855" s="25" t="s">
        <v>264</v>
      </c>
      <c r="J855" s="22"/>
      <c r="K855" s="25"/>
      <c r="L855" s="25"/>
      <c r="M855" s="22"/>
    </row>
    <row r="856" spans="1:13">
      <c r="A856" s="14">
        <v>1844</v>
      </c>
      <c r="B856" s="67">
        <v>45127</v>
      </c>
      <c r="C856" s="15">
        <f t="shared" si="29"/>
        <v>45127</v>
      </c>
      <c r="D856" s="16"/>
      <c r="E856" s="71"/>
      <c r="F856" s="91">
        <v>1.87</v>
      </c>
      <c r="G856" s="90"/>
      <c r="H856" s="26">
        <f t="shared" si="30"/>
        <v>-805861.89999999979</v>
      </c>
      <c r="I856" s="25" t="s">
        <v>264</v>
      </c>
      <c r="J856" s="22"/>
      <c r="K856" s="25"/>
      <c r="L856" s="25"/>
      <c r="M856" s="22"/>
    </row>
    <row r="857" spans="1:13">
      <c r="A857" s="14">
        <v>1845</v>
      </c>
      <c r="B857" s="67">
        <v>45127</v>
      </c>
      <c r="C857" s="15">
        <f t="shared" si="29"/>
        <v>45127</v>
      </c>
      <c r="D857" s="16"/>
      <c r="E857" s="72"/>
      <c r="F857" s="91">
        <v>42000</v>
      </c>
      <c r="G857" s="90"/>
      <c r="H857" s="26">
        <f t="shared" si="30"/>
        <v>-847861.89999999979</v>
      </c>
      <c r="I857" s="25" t="s">
        <v>285</v>
      </c>
      <c r="J857" s="22"/>
      <c r="K857" s="25"/>
      <c r="L857" s="25"/>
      <c r="M857" s="22"/>
    </row>
    <row r="858" spans="1:13">
      <c r="A858" s="14">
        <v>1846</v>
      </c>
      <c r="B858" s="67">
        <v>45127</v>
      </c>
      <c r="C858" s="15">
        <f t="shared" si="29"/>
        <v>45127</v>
      </c>
      <c r="D858" s="16"/>
      <c r="E858" s="71"/>
      <c r="F858" s="91">
        <v>25</v>
      </c>
      <c r="G858" s="90"/>
      <c r="H858" s="26">
        <f t="shared" si="30"/>
        <v>-847886.89999999979</v>
      </c>
      <c r="I858" s="25" t="s">
        <v>264</v>
      </c>
      <c r="J858" s="22"/>
      <c r="K858" s="25"/>
      <c r="L858" s="25"/>
      <c r="M858" s="22"/>
    </row>
    <row r="859" spans="1:13">
      <c r="A859" s="14">
        <v>1847</v>
      </c>
      <c r="B859" s="67">
        <v>45127</v>
      </c>
      <c r="C859" s="15">
        <f t="shared" si="29"/>
        <v>45127</v>
      </c>
      <c r="D859" s="16"/>
      <c r="E859" s="72"/>
      <c r="F859" s="91">
        <v>1.87</v>
      </c>
      <c r="G859" s="90"/>
      <c r="H859" s="26">
        <f t="shared" si="30"/>
        <v>-847888.76999999979</v>
      </c>
      <c r="I859" s="25" t="s">
        <v>264</v>
      </c>
      <c r="J859" s="22"/>
      <c r="K859" s="25"/>
      <c r="L859" s="25"/>
      <c r="M859" s="22"/>
    </row>
    <row r="860" spans="1:13">
      <c r="A860" s="14">
        <v>1848</v>
      </c>
      <c r="B860" s="67">
        <v>45127</v>
      </c>
      <c r="C860" s="15">
        <f t="shared" si="29"/>
        <v>45127</v>
      </c>
      <c r="D860" s="16"/>
      <c r="E860" s="71"/>
      <c r="F860" s="91">
        <v>18000</v>
      </c>
      <c r="G860" s="90"/>
      <c r="H860" s="26">
        <f t="shared" si="30"/>
        <v>-865888.76999999979</v>
      </c>
      <c r="I860" s="25" t="s">
        <v>286</v>
      </c>
      <c r="J860" s="22"/>
      <c r="K860" s="25"/>
      <c r="L860" s="25"/>
      <c r="M860" s="22"/>
    </row>
    <row r="861" spans="1:13">
      <c r="A861" s="14">
        <v>1849</v>
      </c>
      <c r="B861" s="67">
        <v>45127</v>
      </c>
      <c r="C861" s="15">
        <f t="shared" si="29"/>
        <v>45127</v>
      </c>
      <c r="D861" s="16"/>
      <c r="E861" s="72"/>
      <c r="F861" s="91">
        <v>25</v>
      </c>
      <c r="G861" s="90"/>
      <c r="H861" s="26">
        <f t="shared" si="30"/>
        <v>-865913.76999999979</v>
      </c>
      <c r="I861" s="25" t="s">
        <v>264</v>
      </c>
      <c r="J861" s="22"/>
      <c r="K861" s="25"/>
      <c r="L861" s="25"/>
      <c r="M861" s="22"/>
    </row>
    <row r="862" spans="1:13">
      <c r="A862" s="14">
        <v>1850</v>
      </c>
      <c r="B862" s="67">
        <v>45127</v>
      </c>
      <c r="C862" s="15">
        <f t="shared" si="29"/>
        <v>45127</v>
      </c>
      <c r="D862" s="16"/>
      <c r="E862" s="71"/>
      <c r="F862" s="96">
        <v>1.87</v>
      </c>
      <c r="G862" s="94"/>
      <c r="H862" s="26">
        <f t="shared" si="30"/>
        <v>-865915.63999999978</v>
      </c>
      <c r="I862" s="25" t="s">
        <v>264</v>
      </c>
      <c r="J862" s="22"/>
      <c r="K862" s="25"/>
      <c r="L862" s="25"/>
      <c r="M862" s="22"/>
    </row>
    <row r="863" spans="1:13">
      <c r="A863" s="14">
        <v>1851</v>
      </c>
      <c r="B863" s="67">
        <v>45127</v>
      </c>
      <c r="C863" s="15">
        <f t="shared" si="29"/>
        <v>45127</v>
      </c>
      <c r="D863" s="16"/>
      <c r="E863" s="72"/>
      <c r="F863" s="91">
        <v>36600</v>
      </c>
      <c r="G863" s="90"/>
      <c r="H863" s="26">
        <f t="shared" si="30"/>
        <v>-902515.63999999978</v>
      </c>
      <c r="I863" s="25" t="s">
        <v>295</v>
      </c>
      <c r="J863" s="22"/>
      <c r="K863" s="25"/>
      <c r="L863" s="25"/>
      <c r="M863" s="22"/>
    </row>
    <row r="864" spans="1:13">
      <c r="A864" s="14">
        <v>1852</v>
      </c>
      <c r="B864" s="67">
        <v>45127</v>
      </c>
      <c r="C864" s="15">
        <f t="shared" si="29"/>
        <v>45127</v>
      </c>
      <c r="D864" s="16"/>
      <c r="E864" s="71"/>
      <c r="F864" s="91">
        <v>25</v>
      </c>
      <c r="G864" s="90"/>
      <c r="H864" s="26">
        <f t="shared" si="30"/>
        <v>-902540.63999999978</v>
      </c>
      <c r="I864" s="25" t="s">
        <v>264</v>
      </c>
      <c r="J864" s="22"/>
      <c r="K864" s="25"/>
      <c r="L864" s="25"/>
      <c r="M864" s="22"/>
    </row>
    <row r="865" spans="1:13">
      <c r="A865" s="14">
        <v>1853</v>
      </c>
      <c r="B865" s="67">
        <v>45127</v>
      </c>
      <c r="C865" s="15">
        <f t="shared" si="29"/>
        <v>45127</v>
      </c>
      <c r="D865" s="16"/>
      <c r="E865" s="72"/>
      <c r="F865" s="91">
        <v>1.87</v>
      </c>
      <c r="G865" s="90"/>
      <c r="H865" s="26">
        <f t="shared" si="30"/>
        <v>-902542.50999999978</v>
      </c>
      <c r="I865" s="25" t="s">
        <v>264</v>
      </c>
      <c r="J865" s="22"/>
      <c r="K865" s="25"/>
      <c r="L865" s="25"/>
      <c r="M865" s="22"/>
    </row>
    <row r="866" spans="1:13">
      <c r="A866" s="14">
        <v>1854</v>
      </c>
      <c r="B866" s="67">
        <v>45127</v>
      </c>
      <c r="C866" s="15">
        <f t="shared" ref="C866:C927" si="31">B866</f>
        <v>45127</v>
      </c>
      <c r="D866" s="16"/>
      <c r="E866" s="71"/>
      <c r="F866" s="91">
        <v>100</v>
      </c>
      <c r="G866" s="90"/>
      <c r="H866" s="26">
        <f t="shared" si="30"/>
        <v>-902642.50999999978</v>
      </c>
      <c r="I866" s="25" t="s">
        <v>264</v>
      </c>
      <c r="J866" s="22"/>
      <c r="K866" s="25"/>
      <c r="L866" s="25"/>
      <c r="M866" s="22"/>
    </row>
    <row r="867" spans="1:13">
      <c r="A867" s="14">
        <v>1855</v>
      </c>
      <c r="B867" s="67">
        <v>45127</v>
      </c>
      <c r="C867" s="15">
        <f t="shared" si="31"/>
        <v>45127</v>
      </c>
      <c r="D867" s="16"/>
      <c r="E867" s="72"/>
      <c r="F867" s="91">
        <v>8000</v>
      </c>
      <c r="G867" s="90"/>
      <c r="H867" s="26">
        <f t="shared" si="30"/>
        <v>-910642.50999999978</v>
      </c>
      <c r="I867" s="25" t="s">
        <v>283</v>
      </c>
      <c r="J867" s="22"/>
      <c r="K867" s="25"/>
      <c r="L867" s="25"/>
      <c r="M867" s="22"/>
    </row>
    <row r="868" spans="1:13">
      <c r="A868" s="14">
        <v>1856</v>
      </c>
      <c r="B868" s="67">
        <v>45127</v>
      </c>
      <c r="C868" s="15">
        <f t="shared" si="31"/>
        <v>45127</v>
      </c>
      <c r="D868" s="16"/>
      <c r="E868" s="71"/>
      <c r="F868" s="91">
        <v>100</v>
      </c>
      <c r="G868" s="90"/>
      <c r="H868" s="26">
        <f t="shared" si="30"/>
        <v>-910742.50999999978</v>
      </c>
      <c r="I868" s="25" t="s">
        <v>264</v>
      </c>
      <c r="J868" s="22"/>
      <c r="K868" s="25"/>
      <c r="L868" s="25"/>
      <c r="M868" s="22"/>
    </row>
    <row r="869" spans="1:13">
      <c r="A869" s="14">
        <v>1857</v>
      </c>
      <c r="B869" s="67">
        <v>45127</v>
      </c>
      <c r="C869" s="15">
        <f t="shared" si="31"/>
        <v>45127</v>
      </c>
      <c r="D869" s="16"/>
      <c r="E869" s="72"/>
      <c r="F869" s="96">
        <v>1017546.87</v>
      </c>
      <c r="G869" s="94"/>
      <c r="H869" s="26">
        <f t="shared" si="30"/>
        <v>-1928289.38</v>
      </c>
      <c r="I869" s="25" t="s">
        <v>272</v>
      </c>
      <c r="J869" s="22"/>
      <c r="K869" s="25"/>
      <c r="L869" s="25"/>
      <c r="M869" s="22"/>
    </row>
    <row r="870" spans="1:13">
      <c r="A870" s="14">
        <v>1858</v>
      </c>
      <c r="B870" s="67">
        <v>45127</v>
      </c>
      <c r="C870" s="15">
        <f t="shared" si="31"/>
        <v>45127</v>
      </c>
      <c r="D870" s="16"/>
      <c r="E870" s="71"/>
      <c r="F870" s="91">
        <v>15000</v>
      </c>
      <c r="G870" s="90"/>
      <c r="H870" s="26">
        <f t="shared" si="30"/>
        <v>-1943289.38</v>
      </c>
      <c r="I870" s="25" t="s">
        <v>315</v>
      </c>
      <c r="J870" s="22"/>
      <c r="K870" s="25"/>
      <c r="L870" s="25"/>
      <c r="M870" s="22"/>
    </row>
    <row r="871" spans="1:13">
      <c r="A871" s="14">
        <v>1859</v>
      </c>
      <c r="B871" s="67">
        <v>45127</v>
      </c>
      <c r="C871" s="15">
        <f t="shared" si="31"/>
        <v>45127</v>
      </c>
      <c r="D871" s="16"/>
      <c r="E871" s="72"/>
      <c r="F871" s="91">
        <v>4800.53</v>
      </c>
      <c r="G871" s="90"/>
      <c r="H871" s="26">
        <f t="shared" si="30"/>
        <v>-1948089.91</v>
      </c>
      <c r="I871" s="25" t="s">
        <v>272</v>
      </c>
      <c r="J871" s="22"/>
      <c r="K871" s="25"/>
      <c r="L871" s="25"/>
      <c r="M871" s="22"/>
    </row>
    <row r="872" spans="1:13">
      <c r="A872" s="14">
        <v>1860</v>
      </c>
      <c r="B872" s="67">
        <v>45127</v>
      </c>
      <c r="C872" s="15">
        <f t="shared" si="31"/>
        <v>45127</v>
      </c>
      <c r="D872" s="16"/>
      <c r="E872" s="71"/>
      <c r="F872" s="91">
        <v>100</v>
      </c>
      <c r="G872" s="90"/>
      <c r="H872" s="26">
        <f t="shared" si="30"/>
        <v>-1948189.91</v>
      </c>
      <c r="I872" s="25" t="s">
        <v>264</v>
      </c>
      <c r="J872" s="22"/>
      <c r="K872" s="25"/>
      <c r="L872" s="25"/>
      <c r="M872" s="22"/>
    </row>
    <row r="873" spans="1:13">
      <c r="A873" s="14">
        <v>1861</v>
      </c>
      <c r="B873" s="67">
        <v>45127</v>
      </c>
      <c r="C873" s="15">
        <f t="shared" si="31"/>
        <v>45127</v>
      </c>
      <c r="D873" s="16"/>
      <c r="E873" s="72"/>
      <c r="F873" s="91">
        <v>80503.81</v>
      </c>
      <c r="G873" s="90"/>
      <c r="H873" s="26">
        <f t="shared" si="30"/>
        <v>-2028693.72</v>
      </c>
      <c r="I873" s="25" t="s">
        <v>312</v>
      </c>
      <c r="J873" s="22"/>
      <c r="K873" s="25"/>
      <c r="L873" s="25"/>
      <c r="M873" s="22"/>
    </row>
    <row r="874" spans="1:13">
      <c r="A874" s="14">
        <v>1862</v>
      </c>
      <c r="B874" s="67">
        <v>45127</v>
      </c>
      <c r="C874" s="15">
        <f t="shared" si="31"/>
        <v>45127</v>
      </c>
      <c r="D874" s="16"/>
      <c r="E874" s="71"/>
      <c r="F874" s="91">
        <v>100</v>
      </c>
      <c r="G874" s="90"/>
      <c r="H874" s="26">
        <f t="shared" si="30"/>
        <v>-2028793.72</v>
      </c>
      <c r="I874" s="25" t="s">
        <v>264</v>
      </c>
      <c r="J874" s="22"/>
      <c r="K874" s="25"/>
      <c r="L874" s="25"/>
      <c r="M874" s="22"/>
    </row>
    <row r="875" spans="1:13">
      <c r="A875" s="14">
        <v>1863</v>
      </c>
      <c r="B875" s="67">
        <v>45129</v>
      </c>
      <c r="C875" s="15">
        <f t="shared" si="31"/>
        <v>45129</v>
      </c>
      <c r="D875" s="16"/>
      <c r="E875" s="72"/>
      <c r="F875" s="90"/>
      <c r="G875" s="91">
        <v>80503.81</v>
      </c>
      <c r="H875" s="26">
        <f t="shared" si="30"/>
        <v>-1948289.91</v>
      </c>
      <c r="I875" s="25" t="s">
        <v>300</v>
      </c>
      <c r="J875" s="22"/>
      <c r="K875" s="25"/>
      <c r="L875" s="25"/>
      <c r="M875" s="22"/>
    </row>
    <row r="876" spans="1:13">
      <c r="A876" s="14">
        <v>1864</v>
      </c>
      <c r="B876" s="67">
        <v>45129</v>
      </c>
      <c r="C876" s="15">
        <f t="shared" si="31"/>
        <v>45129</v>
      </c>
      <c r="D876" s="16"/>
      <c r="E876" s="71"/>
      <c r="F876" s="90"/>
      <c r="G876" s="91">
        <v>4800.53</v>
      </c>
      <c r="H876" s="26">
        <f t="shared" ref="H876:H939" si="32">IFERROR(H875-F876+G876,"")</f>
        <v>-1943489.38</v>
      </c>
      <c r="I876" s="25" t="s">
        <v>316</v>
      </c>
      <c r="J876" s="22"/>
      <c r="K876" s="25"/>
      <c r="L876" s="25"/>
      <c r="M876" s="22"/>
    </row>
    <row r="877" spans="1:13">
      <c r="A877" s="14">
        <v>1865</v>
      </c>
      <c r="B877" s="67">
        <v>45129</v>
      </c>
      <c r="C877" s="15">
        <f t="shared" si="31"/>
        <v>45129</v>
      </c>
      <c r="D877" s="16"/>
      <c r="E877" s="72"/>
      <c r="F877" s="96">
        <v>50</v>
      </c>
      <c r="G877" s="93"/>
      <c r="H877" s="26">
        <f t="shared" si="32"/>
        <v>-1943539.38</v>
      </c>
      <c r="I877" s="25" t="s">
        <v>264</v>
      </c>
      <c r="J877" s="22"/>
      <c r="K877" s="25"/>
      <c r="L877" s="25"/>
      <c r="M877" s="22"/>
    </row>
    <row r="878" spans="1:13">
      <c r="A878" s="14">
        <v>1866</v>
      </c>
      <c r="B878" s="67">
        <v>45132</v>
      </c>
      <c r="C878" s="15">
        <f t="shared" si="31"/>
        <v>45132</v>
      </c>
      <c r="D878" s="16"/>
      <c r="E878" s="71"/>
      <c r="F878" s="90"/>
      <c r="G878" s="91">
        <v>15400000</v>
      </c>
      <c r="H878" s="26">
        <f t="shared" si="32"/>
        <v>13456460.620000001</v>
      </c>
      <c r="I878" s="25" t="s">
        <v>300</v>
      </c>
      <c r="J878" s="22"/>
      <c r="K878" s="25"/>
      <c r="L878" s="25"/>
      <c r="M878" s="22"/>
    </row>
    <row r="879" spans="1:13">
      <c r="A879" s="14">
        <v>1867</v>
      </c>
      <c r="B879" s="67">
        <v>45132</v>
      </c>
      <c r="C879" s="15">
        <f t="shared" si="31"/>
        <v>45132</v>
      </c>
      <c r="D879" s="16"/>
      <c r="E879" s="72"/>
      <c r="F879" s="91">
        <v>50</v>
      </c>
      <c r="G879" s="95"/>
      <c r="H879" s="26">
        <f t="shared" si="32"/>
        <v>13456410.620000001</v>
      </c>
      <c r="I879" s="25" t="s">
        <v>264</v>
      </c>
      <c r="J879" s="22"/>
      <c r="K879" s="25"/>
      <c r="L879" s="25"/>
      <c r="M879" s="22"/>
    </row>
    <row r="880" spans="1:13">
      <c r="A880" s="14">
        <v>1868</v>
      </c>
      <c r="B880" s="67">
        <v>45132</v>
      </c>
      <c r="C880" s="15">
        <f t="shared" si="31"/>
        <v>45132</v>
      </c>
      <c r="D880" s="16"/>
      <c r="E880" s="71"/>
      <c r="F880" s="91">
        <v>29750</v>
      </c>
      <c r="G880" s="90"/>
      <c r="H880" s="26">
        <f t="shared" si="32"/>
        <v>13426660.620000001</v>
      </c>
      <c r="I880" s="25" t="s">
        <v>295</v>
      </c>
      <c r="J880" s="22"/>
      <c r="K880" s="25"/>
      <c r="L880" s="25"/>
      <c r="M880" s="22"/>
    </row>
    <row r="881" spans="1:13">
      <c r="A881" s="14">
        <v>1869</v>
      </c>
      <c r="B881" s="67">
        <v>45132</v>
      </c>
      <c r="C881" s="15">
        <f t="shared" si="31"/>
        <v>45132</v>
      </c>
      <c r="D881" s="16"/>
      <c r="E881" s="72"/>
      <c r="F881" s="91">
        <v>25</v>
      </c>
      <c r="G881" s="90"/>
      <c r="H881" s="26">
        <f t="shared" si="32"/>
        <v>13426635.620000001</v>
      </c>
      <c r="I881" s="25" t="s">
        <v>264</v>
      </c>
      <c r="J881" s="22"/>
      <c r="K881" s="25"/>
      <c r="L881" s="25"/>
      <c r="M881" s="22"/>
    </row>
    <row r="882" spans="1:13">
      <c r="A882" s="14">
        <v>1870</v>
      </c>
      <c r="B882" s="67">
        <v>45132</v>
      </c>
      <c r="C882" s="15">
        <f t="shared" si="31"/>
        <v>45132</v>
      </c>
      <c r="D882" s="16"/>
      <c r="E882" s="71"/>
      <c r="F882" s="91">
        <v>1.87</v>
      </c>
      <c r="G882" s="90"/>
      <c r="H882" s="26">
        <f t="shared" si="32"/>
        <v>13426633.750000002</v>
      </c>
      <c r="I882" s="25" t="s">
        <v>264</v>
      </c>
      <c r="J882" s="22"/>
      <c r="K882" s="25"/>
      <c r="L882" s="25"/>
      <c r="M882" s="22"/>
    </row>
    <row r="883" spans="1:13">
      <c r="A883" s="14">
        <v>1871</v>
      </c>
      <c r="B883" s="67">
        <v>45138</v>
      </c>
      <c r="C883" s="15">
        <f t="shared" si="31"/>
        <v>45138</v>
      </c>
      <c r="D883" s="16"/>
      <c r="E883" s="72"/>
      <c r="F883" s="91">
        <v>476</v>
      </c>
      <c r="G883" s="95"/>
      <c r="H883" s="26">
        <f t="shared" si="32"/>
        <v>13426157.750000002</v>
      </c>
      <c r="I883" s="25" t="s">
        <v>264</v>
      </c>
      <c r="J883" s="22"/>
      <c r="K883" s="25"/>
      <c r="L883" s="25"/>
      <c r="M883" s="22"/>
    </row>
    <row r="884" spans="1:13">
      <c r="A884" s="14">
        <v>1872</v>
      </c>
      <c r="B884" s="67">
        <v>45138</v>
      </c>
      <c r="C884" s="15">
        <f t="shared" si="31"/>
        <v>45138</v>
      </c>
      <c r="D884" s="16"/>
      <c r="E884" s="71"/>
      <c r="F884" s="91">
        <v>35.700000000000003</v>
      </c>
      <c r="G884" s="95"/>
      <c r="H884" s="26">
        <f t="shared" si="32"/>
        <v>13426122.050000003</v>
      </c>
      <c r="I884" s="25" t="s">
        <v>264</v>
      </c>
      <c r="J884" s="22"/>
      <c r="K884" s="25"/>
      <c r="L884" s="25"/>
      <c r="M884" s="22"/>
    </row>
    <row r="885" spans="1:13">
      <c r="A885" s="14">
        <v>1873</v>
      </c>
      <c r="B885" s="67">
        <v>45138</v>
      </c>
      <c r="C885" s="15">
        <f t="shared" si="31"/>
        <v>45138</v>
      </c>
      <c r="D885" s="16"/>
      <c r="E885" s="72"/>
      <c r="F885" s="91">
        <v>3060.25</v>
      </c>
      <c r="G885" s="95"/>
      <c r="H885" s="26">
        <f t="shared" si="32"/>
        <v>13423061.800000003</v>
      </c>
      <c r="I885" s="25" t="s">
        <v>264</v>
      </c>
      <c r="J885" s="22"/>
      <c r="K885" s="25"/>
      <c r="L885" s="25"/>
      <c r="M885" s="22"/>
    </row>
    <row r="886" spans="1:13">
      <c r="A886" s="14">
        <v>1874</v>
      </c>
      <c r="B886" s="67">
        <v>45138</v>
      </c>
      <c r="C886" s="15">
        <f t="shared" si="31"/>
        <v>45138</v>
      </c>
      <c r="D886" s="16"/>
      <c r="E886" s="71"/>
      <c r="F886" s="91">
        <v>229.52</v>
      </c>
      <c r="G886" s="95"/>
      <c r="H886" s="26">
        <f t="shared" si="32"/>
        <v>13422832.280000003</v>
      </c>
      <c r="I886" s="25" t="s">
        <v>264</v>
      </c>
      <c r="J886" s="22"/>
      <c r="K886" s="25"/>
      <c r="L886" s="25"/>
      <c r="M886" s="22"/>
    </row>
    <row r="887" spans="1:13">
      <c r="A887" s="14">
        <v>1875</v>
      </c>
      <c r="B887" s="67">
        <v>45139</v>
      </c>
      <c r="C887" s="15">
        <f t="shared" si="31"/>
        <v>45139</v>
      </c>
      <c r="D887" s="16"/>
      <c r="E887" s="72"/>
      <c r="F887" s="91">
        <v>50000</v>
      </c>
      <c r="G887" s="90"/>
      <c r="H887" s="26">
        <f t="shared" si="32"/>
        <v>13372832.280000003</v>
      </c>
      <c r="I887" s="25" t="s">
        <v>276</v>
      </c>
      <c r="J887" s="22"/>
      <c r="K887" s="25"/>
      <c r="L887" s="25"/>
      <c r="M887" s="22"/>
    </row>
    <row r="888" spans="1:13">
      <c r="A888" s="14">
        <v>1876</v>
      </c>
      <c r="B888" s="67">
        <v>45139</v>
      </c>
      <c r="C888" s="15">
        <f t="shared" si="31"/>
        <v>45139</v>
      </c>
      <c r="D888" s="16"/>
      <c r="E888" s="71"/>
      <c r="F888" s="91">
        <v>50</v>
      </c>
      <c r="G888" s="90"/>
      <c r="H888" s="26">
        <f t="shared" si="32"/>
        <v>13372782.280000003</v>
      </c>
      <c r="I888" s="25" t="s">
        <v>264</v>
      </c>
      <c r="J888" s="22"/>
      <c r="K888" s="25"/>
      <c r="L888" s="25"/>
      <c r="M888" s="22"/>
    </row>
    <row r="889" spans="1:13">
      <c r="A889" s="14">
        <v>1877</v>
      </c>
      <c r="B889" s="67">
        <v>45139</v>
      </c>
      <c r="C889" s="15">
        <f t="shared" si="31"/>
        <v>45139</v>
      </c>
      <c r="D889" s="16"/>
      <c r="E889" s="72"/>
      <c r="F889" s="91">
        <v>50000</v>
      </c>
      <c r="G889" s="90"/>
      <c r="H889" s="26">
        <f t="shared" si="32"/>
        <v>13322782.280000003</v>
      </c>
      <c r="I889" s="25" t="s">
        <v>276</v>
      </c>
      <c r="J889" s="22"/>
      <c r="K889" s="25"/>
      <c r="L889" s="25"/>
      <c r="M889" s="22"/>
    </row>
    <row r="890" spans="1:13">
      <c r="A890" s="14">
        <v>1878</v>
      </c>
      <c r="B890" s="67">
        <v>45139</v>
      </c>
      <c r="C890" s="15">
        <f t="shared" si="31"/>
        <v>45139</v>
      </c>
      <c r="D890" s="16"/>
      <c r="E890" s="71"/>
      <c r="F890" s="91">
        <v>50</v>
      </c>
      <c r="G890" s="90"/>
      <c r="H890" s="26">
        <f t="shared" si="32"/>
        <v>13322732.280000003</v>
      </c>
      <c r="I890" s="25" t="s">
        <v>264</v>
      </c>
      <c r="J890" s="22"/>
      <c r="K890" s="25"/>
      <c r="L890" s="25"/>
      <c r="M890" s="22"/>
    </row>
    <row r="891" spans="1:13">
      <c r="A891" s="14">
        <v>1879</v>
      </c>
      <c r="B891" s="67">
        <v>45139</v>
      </c>
      <c r="C891" s="15">
        <f t="shared" si="31"/>
        <v>45139</v>
      </c>
      <c r="D891" s="16"/>
      <c r="E891" s="72"/>
      <c r="F891" s="91">
        <v>1200000</v>
      </c>
      <c r="G891" s="90"/>
      <c r="H891" s="26">
        <f t="shared" si="32"/>
        <v>12122732.280000003</v>
      </c>
      <c r="I891" s="25" t="s">
        <v>276</v>
      </c>
      <c r="J891" s="22"/>
      <c r="K891" s="25"/>
      <c r="L891" s="25"/>
      <c r="M891" s="22"/>
    </row>
    <row r="892" spans="1:13">
      <c r="A892" s="14">
        <v>1880</v>
      </c>
      <c r="B892" s="67">
        <v>45139</v>
      </c>
      <c r="C892" s="15">
        <f t="shared" si="31"/>
        <v>45139</v>
      </c>
      <c r="D892" s="16"/>
      <c r="E892" s="71"/>
      <c r="F892" s="91">
        <v>50</v>
      </c>
      <c r="G892" s="90"/>
      <c r="H892" s="26">
        <f t="shared" si="32"/>
        <v>12122682.280000003</v>
      </c>
      <c r="I892" s="25" t="s">
        <v>264</v>
      </c>
      <c r="J892" s="22"/>
      <c r="K892" s="25"/>
      <c r="L892" s="25"/>
      <c r="M892" s="22"/>
    </row>
    <row r="893" spans="1:13">
      <c r="A893" s="14">
        <v>1881</v>
      </c>
      <c r="B893" s="67">
        <v>45139</v>
      </c>
      <c r="C893" s="15">
        <f t="shared" si="31"/>
        <v>45139</v>
      </c>
      <c r="D893" s="16"/>
      <c r="E893" s="72"/>
      <c r="F893" s="96">
        <v>168523.14</v>
      </c>
      <c r="G893" s="94"/>
      <c r="H893" s="26">
        <f t="shared" si="32"/>
        <v>11954159.140000002</v>
      </c>
      <c r="I893" s="25" t="s">
        <v>271</v>
      </c>
      <c r="J893" s="22"/>
      <c r="K893" s="25"/>
      <c r="L893" s="25"/>
      <c r="M893" s="22"/>
    </row>
    <row r="894" spans="1:13">
      <c r="A894" s="14">
        <v>1882</v>
      </c>
      <c r="B894" s="67">
        <v>45139</v>
      </c>
      <c r="C894" s="15">
        <f t="shared" si="31"/>
        <v>45139</v>
      </c>
      <c r="D894" s="16"/>
      <c r="E894" s="71"/>
      <c r="F894" s="91">
        <v>49742.74</v>
      </c>
      <c r="G894" s="90"/>
      <c r="H894" s="26">
        <f t="shared" si="32"/>
        <v>11904416.400000002</v>
      </c>
      <c r="I894" s="25" t="s">
        <v>271</v>
      </c>
      <c r="J894" s="22"/>
      <c r="K894" s="25"/>
      <c r="L894" s="25"/>
      <c r="M894" s="22"/>
    </row>
    <row r="895" spans="1:13">
      <c r="A895" s="14">
        <v>1883</v>
      </c>
      <c r="B895" s="67">
        <v>45139</v>
      </c>
      <c r="C895" s="15">
        <f t="shared" si="31"/>
        <v>45139</v>
      </c>
      <c r="D895" s="16"/>
      <c r="E895" s="72"/>
      <c r="F895" s="91">
        <v>25</v>
      </c>
      <c r="G895" s="90"/>
      <c r="H895" s="26">
        <f t="shared" si="32"/>
        <v>11904391.400000002</v>
      </c>
      <c r="I895" s="25" t="s">
        <v>264</v>
      </c>
      <c r="J895" s="22"/>
      <c r="K895" s="25"/>
      <c r="L895" s="25"/>
      <c r="M895" s="22"/>
    </row>
    <row r="896" spans="1:13">
      <c r="A896" s="14">
        <v>1884</v>
      </c>
      <c r="B896" s="67">
        <v>45139</v>
      </c>
      <c r="C896" s="15">
        <f t="shared" si="31"/>
        <v>45139</v>
      </c>
      <c r="D896" s="16"/>
      <c r="E896" s="71"/>
      <c r="F896" s="91">
        <v>1.87</v>
      </c>
      <c r="G896" s="90"/>
      <c r="H896" s="26">
        <f t="shared" si="32"/>
        <v>11904389.530000003</v>
      </c>
      <c r="I896" s="25" t="s">
        <v>264</v>
      </c>
      <c r="J896" s="22"/>
      <c r="K896" s="25"/>
      <c r="L896" s="25"/>
      <c r="M896" s="22"/>
    </row>
    <row r="897" spans="1:13">
      <c r="A897" s="14">
        <v>1885</v>
      </c>
      <c r="B897" s="67">
        <v>45139</v>
      </c>
      <c r="C897" s="15">
        <f t="shared" si="31"/>
        <v>45139</v>
      </c>
      <c r="D897" s="16"/>
      <c r="E897" s="72"/>
      <c r="F897" s="91">
        <v>192119.33</v>
      </c>
      <c r="G897" s="90"/>
      <c r="H897" s="26">
        <f t="shared" si="32"/>
        <v>11712270.200000003</v>
      </c>
      <c r="I897" s="25" t="s">
        <v>271</v>
      </c>
      <c r="J897" s="22"/>
      <c r="K897" s="25"/>
      <c r="L897" s="25"/>
      <c r="M897" s="22"/>
    </row>
    <row r="898" spans="1:13">
      <c r="A898" s="14">
        <v>1886</v>
      </c>
      <c r="B898" s="67">
        <v>45139</v>
      </c>
      <c r="C898" s="15">
        <f t="shared" si="31"/>
        <v>45139</v>
      </c>
      <c r="D898" s="16"/>
      <c r="E898" s="71"/>
      <c r="F898" s="91">
        <v>50</v>
      </c>
      <c r="G898" s="90"/>
      <c r="H898" s="26">
        <f t="shared" si="32"/>
        <v>11712220.200000003</v>
      </c>
      <c r="I898" s="25" t="s">
        <v>264</v>
      </c>
      <c r="J898" s="22"/>
      <c r="K898" s="25"/>
      <c r="L898" s="25"/>
      <c r="M898" s="22"/>
    </row>
    <row r="899" spans="1:13">
      <c r="A899" s="14">
        <v>1887</v>
      </c>
      <c r="B899" s="67">
        <v>45139</v>
      </c>
      <c r="C899" s="15">
        <f t="shared" si="31"/>
        <v>45139</v>
      </c>
      <c r="D899" s="16"/>
      <c r="E899" s="72"/>
      <c r="F899" s="91">
        <v>3.75</v>
      </c>
      <c r="G899" s="90"/>
      <c r="H899" s="26">
        <f t="shared" si="32"/>
        <v>11712216.450000003</v>
      </c>
      <c r="I899" s="25" t="s">
        <v>264</v>
      </c>
      <c r="J899" s="22"/>
      <c r="K899" s="25"/>
      <c r="L899" s="25"/>
      <c r="M899" s="22"/>
    </row>
    <row r="900" spans="1:13">
      <c r="A900" s="14">
        <v>1888</v>
      </c>
      <c r="B900" s="67">
        <v>45139</v>
      </c>
      <c r="C900" s="15">
        <f t="shared" si="31"/>
        <v>45139</v>
      </c>
      <c r="D900" s="16"/>
      <c r="E900" s="71"/>
      <c r="F900" s="91">
        <v>45</v>
      </c>
      <c r="G900" s="90"/>
      <c r="H900" s="26">
        <f t="shared" si="32"/>
        <v>11712171.450000003</v>
      </c>
      <c r="I900" s="25" t="s">
        <v>264</v>
      </c>
      <c r="J900" s="22"/>
      <c r="K900" s="25"/>
      <c r="L900" s="25"/>
      <c r="M900" s="22"/>
    </row>
    <row r="901" spans="1:13">
      <c r="A901" s="14">
        <v>1889</v>
      </c>
      <c r="B901" s="67">
        <v>45139</v>
      </c>
      <c r="C901" s="15">
        <f t="shared" si="31"/>
        <v>45139</v>
      </c>
      <c r="D901" s="16"/>
      <c r="E901" s="72"/>
      <c r="F901" s="96">
        <v>3.38</v>
      </c>
      <c r="G901" s="94"/>
      <c r="H901" s="26">
        <f t="shared" si="32"/>
        <v>11712168.070000002</v>
      </c>
      <c r="I901" s="25" t="s">
        <v>264</v>
      </c>
      <c r="J901" s="22"/>
      <c r="K901" s="25"/>
      <c r="L901" s="25"/>
      <c r="M901" s="22"/>
    </row>
    <row r="902" spans="1:13">
      <c r="A902" s="14">
        <v>1890</v>
      </c>
      <c r="B902" s="67">
        <v>45139</v>
      </c>
      <c r="C902" s="15">
        <f t="shared" si="31"/>
        <v>45139</v>
      </c>
      <c r="D902" s="16"/>
      <c r="E902" s="71"/>
      <c r="F902" s="91">
        <v>5400</v>
      </c>
      <c r="G902" s="90"/>
      <c r="H902" s="26">
        <f t="shared" si="32"/>
        <v>11706768.070000002</v>
      </c>
      <c r="I902" s="25" t="s">
        <v>286</v>
      </c>
      <c r="J902" s="22"/>
      <c r="K902" s="25"/>
      <c r="L902" s="25"/>
      <c r="M902" s="22"/>
    </row>
    <row r="903" spans="1:13">
      <c r="A903" s="14">
        <v>1892</v>
      </c>
      <c r="B903" s="67">
        <v>45139</v>
      </c>
      <c r="C903" s="15">
        <f t="shared" si="31"/>
        <v>45139</v>
      </c>
      <c r="D903" s="16"/>
      <c r="E903" s="71"/>
      <c r="F903" s="91">
        <v>20000</v>
      </c>
      <c r="G903" s="90"/>
      <c r="H903" s="26">
        <f t="shared" si="32"/>
        <v>11686768.070000002</v>
      </c>
      <c r="I903" s="25" t="s">
        <v>269</v>
      </c>
      <c r="J903" s="22"/>
      <c r="K903" s="25"/>
      <c r="L903" s="25"/>
      <c r="M903" s="22"/>
    </row>
    <row r="904" spans="1:13">
      <c r="A904" s="14">
        <v>1893</v>
      </c>
      <c r="B904" s="67">
        <v>45139</v>
      </c>
      <c r="C904" s="15">
        <f t="shared" si="31"/>
        <v>45139</v>
      </c>
      <c r="D904" s="16"/>
      <c r="E904" s="72"/>
      <c r="F904" s="91">
        <v>9000</v>
      </c>
      <c r="G904" s="90"/>
      <c r="H904" s="26">
        <f t="shared" si="32"/>
        <v>11677768.070000002</v>
      </c>
      <c r="I904" s="25" t="s">
        <v>275</v>
      </c>
      <c r="J904" s="22"/>
      <c r="K904" s="25"/>
      <c r="L904" s="25"/>
      <c r="M904" s="22"/>
    </row>
    <row r="905" spans="1:13">
      <c r="A905" s="14">
        <v>1894</v>
      </c>
      <c r="B905" s="67">
        <v>45139</v>
      </c>
      <c r="C905" s="15">
        <f t="shared" si="31"/>
        <v>45139</v>
      </c>
      <c r="D905" s="16"/>
      <c r="E905" s="71"/>
      <c r="F905" s="91">
        <v>152000</v>
      </c>
      <c r="G905" s="90"/>
      <c r="H905" s="26">
        <f t="shared" si="32"/>
        <v>11525768.070000002</v>
      </c>
      <c r="I905" s="25" t="s">
        <v>271</v>
      </c>
      <c r="J905" s="22"/>
      <c r="K905" s="25"/>
      <c r="L905" s="25"/>
      <c r="M905" s="22"/>
    </row>
    <row r="906" spans="1:13">
      <c r="A906" s="14">
        <v>1895</v>
      </c>
      <c r="B906" s="67">
        <v>45139</v>
      </c>
      <c r="C906" s="15">
        <f t="shared" si="31"/>
        <v>45139</v>
      </c>
      <c r="D906" s="16"/>
      <c r="E906" s="72"/>
      <c r="F906" s="91">
        <v>50</v>
      </c>
      <c r="G906" s="90"/>
      <c r="H906" s="26">
        <f t="shared" si="32"/>
        <v>11525718.070000002</v>
      </c>
      <c r="I906" s="25" t="s">
        <v>264</v>
      </c>
      <c r="J906" s="22"/>
      <c r="K906" s="25"/>
      <c r="L906" s="25"/>
      <c r="M906" s="22"/>
    </row>
    <row r="907" spans="1:13">
      <c r="A907" s="14">
        <v>1896</v>
      </c>
      <c r="B907" s="67">
        <v>45139</v>
      </c>
      <c r="C907" s="15">
        <f t="shared" si="31"/>
        <v>45139</v>
      </c>
      <c r="D907" s="16"/>
      <c r="E907" s="71"/>
      <c r="F907" s="91">
        <v>3.75</v>
      </c>
      <c r="G907" s="90"/>
      <c r="H907" s="26">
        <f t="shared" si="32"/>
        <v>11525714.320000002</v>
      </c>
      <c r="I907" s="25" t="s">
        <v>264</v>
      </c>
      <c r="J907" s="22"/>
      <c r="K907" s="25"/>
      <c r="L907" s="25"/>
      <c r="M907" s="22"/>
    </row>
    <row r="908" spans="1:13">
      <c r="A908" s="14">
        <v>1897</v>
      </c>
      <c r="B908" s="67">
        <v>45139</v>
      </c>
      <c r="C908" s="15">
        <f t="shared" si="31"/>
        <v>45139</v>
      </c>
      <c r="D908" s="16"/>
      <c r="E908" s="72"/>
      <c r="F908" s="91">
        <v>30000</v>
      </c>
      <c r="G908" s="90"/>
      <c r="H908" s="26">
        <f t="shared" si="32"/>
        <v>11495714.320000002</v>
      </c>
      <c r="I908" s="25" t="s">
        <v>271</v>
      </c>
      <c r="J908" s="22"/>
      <c r="K908" s="25"/>
      <c r="L908" s="25"/>
      <c r="M908" s="22"/>
    </row>
    <row r="909" spans="1:13">
      <c r="A909" s="14">
        <v>1898</v>
      </c>
      <c r="B909" s="67">
        <v>45139</v>
      </c>
      <c r="C909" s="15">
        <f t="shared" si="31"/>
        <v>45139</v>
      </c>
      <c r="D909" s="16"/>
      <c r="E909" s="71"/>
      <c r="F909" s="91">
        <v>25</v>
      </c>
      <c r="G909" s="90"/>
      <c r="H909" s="26">
        <f t="shared" si="32"/>
        <v>11495689.320000002</v>
      </c>
      <c r="I909" s="25" t="s">
        <v>264</v>
      </c>
      <c r="J909" s="22"/>
      <c r="K909" s="25"/>
      <c r="L909" s="25"/>
      <c r="M909" s="22"/>
    </row>
    <row r="910" spans="1:13">
      <c r="A910" s="14">
        <v>1899</v>
      </c>
      <c r="B910" s="67">
        <v>45139</v>
      </c>
      <c r="C910" s="15">
        <f t="shared" si="31"/>
        <v>45139</v>
      </c>
      <c r="D910" s="16"/>
      <c r="E910" s="72"/>
      <c r="F910" s="91">
        <v>1.87</v>
      </c>
      <c r="G910" s="90"/>
      <c r="H910" s="26">
        <f t="shared" si="32"/>
        <v>11495687.450000003</v>
      </c>
      <c r="I910" s="25" t="s">
        <v>264</v>
      </c>
      <c r="J910" s="22"/>
      <c r="K910" s="25"/>
      <c r="L910" s="25"/>
      <c r="M910" s="22"/>
    </row>
    <row r="911" spans="1:13">
      <c r="A911" s="14">
        <v>1900</v>
      </c>
      <c r="B911" s="67">
        <v>45139</v>
      </c>
      <c r="C911" s="15">
        <f t="shared" si="31"/>
        <v>45139</v>
      </c>
      <c r="D911" s="16"/>
      <c r="E911" s="71"/>
      <c r="F911" s="91">
        <v>114378.23</v>
      </c>
      <c r="G911" s="90"/>
      <c r="H911" s="26">
        <f t="shared" si="32"/>
        <v>11381309.220000003</v>
      </c>
      <c r="I911" s="25" t="s">
        <v>271</v>
      </c>
      <c r="J911" s="22"/>
      <c r="K911" s="25"/>
      <c r="L911" s="25"/>
      <c r="M911" s="22"/>
    </row>
    <row r="912" spans="1:13">
      <c r="A912" s="14">
        <v>1901</v>
      </c>
      <c r="B912" s="67">
        <v>45139</v>
      </c>
      <c r="C912" s="15">
        <f t="shared" si="31"/>
        <v>45139</v>
      </c>
      <c r="D912" s="16"/>
      <c r="E912" s="72"/>
      <c r="F912" s="91">
        <v>144479.15</v>
      </c>
      <c r="G912" s="90"/>
      <c r="H912" s="26">
        <f t="shared" si="32"/>
        <v>11236830.070000002</v>
      </c>
      <c r="I912" s="25" t="s">
        <v>271</v>
      </c>
      <c r="J912" s="22"/>
      <c r="K912" s="25"/>
      <c r="L912" s="25"/>
      <c r="M912" s="22"/>
    </row>
    <row r="913" spans="1:13">
      <c r="A913" s="14">
        <v>1902</v>
      </c>
      <c r="B913" s="67">
        <v>45139</v>
      </c>
      <c r="C913" s="15">
        <f t="shared" si="31"/>
        <v>45139</v>
      </c>
      <c r="D913" s="16"/>
      <c r="E913" s="71"/>
      <c r="F913" s="91">
        <v>395860.52</v>
      </c>
      <c r="G913" s="90"/>
      <c r="H913" s="26">
        <f t="shared" si="32"/>
        <v>10840969.550000003</v>
      </c>
      <c r="I913" s="25" t="s">
        <v>271</v>
      </c>
      <c r="J913" s="22"/>
      <c r="K913" s="25"/>
      <c r="L913" s="25"/>
      <c r="M913" s="22"/>
    </row>
    <row r="914" spans="1:13">
      <c r="A914" s="14">
        <v>1903</v>
      </c>
      <c r="B914" s="67">
        <v>45139</v>
      </c>
      <c r="C914" s="15">
        <f t="shared" si="31"/>
        <v>45139</v>
      </c>
      <c r="D914" s="16"/>
      <c r="E914" s="72"/>
      <c r="F914" s="91">
        <v>192119.33</v>
      </c>
      <c r="G914" s="90"/>
      <c r="H914" s="26">
        <f t="shared" si="32"/>
        <v>10648850.220000003</v>
      </c>
      <c r="I914" s="25" t="s">
        <v>271</v>
      </c>
      <c r="J914" s="22"/>
      <c r="K914" s="25"/>
      <c r="L914" s="25"/>
      <c r="M914" s="22"/>
    </row>
    <row r="915" spans="1:13">
      <c r="A915" s="14">
        <v>1904</v>
      </c>
      <c r="B915" s="67">
        <v>45139</v>
      </c>
      <c r="C915" s="15">
        <f t="shared" si="31"/>
        <v>45139</v>
      </c>
      <c r="D915" s="16"/>
      <c r="E915" s="71"/>
      <c r="F915" s="96">
        <v>114378.23</v>
      </c>
      <c r="G915" s="94"/>
      <c r="H915" s="26">
        <f t="shared" si="32"/>
        <v>10534471.990000002</v>
      </c>
      <c r="I915" s="25" t="s">
        <v>271</v>
      </c>
      <c r="J915" s="22"/>
      <c r="K915" s="25"/>
      <c r="L915" s="25"/>
      <c r="M915" s="22"/>
    </row>
    <row r="916" spans="1:13">
      <c r="A916" s="14">
        <v>1905</v>
      </c>
      <c r="B916" s="67">
        <v>45139</v>
      </c>
      <c r="C916" s="15">
        <f t="shared" si="31"/>
        <v>45139</v>
      </c>
      <c r="D916" s="16"/>
      <c r="E916" s="72"/>
      <c r="F916" s="91">
        <v>50</v>
      </c>
      <c r="G916" s="95"/>
      <c r="H916" s="26">
        <f t="shared" si="32"/>
        <v>10534421.990000002</v>
      </c>
      <c r="I916" s="25" t="s">
        <v>264</v>
      </c>
      <c r="J916" s="22"/>
      <c r="K916" s="25"/>
      <c r="L916" s="25"/>
      <c r="M916" s="22"/>
    </row>
    <row r="917" spans="1:13">
      <c r="A917" s="14">
        <v>1906</v>
      </c>
      <c r="B917" s="67">
        <v>45139</v>
      </c>
      <c r="C917" s="15">
        <f t="shared" si="31"/>
        <v>45139</v>
      </c>
      <c r="D917" s="16"/>
      <c r="E917" s="71"/>
      <c r="F917" s="91">
        <v>3.75</v>
      </c>
      <c r="G917" s="90"/>
      <c r="H917" s="26">
        <f t="shared" si="32"/>
        <v>10534418.240000002</v>
      </c>
      <c r="I917" s="25" t="s">
        <v>264</v>
      </c>
      <c r="J917" s="22"/>
      <c r="K917" s="25"/>
      <c r="L917" s="25"/>
      <c r="M917" s="22"/>
    </row>
    <row r="918" spans="1:13">
      <c r="A918" s="14">
        <v>1907</v>
      </c>
      <c r="B918" s="67">
        <v>45139</v>
      </c>
      <c r="C918" s="15">
        <f t="shared" si="31"/>
        <v>45139</v>
      </c>
      <c r="D918" s="16"/>
      <c r="E918" s="72"/>
      <c r="F918" s="91">
        <v>49742.74</v>
      </c>
      <c r="G918" s="90"/>
      <c r="H918" s="26">
        <f t="shared" si="32"/>
        <v>10484675.500000002</v>
      </c>
      <c r="I918" s="25" t="s">
        <v>271</v>
      </c>
      <c r="J918" s="22"/>
      <c r="K918" s="25"/>
      <c r="L918" s="25"/>
      <c r="M918" s="22"/>
    </row>
    <row r="919" spans="1:13">
      <c r="A919" s="14">
        <v>1908</v>
      </c>
      <c r="B919" s="67">
        <v>45139</v>
      </c>
      <c r="C919" s="15">
        <f t="shared" si="31"/>
        <v>45139</v>
      </c>
      <c r="D919" s="16"/>
      <c r="E919" s="71"/>
      <c r="F919" s="91">
        <v>120</v>
      </c>
      <c r="G919" s="90"/>
      <c r="H919" s="26">
        <f t="shared" si="32"/>
        <v>10484555.500000002</v>
      </c>
      <c r="I919" s="25" t="s">
        <v>264</v>
      </c>
      <c r="J919" s="22"/>
      <c r="K919" s="25"/>
      <c r="L919" s="25"/>
      <c r="M919" s="22"/>
    </row>
    <row r="920" spans="1:13">
      <c r="A920" s="14">
        <v>1909</v>
      </c>
      <c r="B920" s="67">
        <v>45139</v>
      </c>
      <c r="C920" s="15">
        <f t="shared" si="31"/>
        <v>45139</v>
      </c>
      <c r="D920" s="16"/>
      <c r="E920" s="72"/>
      <c r="F920" s="91">
        <v>9</v>
      </c>
      <c r="G920" s="90"/>
      <c r="H920" s="26">
        <f t="shared" si="32"/>
        <v>10484546.500000002</v>
      </c>
      <c r="I920" s="25" t="s">
        <v>264</v>
      </c>
      <c r="J920" s="22"/>
      <c r="K920" s="25"/>
      <c r="L920" s="25"/>
      <c r="M920" s="22"/>
    </row>
    <row r="921" spans="1:13">
      <c r="A921" s="14">
        <v>1910</v>
      </c>
      <c r="B921" s="67">
        <v>45139</v>
      </c>
      <c r="C921" s="15">
        <f t="shared" si="31"/>
        <v>45139</v>
      </c>
      <c r="D921" s="16"/>
      <c r="E921" s="71"/>
      <c r="F921" s="91">
        <v>20000</v>
      </c>
      <c r="G921" s="90"/>
      <c r="H921" s="26">
        <f t="shared" si="32"/>
        <v>10464546.500000002</v>
      </c>
      <c r="I921" s="25" t="s">
        <v>280</v>
      </c>
      <c r="J921" s="22"/>
      <c r="K921" s="25"/>
      <c r="L921" s="25"/>
      <c r="M921" s="22"/>
    </row>
    <row r="922" spans="1:13">
      <c r="A922" s="14">
        <v>1911</v>
      </c>
      <c r="B922" s="67">
        <v>45139</v>
      </c>
      <c r="C922" s="15">
        <f t="shared" si="31"/>
        <v>45139</v>
      </c>
      <c r="D922" s="16"/>
      <c r="E922" s="72"/>
      <c r="F922" s="91">
        <v>20000</v>
      </c>
      <c r="G922" s="90"/>
      <c r="H922" s="26">
        <f t="shared" si="32"/>
        <v>10444546.500000002</v>
      </c>
      <c r="I922" s="25" t="s">
        <v>280</v>
      </c>
      <c r="J922" s="22"/>
      <c r="K922" s="25"/>
      <c r="L922" s="25"/>
      <c r="M922" s="22"/>
    </row>
    <row r="923" spans="1:13">
      <c r="A923" s="14">
        <v>1912</v>
      </c>
      <c r="B923" s="67">
        <v>45139</v>
      </c>
      <c r="C923" s="15">
        <f t="shared" si="31"/>
        <v>45139</v>
      </c>
      <c r="D923" s="16"/>
      <c r="E923" s="71"/>
      <c r="F923" s="96">
        <v>12400</v>
      </c>
      <c r="G923" s="94"/>
      <c r="H923" s="26">
        <f t="shared" si="32"/>
        <v>10432146.500000002</v>
      </c>
      <c r="I923" s="25" t="s">
        <v>280</v>
      </c>
      <c r="J923" s="22"/>
      <c r="K923" s="25"/>
      <c r="L923" s="25"/>
      <c r="M923" s="22"/>
    </row>
    <row r="924" spans="1:13">
      <c r="A924" s="14">
        <v>1913</v>
      </c>
      <c r="B924" s="67">
        <v>45139</v>
      </c>
      <c r="C924" s="15">
        <f t="shared" si="31"/>
        <v>45139</v>
      </c>
      <c r="D924" s="16"/>
      <c r="E924" s="72"/>
      <c r="F924" s="91">
        <v>20000</v>
      </c>
      <c r="G924" s="95"/>
      <c r="H924" s="26">
        <f t="shared" si="32"/>
        <v>10412146.500000002</v>
      </c>
      <c r="I924" s="25" t="s">
        <v>280</v>
      </c>
      <c r="J924" s="22"/>
      <c r="K924" s="25"/>
      <c r="L924" s="25"/>
      <c r="M924" s="22"/>
    </row>
    <row r="925" spans="1:13">
      <c r="A925" s="14">
        <v>1915</v>
      </c>
      <c r="B925" s="67">
        <v>45139</v>
      </c>
      <c r="C925" s="15">
        <f t="shared" si="31"/>
        <v>45139</v>
      </c>
      <c r="D925" s="16"/>
      <c r="E925" s="72"/>
      <c r="F925" s="91">
        <v>20000</v>
      </c>
      <c r="G925" s="90"/>
      <c r="H925" s="26">
        <f t="shared" si="32"/>
        <v>10392146.500000002</v>
      </c>
      <c r="I925" s="25" t="s">
        <v>280</v>
      </c>
      <c r="J925" s="22"/>
      <c r="K925" s="25"/>
      <c r="L925" s="25"/>
      <c r="M925" s="22"/>
    </row>
    <row r="926" spans="1:13">
      <c r="A926" s="14">
        <v>1916</v>
      </c>
      <c r="B926" s="67">
        <v>45139</v>
      </c>
      <c r="C926" s="15">
        <f t="shared" si="31"/>
        <v>45139</v>
      </c>
      <c r="D926" s="16"/>
      <c r="E926" s="71"/>
      <c r="F926" s="91">
        <v>20000</v>
      </c>
      <c r="G926" s="90"/>
      <c r="H926" s="26">
        <f t="shared" si="32"/>
        <v>10372146.500000002</v>
      </c>
      <c r="I926" s="25" t="s">
        <v>280</v>
      </c>
      <c r="J926" s="22"/>
      <c r="K926" s="25"/>
      <c r="L926" s="25"/>
      <c r="M926" s="22"/>
    </row>
    <row r="927" spans="1:13">
      <c r="A927" s="14">
        <v>1917</v>
      </c>
      <c r="B927" s="67">
        <v>45139</v>
      </c>
      <c r="C927" s="15">
        <f t="shared" si="31"/>
        <v>45139</v>
      </c>
      <c r="D927" s="16"/>
      <c r="E927" s="72"/>
      <c r="F927" s="91">
        <v>20000</v>
      </c>
      <c r="G927" s="90"/>
      <c r="H927" s="26">
        <f t="shared" si="32"/>
        <v>10352146.500000002</v>
      </c>
      <c r="I927" s="25" t="s">
        <v>280</v>
      </c>
      <c r="J927" s="22"/>
      <c r="K927" s="25"/>
      <c r="L927" s="25"/>
      <c r="M927" s="22"/>
    </row>
    <row r="928" spans="1:13">
      <c r="A928" s="14">
        <v>1918</v>
      </c>
      <c r="B928" s="67">
        <v>45139</v>
      </c>
      <c r="C928" s="15">
        <f t="shared" ref="C928:C990" si="33">B928</f>
        <v>45139</v>
      </c>
      <c r="D928" s="16"/>
      <c r="E928" s="71"/>
      <c r="F928" s="91">
        <v>105</v>
      </c>
      <c r="G928" s="90"/>
      <c r="H928" s="26">
        <f t="shared" si="32"/>
        <v>10352041.500000002</v>
      </c>
      <c r="I928" s="25" t="s">
        <v>264</v>
      </c>
      <c r="J928" s="22"/>
      <c r="K928" s="25"/>
      <c r="L928" s="25"/>
      <c r="M928" s="22"/>
    </row>
    <row r="929" spans="1:13">
      <c r="A929" s="14">
        <v>1919</v>
      </c>
      <c r="B929" s="67">
        <v>45139</v>
      </c>
      <c r="C929" s="15">
        <f t="shared" si="33"/>
        <v>45139</v>
      </c>
      <c r="D929" s="16"/>
      <c r="E929" s="72"/>
      <c r="F929" s="91">
        <v>7.88</v>
      </c>
      <c r="G929" s="90"/>
      <c r="H929" s="26">
        <f t="shared" si="32"/>
        <v>10352033.620000001</v>
      </c>
      <c r="I929" s="25" t="s">
        <v>264</v>
      </c>
      <c r="J929" s="22"/>
      <c r="K929" s="25"/>
      <c r="L929" s="25"/>
      <c r="M929" s="22"/>
    </row>
    <row r="930" spans="1:13">
      <c r="A930" s="14">
        <v>1920</v>
      </c>
      <c r="B930" s="67">
        <v>45139</v>
      </c>
      <c r="C930" s="15">
        <f t="shared" si="33"/>
        <v>45139</v>
      </c>
      <c r="D930" s="16"/>
      <c r="E930" s="71"/>
      <c r="F930" s="96">
        <v>20000</v>
      </c>
      <c r="G930" s="94"/>
      <c r="H930" s="26">
        <f t="shared" si="32"/>
        <v>10332033.620000001</v>
      </c>
      <c r="I930" s="25" t="s">
        <v>280</v>
      </c>
      <c r="J930" s="22"/>
      <c r="K930" s="25"/>
      <c r="L930" s="25"/>
      <c r="M930" s="22"/>
    </row>
    <row r="931" spans="1:13">
      <c r="A931" s="14">
        <v>1921</v>
      </c>
      <c r="B931" s="67">
        <v>45139</v>
      </c>
      <c r="C931" s="15">
        <f t="shared" si="33"/>
        <v>45139</v>
      </c>
      <c r="D931" s="16"/>
      <c r="E931" s="72"/>
      <c r="F931" s="91">
        <v>25</v>
      </c>
      <c r="G931" s="90"/>
      <c r="H931" s="26">
        <f t="shared" si="32"/>
        <v>10332008.620000001</v>
      </c>
      <c r="I931" s="25" t="s">
        <v>264</v>
      </c>
      <c r="J931" s="22"/>
      <c r="K931" s="25"/>
      <c r="L931" s="25"/>
      <c r="M931" s="22"/>
    </row>
    <row r="932" spans="1:13">
      <c r="A932" s="14">
        <v>1922</v>
      </c>
      <c r="B932" s="67">
        <v>45139</v>
      </c>
      <c r="C932" s="15">
        <f t="shared" si="33"/>
        <v>45139</v>
      </c>
      <c r="D932" s="16"/>
      <c r="E932" s="71"/>
      <c r="F932" s="91">
        <v>1.87</v>
      </c>
      <c r="G932" s="90"/>
      <c r="H932" s="26">
        <f t="shared" si="32"/>
        <v>10332006.750000002</v>
      </c>
      <c r="I932" s="25" t="s">
        <v>264</v>
      </c>
      <c r="J932" s="22"/>
      <c r="K932" s="25"/>
      <c r="L932" s="25"/>
      <c r="M932" s="22"/>
    </row>
    <row r="933" spans="1:13">
      <c r="A933" s="14">
        <v>1923</v>
      </c>
      <c r="B933" s="67">
        <v>45139</v>
      </c>
      <c r="C933" s="15">
        <f t="shared" si="33"/>
        <v>45139</v>
      </c>
      <c r="D933" s="16"/>
      <c r="E933" s="72"/>
      <c r="F933" s="91">
        <v>20000</v>
      </c>
      <c r="G933" s="90"/>
      <c r="H933" s="26">
        <f t="shared" si="32"/>
        <v>10312006.750000002</v>
      </c>
      <c r="I933" s="25" t="s">
        <v>280</v>
      </c>
      <c r="J933" s="22"/>
      <c r="K933" s="25"/>
      <c r="L933" s="25"/>
      <c r="M933" s="22"/>
    </row>
    <row r="934" spans="1:13">
      <c r="A934" s="14">
        <v>1924</v>
      </c>
      <c r="B934" s="67">
        <v>45139</v>
      </c>
      <c r="C934" s="15">
        <f t="shared" si="33"/>
        <v>45139</v>
      </c>
      <c r="D934" s="16"/>
      <c r="E934" s="71"/>
      <c r="F934" s="91">
        <v>25</v>
      </c>
      <c r="G934" s="90"/>
      <c r="H934" s="26">
        <f t="shared" si="32"/>
        <v>10311981.750000002</v>
      </c>
      <c r="I934" s="25" t="s">
        <v>264</v>
      </c>
      <c r="J934" s="22"/>
      <c r="K934" s="25"/>
      <c r="L934" s="25"/>
      <c r="M934" s="22"/>
    </row>
    <row r="935" spans="1:13">
      <c r="A935" s="14">
        <v>1925</v>
      </c>
      <c r="B935" s="67">
        <v>45139</v>
      </c>
      <c r="C935" s="15">
        <f t="shared" si="33"/>
        <v>45139</v>
      </c>
      <c r="D935" s="16"/>
      <c r="E935" s="72"/>
      <c r="F935" s="91">
        <v>1.87</v>
      </c>
      <c r="G935" s="90"/>
      <c r="H935" s="26">
        <f t="shared" si="32"/>
        <v>10311979.880000003</v>
      </c>
      <c r="I935" s="25" t="s">
        <v>264</v>
      </c>
      <c r="J935" s="22"/>
      <c r="K935" s="25"/>
      <c r="L935" s="25"/>
      <c r="M935" s="22"/>
    </row>
    <row r="936" spans="1:13">
      <c r="A936" s="14">
        <v>1926</v>
      </c>
      <c r="B936" s="67">
        <v>45139</v>
      </c>
      <c r="C936" s="15">
        <f t="shared" si="33"/>
        <v>45139</v>
      </c>
      <c r="D936" s="16"/>
      <c r="E936" s="71"/>
      <c r="F936" s="91">
        <v>12400</v>
      </c>
      <c r="G936" s="90"/>
      <c r="H936" s="26">
        <f t="shared" si="32"/>
        <v>10299579.880000003</v>
      </c>
      <c r="I936" s="25" t="s">
        <v>280</v>
      </c>
      <c r="J936" s="22"/>
      <c r="K936" s="25"/>
      <c r="L936" s="25"/>
      <c r="M936" s="22"/>
    </row>
    <row r="937" spans="1:13">
      <c r="A937" s="14">
        <v>1927</v>
      </c>
      <c r="B937" s="67">
        <v>45139</v>
      </c>
      <c r="C937" s="15">
        <f t="shared" si="33"/>
        <v>45139</v>
      </c>
      <c r="D937" s="16"/>
      <c r="E937" s="72"/>
      <c r="F937" s="96">
        <v>25</v>
      </c>
      <c r="G937" s="94"/>
      <c r="H937" s="26">
        <f t="shared" si="32"/>
        <v>10299554.880000003</v>
      </c>
      <c r="I937" s="25" t="s">
        <v>264</v>
      </c>
      <c r="J937" s="22"/>
      <c r="K937" s="25"/>
      <c r="L937" s="25"/>
      <c r="M937" s="22"/>
    </row>
    <row r="938" spans="1:13">
      <c r="A938" s="14">
        <v>1928</v>
      </c>
      <c r="B938" s="67">
        <v>45139</v>
      </c>
      <c r="C938" s="15">
        <f t="shared" si="33"/>
        <v>45139</v>
      </c>
      <c r="D938" s="16"/>
      <c r="E938" s="71"/>
      <c r="F938" s="91">
        <v>1.87</v>
      </c>
      <c r="G938" s="90"/>
      <c r="H938" s="26">
        <f t="shared" si="32"/>
        <v>10299553.010000004</v>
      </c>
      <c r="I938" s="25" t="s">
        <v>264</v>
      </c>
      <c r="J938" s="22"/>
      <c r="K938" s="25"/>
      <c r="L938" s="25"/>
      <c r="M938" s="22"/>
    </row>
    <row r="939" spans="1:13">
      <c r="A939" s="14">
        <v>1929</v>
      </c>
      <c r="B939" s="67">
        <v>45139</v>
      </c>
      <c r="C939" s="15">
        <f t="shared" si="33"/>
        <v>45139</v>
      </c>
      <c r="D939" s="16"/>
      <c r="E939" s="72"/>
      <c r="F939" s="91">
        <v>15</v>
      </c>
      <c r="G939" s="90"/>
      <c r="H939" s="26">
        <f t="shared" si="32"/>
        <v>10299538.010000004</v>
      </c>
      <c r="I939" s="25" t="s">
        <v>264</v>
      </c>
      <c r="J939" s="22"/>
      <c r="K939" s="25"/>
      <c r="L939" s="25"/>
      <c r="M939" s="22"/>
    </row>
    <row r="940" spans="1:13">
      <c r="A940" s="14">
        <v>1930</v>
      </c>
      <c r="B940" s="67">
        <v>45139</v>
      </c>
      <c r="C940" s="15">
        <f t="shared" si="33"/>
        <v>45139</v>
      </c>
      <c r="D940" s="16"/>
      <c r="E940" s="71"/>
      <c r="F940" s="91">
        <v>1.1299999999999999</v>
      </c>
      <c r="G940" s="90"/>
      <c r="H940" s="26">
        <f t="shared" ref="H940:H1003" si="34">IFERROR(H939-F940+G940,"")</f>
        <v>10299536.880000003</v>
      </c>
      <c r="I940" s="25" t="s">
        <v>264</v>
      </c>
      <c r="J940" s="22"/>
      <c r="K940" s="25"/>
      <c r="L940" s="25"/>
      <c r="M940" s="22"/>
    </row>
    <row r="941" spans="1:13">
      <c r="A941" s="14">
        <v>1931</v>
      </c>
      <c r="B941" s="67">
        <v>45139</v>
      </c>
      <c r="C941" s="15">
        <f t="shared" si="33"/>
        <v>45139</v>
      </c>
      <c r="D941" s="16"/>
      <c r="E941" s="72"/>
      <c r="F941" s="91">
        <v>60000</v>
      </c>
      <c r="G941" s="90"/>
      <c r="H941" s="26">
        <f t="shared" si="34"/>
        <v>10239536.880000003</v>
      </c>
      <c r="I941" s="25" t="s">
        <v>271</v>
      </c>
      <c r="J941" s="22"/>
      <c r="K941" s="25"/>
      <c r="L941" s="25"/>
      <c r="M941" s="22"/>
    </row>
    <row r="942" spans="1:13">
      <c r="A942" s="14">
        <v>1932</v>
      </c>
      <c r="B942" s="67">
        <v>45139</v>
      </c>
      <c r="C942" s="15">
        <f t="shared" si="33"/>
        <v>45139</v>
      </c>
      <c r="D942" s="16"/>
      <c r="E942" s="71"/>
      <c r="F942" s="91">
        <v>50</v>
      </c>
      <c r="G942" s="90"/>
      <c r="H942" s="26">
        <f t="shared" si="34"/>
        <v>10239486.880000003</v>
      </c>
      <c r="I942" s="25" t="s">
        <v>264</v>
      </c>
      <c r="J942" s="22"/>
      <c r="K942" s="25"/>
      <c r="L942" s="25"/>
      <c r="M942" s="22"/>
    </row>
    <row r="943" spans="1:13">
      <c r="A943" s="14">
        <v>1933</v>
      </c>
      <c r="B943" s="67">
        <v>45139</v>
      </c>
      <c r="C943" s="15">
        <f t="shared" si="33"/>
        <v>45139</v>
      </c>
      <c r="D943" s="16"/>
      <c r="E943" s="72"/>
      <c r="F943" s="91">
        <v>3.75</v>
      </c>
      <c r="G943" s="90"/>
      <c r="H943" s="26">
        <f t="shared" si="34"/>
        <v>10239483.130000003</v>
      </c>
      <c r="I943" s="25" t="s">
        <v>264</v>
      </c>
      <c r="J943" s="22"/>
      <c r="K943" s="25"/>
      <c r="L943" s="25"/>
      <c r="M943" s="22"/>
    </row>
    <row r="944" spans="1:13">
      <c r="A944" s="14">
        <v>1934</v>
      </c>
      <c r="B944" s="67">
        <v>45146</v>
      </c>
      <c r="C944" s="15">
        <f t="shared" si="33"/>
        <v>45146</v>
      </c>
      <c r="D944" s="16"/>
      <c r="E944" s="71"/>
      <c r="F944" s="90"/>
      <c r="G944" s="91">
        <v>1284865.75</v>
      </c>
      <c r="H944" s="26">
        <f t="shared" si="34"/>
        <v>11524348.880000003</v>
      </c>
      <c r="I944" s="25" t="s">
        <v>314</v>
      </c>
      <c r="J944" s="22"/>
      <c r="K944" s="25"/>
      <c r="L944" s="25"/>
      <c r="M944" s="22"/>
    </row>
    <row r="945" spans="1:13">
      <c r="A945" s="14">
        <v>1935</v>
      </c>
      <c r="B945" s="67">
        <v>45146</v>
      </c>
      <c r="C945" s="15">
        <f t="shared" si="33"/>
        <v>45146</v>
      </c>
      <c r="D945" s="16"/>
      <c r="E945" s="72"/>
      <c r="F945" s="94"/>
      <c r="G945" s="96">
        <v>91578.26</v>
      </c>
      <c r="H945" s="26">
        <f t="shared" si="34"/>
        <v>11615927.140000002</v>
      </c>
      <c r="I945" s="25" t="s">
        <v>317</v>
      </c>
      <c r="J945" s="22"/>
      <c r="K945" s="25"/>
      <c r="L945" s="25"/>
      <c r="M945" s="22"/>
    </row>
    <row r="946" spans="1:13">
      <c r="A946" s="14">
        <v>1936</v>
      </c>
      <c r="B946" s="67">
        <v>45146</v>
      </c>
      <c r="C946" s="15">
        <f t="shared" si="33"/>
        <v>45146</v>
      </c>
      <c r="D946" s="16"/>
      <c r="E946" s="71"/>
      <c r="F946" s="95"/>
      <c r="G946" s="91">
        <v>1300000</v>
      </c>
      <c r="H946" s="26">
        <f t="shared" si="34"/>
        <v>12915927.140000002</v>
      </c>
      <c r="I946" s="25" t="s">
        <v>300</v>
      </c>
      <c r="J946" s="22"/>
      <c r="K946" s="25"/>
      <c r="L946" s="25"/>
      <c r="M946" s="22"/>
    </row>
    <row r="947" spans="1:13">
      <c r="A947" s="14">
        <v>1937</v>
      </c>
      <c r="B947" s="67">
        <v>45146</v>
      </c>
      <c r="C947" s="15">
        <f t="shared" si="33"/>
        <v>45146</v>
      </c>
      <c r="D947" s="16"/>
      <c r="E947" s="72"/>
      <c r="F947" s="91">
        <v>45500</v>
      </c>
      <c r="G947" s="90"/>
      <c r="H947" s="26">
        <f t="shared" si="34"/>
        <v>12870427.140000002</v>
      </c>
      <c r="I947" s="25" t="s">
        <v>286</v>
      </c>
      <c r="J947" s="22"/>
      <c r="K947" s="25"/>
      <c r="L947" s="25"/>
      <c r="M947" s="22"/>
    </row>
    <row r="948" spans="1:13">
      <c r="A948" s="14">
        <v>1938</v>
      </c>
      <c r="B948" s="67">
        <v>45146</v>
      </c>
      <c r="C948" s="15">
        <f t="shared" si="33"/>
        <v>45146</v>
      </c>
      <c r="D948" s="16"/>
      <c r="E948" s="71"/>
      <c r="F948" s="91">
        <v>25</v>
      </c>
      <c r="G948" s="90"/>
      <c r="H948" s="26">
        <f t="shared" si="34"/>
        <v>12870402.140000002</v>
      </c>
      <c r="I948" s="25" t="s">
        <v>264</v>
      </c>
      <c r="J948" s="22"/>
      <c r="K948" s="25"/>
      <c r="L948" s="25"/>
      <c r="M948" s="22"/>
    </row>
    <row r="949" spans="1:13">
      <c r="A949" s="14">
        <v>1939</v>
      </c>
      <c r="B949" s="67">
        <v>45146</v>
      </c>
      <c r="C949" s="15">
        <f t="shared" si="33"/>
        <v>45146</v>
      </c>
      <c r="D949" s="16"/>
      <c r="E949" s="72"/>
      <c r="F949" s="91">
        <v>1.87</v>
      </c>
      <c r="G949" s="90"/>
      <c r="H949" s="26">
        <f t="shared" si="34"/>
        <v>12870400.270000003</v>
      </c>
      <c r="I949" s="25" t="s">
        <v>264</v>
      </c>
      <c r="J949" s="22"/>
      <c r="K949" s="25"/>
      <c r="L949" s="25"/>
      <c r="M949" s="22"/>
    </row>
    <row r="950" spans="1:13">
      <c r="A950" s="14">
        <v>1940</v>
      </c>
      <c r="B950" s="67">
        <v>45146</v>
      </c>
      <c r="C950" s="15">
        <f t="shared" si="33"/>
        <v>45146</v>
      </c>
      <c r="D950" s="16"/>
      <c r="E950" s="71"/>
      <c r="F950" s="91">
        <v>87650</v>
      </c>
      <c r="G950" s="90"/>
      <c r="H950" s="26">
        <f t="shared" si="34"/>
        <v>12782750.270000003</v>
      </c>
      <c r="I950" s="25" t="s">
        <v>295</v>
      </c>
      <c r="J950" s="22"/>
      <c r="K950" s="25"/>
      <c r="L950" s="25"/>
      <c r="M950" s="22"/>
    </row>
    <row r="951" spans="1:13">
      <c r="A951" s="14">
        <v>1941</v>
      </c>
      <c r="B951" s="67">
        <v>45146</v>
      </c>
      <c r="C951" s="15">
        <f t="shared" si="33"/>
        <v>45146</v>
      </c>
      <c r="D951" s="16"/>
      <c r="E951" s="72"/>
      <c r="F951" s="96">
        <v>50</v>
      </c>
      <c r="G951" s="94"/>
      <c r="H951" s="26">
        <f t="shared" si="34"/>
        <v>12782700.270000003</v>
      </c>
      <c r="I951" s="25" t="s">
        <v>264</v>
      </c>
      <c r="J951" s="22"/>
      <c r="K951" s="25"/>
      <c r="L951" s="25"/>
      <c r="M951" s="22"/>
    </row>
    <row r="952" spans="1:13">
      <c r="A952" s="14">
        <v>1942</v>
      </c>
      <c r="B952" s="67">
        <v>45146</v>
      </c>
      <c r="C952" s="15">
        <f t="shared" si="33"/>
        <v>45146</v>
      </c>
      <c r="D952" s="16"/>
      <c r="E952" s="71"/>
      <c r="F952" s="91">
        <v>3.75</v>
      </c>
      <c r="G952" s="90"/>
      <c r="H952" s="26">
        <f t="shared" si="34"/>
        <v>12782696.520000003</v>
      </c>
      <c r="I952" s="25" t="s">
        <v>264</v>
      </c>
      <c r="J952" s="22"/>
      <c r="K952" s="25"/>
      <c r="L952" s="25"/>
      <c r="M952" s="22"/>
    </row>
    <row r="953" spans="1:13">
      <c r="A953" s="14">
        <v>1943</v>
      </c>
      <c r="B953" s="67">
        <v>45146</v>
      </c>
      <c r="C953" s="15">
        <f t="shared" si="33"/>
        <v>45146</v>
      </c>
      <c r="D953" s="16"/>
      <c r="E953" s="72"/>
      <c r="F953" s="91">
        <v>1284865.75</v>
      </c>
      <c r="G953" s="90"/>
      <c r="H953" s="26">
        <f t="shared" si="34"/>
        <v>11497830.770000003</v>
      </c>
      <c r="I953" s="25" t="s">
        <v>272</v>
      </c>
      <c r="J953" s="22"/>
      <c r="K953" s="25"/>
      <c r="L953" s="25"/>
      <c r="M953" s="22"/>
    </row>
    <row r="954" spans="1:13">
      <c r="A954" s="14">
        <v>1944</v>
      </c>
      <c r="B954" s="67">
        <v>45146</v>
      </c>
      <c r="C954" s="15">
        <f t="shared" si="33"/>
        <v>45146</v>
      </c>
      <c r="D954" s="16"/>
      <c r="E954" s="71"/>
      <c r="F954" s="91">
        <v>100</v>
      </c>
      <c r="G954" s="90"/>
      <c r="H954" s="26">
        <f t="shared" si="34"/>
        <v>11497730.770000003</v>
      </c>
      <c r="I954" s="25" t="s">
        <v>264</v>
      </c>
      <c r="J954" s="22"/>
      <c r="K954" s="25"/>
      <c r="L954" s="25"/>
      <c r="M954" s="22"/>
    </row>
    <row r="955" spans="1:13">
      <c r="A955" s="14">
        <v>1945</v>
      </c>
      <c r="B955" s="67">
        <v>45146</v>
      </c>
      <c r="C955" s="15">
        <f t="shared" si="33"/>
        <v>45146</v>
      </c>
      <c r="D955" s="16"/>
      <c r="E955" s="72"/>
      <c r="F955" s="91">
        <v>5000</v>
      </c>
      <c r="G955" s="90"/>
      <c r="H955" s="26">
        <f t="shared" si="34"/>
        <v>11492730.770000003</v>
      </c>
      <c r="I955" s="25" t="s">
        <v>284</v>
      </c>
      <c r="J955" s="22"/>
      <c r="K955" s="25"/>
      <c r="L955" s="25"/>
      <c r="M955" s="22"/>
    </row>
    <row r="956" spans="1:13">
      <c r="A956" s="14">
        <v>1946</v>
      </c>
      <c r="B956" s="67">
        <v>45146</v>
      </c>
      <c r="C956" s="15">
        <f t="shared" si="33"/>
        <v>45146</v>
      </c>
      <c r="D956" s="16"/>
      <c r="E956" s="71"/>
      <c r="F956" s="91">
        <v>10</v>
      </c>
      <c r="G956" s="90"/>
      <c r="H956" s="26">
        <f t="shared" si="34"/>
        <v>11492720.770000003</v>
      </c>
      <c r="I956" s="25" t="s">
        <v>264</v>
      </c>
      <c r="J956" s="22"/>
      <c r="K956" s="25"/>
      <c r="L956" s="25"/>
      <c r="M956" s="22"/>
    </row>
    <row r="957" spans="1:13">
      <c r="A957" s="14">
        <v>1947</v>
      </c>
      <c r="B957" s="67">
        <v>45146</v>
      </c>
      <c r="C957" s="15">
        <f t="shared" si="33"/>
        <v>45146</v>
      </c>
      <c r="D957" s="16"/>
      <c r="E957" s="72"/>
      <c r="F957" s="91">
        <v>0.75</v>
      </c>
      <c r="G957" s="90"/>
      <c r="H957" s="26">
        <f t="shared" si="34"/>
        <v>11492720.020000003</v>
      </c>
      <c r="I957" s="25" t="s">
        <v>264</v>
      </c>
      <c r="J957" s="22"/>
      <c r="K957" s="25"/>
      <c r="L957" s="25"/>
      <c r="M957" s="22"/>
    </row>
    <row r="958" spans="1:13">
      <c r="A958" s="14">
        <v>1948</v>
      </c>
      <c r="B958" s="67">
        <v>45146</v>
      </c>
      <c r="C958" s="15">
        <f t="shared" si="33"/>
        <v>45146</v>
      </c>
      <c r="D958" s="16"/>
      <c r="E958" s="71"/>
      <c r="F958" s="96">
        <v>11900</v>
      </c>
      <c r="G958" s="94"/>
      <c r="H958" s="26">
        <f t="shared" si="34"/>
        <v>11480820.020000003</v>
      </c>
      <c r="I958" s="25" t="s">
        <v>318</v>
      </c>
      <c r="J958" s="22"/>
      <c r="K958" s="25"/>
      <c r="L958" s="25"/>
      <c r="M958" s="22"/>
    </row>
    <row r="959" spans="1:13">
      <c r="A959" s="14">
        <v>1949</v>
      </c>
      <c r="B959" s="67">
        <v>45146</v>
      </c>
      <c r="C959" s="15">
        <f t="shared" si="33"/>
        <v>45146</v>
      </c>
      <c r="D959" s="16"/>
      <c r="E959" s="72"/>
      <c r="F959" s="91">
        <v>25</v>
      </c>
      <c r="G959" s="95"/>
      <c r="H959" s="26">
        <f t="shared" si="34"/>
        <v>11480795.020000003</v>
      </c>
      <c r="I959" s="25" t="s">
        <v>264</v>
      </c>
      <c r="J959" s="22"/>
      <c r="K959" s="25"/>
      <c r="L959" s="25"/>
      <c r="M959" s="22"/>
    </row>
    <row r="960" spans="1:13">
      <c r="A960" s="14">
        <v>1950</v>
      </c>
      <c r="B960" s="67">
        <v>45146</v>
      </c>
      <c r="C960" s="15">
        <f t="shared" si="33"/>
        <v>45146</v>
      </c>
      <c r="D960" s="16"/>
      <c r="E960" s="71"/>
      <c r="F960" s="91">
        <v>1.87</v>
      </c>
      <c r="G960" s="90"/>
      <c r="H960" s="26">
        <f t="shared" si="34"/>
        <v>11480793.150000004</v>
      </c>
      <c r="I960" s="25" t="s">
        <v>264</v>
      </c>
      <c r="J960" s="22"/>
      <c r="K960" s="25"/>
      <c r="L960" s="25"/>
      <c r="M960" s="22"/>
    </row>
    <row r="961" spans="1:13">
      <c r="A961" s="14">
        <v>1951</v>
      </c>
      <c r="B961" s="67">
        <v>45146</v>
      </c>
      <c r="C961" s="15">
        <f t="shared" si="33"/>
        <v>45146</v>
      </c>
      <c r="D961" s="16"/>
      <c r="E961" s="72"/>
      <c r="F961" s="91">
        <v>45000</v>
      </c>
      <c r="G961" s="90"/>
      <c r="H961" s="26">
        <f t="shared" si="34"/>
        <v>11435793.150000004</v>
      </c>
      <c r="I961" s="25" t="s">
        <v>280</v>
      </c>
      <c r="J961" s="22"/>
      <c r="K961" s="25"/>
      <c r="L961" s="25"/>
      <c r="M961" s="22"/>
    </row>
    <row r="962" spans="1:13">
      <c r="A962" s="14">
        <v>1952</v>
      </c>
      <c r="B962" s="67">
        <v>45146</v>
      </c>
      <c r="C962" s="15">
        <f t="shared" si="33"/>
        <v>45146</v>
      </c>
      <c r="D962" s="16"/>
      <c r="E962" s="71"/>
      <c r="F962" s="91">
        <v>45</v>
      </c>
      <c r="G962" s="90"/>
      <c r="H962" s="26">
        <f t="shared" si="34"/>
        <v>11435748.150000004</v>
      </c>
      <c r="I962" s="25" t="s">
        <v>264</v>
      </c>
      <c r="J962" s="22"/>
      <c r="K962" s="25"/>
      <c r="L962" s="25"/>
      <c r="M962" s="22"/>
    </row>
    <row r="963" spans="1:13">
      <c r="A963" s="14">
        <v>1953</v>
      </c>
      <c r="B963" s="67">
        <v>45146</v>
      </c>
      <c r="C963" s="15">
        <f t="shared" si="33"/>
        <v>45146</v>
      </c>
      <c r="D963" s="16"/>
      <c r="E963" s="72"/>
      <c r="F963" s="91">
        <v>3.38</v>
      </c>
      <c r="G963" s="90"/>
      <c r="H963" s="26">
        <f t="shared" si="34"/>
        <v>11435744.770000003</v>
      </c>
      <c r="I963" s="25" t="s">
        <v>264</v>
      </c>
      <c r="J963" s="22"/>
      <c r="K963" s="25"/>
      <c r="L963" s="25"/>
      <c r="M963" s="22"/>
    </row>
    <row r="964" spans="1:13">
      <c r="A964" s="14">
        <v>1954</v>
      </c>
      <c r="B964" s="67">
        <v>45146</v>
      </c>
      <c r="C964" s="15">
        <f t="shared" si="33"/>
        <v>45146</v>
      </c>
      <c r="D964" s="16"/>
      <c r="E964" s="71"/>
      <c r="F964" s="91">
        <v>100</v>
      </c>
      <c r="G964" s="90"/>
      <c r="H964" s="26">
        <f t="shared" si="34"/>
        <v>11435644.770000003</v>
      </c>
      <c r="I964" s="25" t="s">
        <v>264</v>
      </c>
      <c r="J964" s="22"/>
      <c r="K964" s="25"/>
      <c r="L964" s="25"/>
      <c r="M964" s="22"/>
    </row>
    <row r="965" spans="1:13">
      <c r="A965" s="14">
        <v>1955</v>
      </c>
      <c r="B965" s="67">
        <v>45146</v>
      </c>
      <c r="C965" s="15">
        <f t="shared" si="33"/>
        <v>45146</v>
      </c>
      <c r="D965" s="16"/>
      <c r="E965" s="72"/>
      <c r="F965" s="91">
        <v>91578.26</v>
      </c>
      <c r="G965" s="90"/>
      <c r="H965" s="26">
        <f t="shared" si="34"/>
        <v>11344066.510000004</v>
      </c>
      <c r="I965" s="25" t="s">
        <v>312</v>
      </c>
      <c r="J965" s="22"/>
      <c r="K965" s="25"/>
      <c r="L965" s="25"/>
      <c r="M965" s="22"/>
    </row>
    <row r="966" spans="1:13">
      <c r="A966" s="14">
        <v>1956</v>
      </c>
      <c r="B966" s="67">
        <v>45146</v>
      </c>
      <c r="C966" s="15">
        <f t="shared" si="33"/>
        <v>45146</v>
      </c>
      <c r="D966" s="16"/>
      <c r="E966" s="71"/>
      <c r="F966" s="91">
        <v>150</v>
      </c>
      <c r="G966" s="95"/>
      <c r="H966" s="26">
        <f t="shared" si="34"/>
        <v>11343916.510000004</v>
      </c>
      <c r="I966" s="25" t="s">
        <v>264</v>
      </c>
      <c r="J966" s="22"/>
      <c r="K966" s="25"/>
      <c r="L966" s="25"/>
      <c r="M966" s="22"/>
    </row>
    <row r="967" spans="1:13">
      <c r="A967" s="14">
        <v>1957</v>
      </c>
      <c r="B967" s="67">
        <v>45152</v>
      </c>
      <c r="C967" s="15">
        <f t="shared" si="33"/>
        <v>45152</v>
      </c>
      <c r="D967" s="16"/>
      <c r="E967" s="72"/>
      <c r="F967" s="96">
        <v>2000</v>
      </c>
      <c r="G967" s="94"/>
      <c r="H967" s="26">
        <f t="shared" si="34"/>
        <v>11341916.510000004</v>
      </c>
      <c r="I967" s="25" t="s">
        <v>284</v>
      </c>
      <c r="J967" s="22"/>
      <c r="K967" s="25"/>
      <c r="L967" s="25"/>
      <c r="M967" s="22"/>
    </row>
    <row r="968" spans="1:13">
      <c r="A968" s="14">
        <v>1958</v>
      </c>
      <c r="B968" s="67">
        <v>45152</v>
      </c>
      <c r="C968" s="15">
        <f t="shared" si="33"/>
        <v>45152</v>
      </c>
      <c r="D968" s="16"/>
      <c r="E968" s="71"/>
      <c r="F968" s="91">
        <v>10</v>
      </c>
      <c r="G968" s="95"/>
      <c r="H968" s="26">
        <f t="shared" si="34"/>
        <v>11341906.510000004</v>
      </c>
      <c r="I968" s="25" t="s">
        <v>264</v>
      </c>
      <c r="J968" s="22"/>
      <c r="K968" s="25"/>
      <c r="L968" s="25"/>
      <c r="M968" s="22"/>
    </row>
    <row r="969" spans="1:13">
      <c r="A969" s="14">
        <v>1960</v>
      </c>
      <c r="B969" s="67">
        <v>45152</v>
      </c>
      <c r="C969" s="15">
        <f t="shared" si="33"/>
        <v>45152</v>
      </c>
      <c r="D969" s="16"/>
      <c r="E969" s="71"/>
      <c r="F969" s="91">
        <v>0.75</v>
      </c>
      <c r="G969" s="90"/>
      <c r="H969" s="26">
        <f t="shared" si="34"/>
        <v>11341905.760000004</v>
      </c>
      <c r="I969" s="25" t="s">
        <v>264</v>
      </c>
      <c r="J969" s="22"/>
      <c r="K969" s="25"/>
      <c r="L969" s="25"/>
      <c r="M969" s="22"/>
    </row>
    <row r="970" spans="1:13">
      <c r="A970" s="14">
        <v>1961</v>
      </c>
      <c r="B970" s="67">
        <v>45152</v>
      </c>
      <c r="C970" s="15">
        <f t="shared" si="33"/>
        <v>45152</v>
      </c>
      <c r="D970" s="16"/>
      <c r="E970" s="72"/>
      <c r="F970" s="91">
        <v>90000</v>
      </c>
      <c r="G970" s="90"/>
      <c r="H970" s="26">
        <f t="shared" si="34"/>
        <v>11251905.760000004</v>
      </c>
      <c r="I970" s="25" t="s">
        <v>285</v>
      </c>
      <c r="J970" s="22"/>
      <c r="K970" s="25"/>
      <c r="L970" s="25"/>
      <c r="M970" s="22"/>
    </row>
    <row r="971" spans="1:13">
      <c r="A971" s="14">
        <v>1962</v>
      </c>
      <c r="B971" s="67">
        <v>45152</v>
      </c>
      <c r="C971" s="15">
        <f t="shared" si="33"/>
        <v>45152</v>
      </c>
      <c r="D971" s="16"/>
      <c r="E971" s="71"/>
      <c r="F971" s="91">
        <v>50</v>
      </c>
      <c r="G971" s="90"/>
      <c r="H971" s="26">
        <f t="shared" si="34"/>
        <v>11251855.760000004</v>
      </c>
      <c r="I971" s="25" t="s">
        <v>264</v>
      </c>
      <c r="J971" s="22"/>
      <c r="K971" s="25"/>
      <c r="L971" s="25"/>
      <c r="M971" s="22"/>
    </row>
    <row r="972" spans="1:13">
      <c r="A972" s="14">
        <v>1963</v>
      </c>
      <c r="B972" s="67">
        <v>45152</v>
      </c>
      <c r="C972" s="15">
        <f t="shared" si="33"/>
        <v>45152</v>
      </c>
      <c r="D972" s="16"/>
      <c r="E972" s="72"/>
      <c r="F972" s="91">
        <v>3.75</v>
      </c>
      <c r="G972" s="90"/>
      <c r="H972" s="26">
        <f t="shared" si="34"/>
        <v>11251852.010000004</v>
      </c>
      <c r="I972" s="25" t="s">
        <v>264</v>
      </c>
      <c r="J972" s="22"/>
      <c r="K972" s="25"/>
      <c r="L972" s="25"/>
      <c r="M972" s="22"/>
    </row>
    <row r="973" spans="1:13">
      <c r="A973" s="14">
        <v>1964</v>
      </c>
      <c r="B973" s="67">
        <v>45152</v>
      </c>
      <c r="C973" s="15">
        <f t="shared" si="33"/>
        <v>45152</v>
      </c>
      <c r="D973" s="16"/>
      <c r="E973" s="71"/>
      <c r="F973" s="96">
        <v>8000</v>
      </c>
      <c r="G973" s="94"/>
      <c r="H973" s="26">
        <f t="shared" si="34"/>
        <v>11243852.010000004</v>
      </c>
      <c r="I973" s="25" t="s">
        <v>283</v>
      </c>
      <c r="J973" s="22"/>
      <c r="K973" s="25"/>
      <c r="L973" s="25"/>
      <c r="M973" s="22"/>
    </row>
    <row r="974" spans="1:13">
      <c r="A974" s="14">
        <v>1965</v>
      </c>
      <c r="B974" s="67">
        <v>45152</v>
      </c>
      <c r="C974" s="15">
        <f t="shared" si="33"/>
        <v>45152</v>
      </c>
      <c r="D974" s="16"/>
      <c r="E974" s="72"/>
      <c r="F974" s="91">
        <v>4000</v>
      </c>
      <c r="G974" s="90"/>
      <c r="H974" s="26">
        <f t="shared" si="34"/>
        <v>11239852.010000004</v>
      </c>
      <c r="I974" s="25" t="s">
        <v>295</v>
      </c>
      <c r="J974" s="22"/>
      <c r="K974" s="25"/>
      <c r="L974" s="25"/>
      <c r="M974" s="22"/>
    </row>
    <row r="975" spans="1:13">
      <c r="A975" s="14">
        <v>1966</v>
      </c>
      <c r="B975" s="67">
        <v>45152</v>
      </c>
      <c r="C975" s="15">
        <f t="shared" si="33"/>
        <v>45152</v>
      </c>
      <c r="D975" s="16"/>
      <c r="E975" s="71"/>
      <c r="F975" s="91">
        <v>100</v>
      </c>
      <c r="G975" s="90"/>
      <c r="H975" s="26">
        <f t="shared" si="34"/>
        <v>11239752.010000004</v>
      </c>
      <c r="I975" s="25" t="s">
        <v>264</v>
      </c>
      <c r="J975" s="22"/>
      <c r="K975" s="25"/>
      <c r="L975" s="25"/>
      <c r="M975" s="22"/>
    </row>
    <row r="976" spans="1:13">
      <c r="A976" s="14">
        <v>1967</v>
      </c>
      <c r="B976" s="67">
        <v>45160</v>
      </c>
      <c r="C976" s="15">
        <f t="shared" si="33"/>
        <v>45160</v>
      </c>
      <c r="D976" s="16"/>
      <c r="E976" s="72"/>
      <c r="F976" s="91">
        <v>100800</v>
      </c>
      <c r="G976" s="90"/>
      <c r="H976" s="26">
        <f t="shared" si="34"/>
        <v>11138952.010000004</v>
      </c>
      <c r="I976" s="25" t="s">
        <v>285</v>
      </c>
      <c r="J976" s="22"/>
      <c r="K976" s="25"/>
      <c r="L976" s="25"/>
      <c r="M976" s="22"/>
    </row>
    <row r="977" spans="1:13">
      <c r="A977" s="14">
        <v>1968</v>
      </c>
      <c r="B977" s="67">
        <v>45160</v>
      </c>
      <c r="C977" s="15">
        <f t="shared" si="33"/>
        <v>45160</v>
      </c>
      <c r="D977" s="16"/>
      <c r="E977" s="71"/>
      <c r="F977" s="91">
        <v>50</v>
      </c>
      <c r="G977" s="90"/>
      <c r="H977" s="26">
        <f t="shared" si="34"/>
        <v>11138902.010000004</v>
      </c>
      <c r="I977" s="25" t="s">
        <v>264</v>
      </c>
      <c r="J977" s="22"/>
      <c r="K977" s="25"/>
      <c r="L977" s="25"/>
      <c r="M977" s="22"/>
    </row>
    <row r="978" spans="1:13">
      <c r="A978" s="14">
        <v>1969</v>
      </c>
      <c r="B978" s="67">
        <v>45160</v>
      </c>
      <c r="C978" s="15">
        <f t="shared" si="33"/>
        <v>45160</v>
      </c>
      <c r="D978" s="16"/>
      <c r="E978" s="72"/>
      <c r="F978" s="91">
        <v>3.75</v>
      </c>
      <c r="G978" s="90"/>
      <c r="H978" s="26">
        <f t="shared" si="34"/>
        <v>11138898.260000004</v>
      </c>
      <c r="I978" s="25" t="s">
        <v>264</v>
      </c>
      <c r="J978" s="22"/>
      <c r="K978" s="25"/>
      <c r="L978" s="25"/>
      <c r="M978" s="22"/>
    </row>
    <row r="979" spans="1:13">
      <c r="A979" s="14">
        <v>1970</v>
      </c>
      <c r="B979" s="67">
        <v>45160</v>
      </c>
      <c r="C979" s="15">
        <f t="shared" si="33"/>
        <v>45160</v>
      </c>
      <c r="D979" s="16"/>
      <c r="E979" s="71"/>
      <c r="F979" s="91">
        <v>100</v>
      </c>
      <c r="G979" s="90"/>
      <c r="H979" s="26">
        <f t="shared" si="34"/>
        <v>11138798.260000004</v>
      </c>
      <c r="I979" s="25" t="s">
        <v>264</v>
      </c>
      <c r="J979" s="22"/>
      <c r="K979" s="25"/>
      <c r="L979" s="25"/>
      <c r="M979" s="22"/>
    </row>
    <row r="980" spans="1:13">
      <c r="A980" s="14">
        <v>1971</v>
      </c>
      <c r="B980" s="67">
        <v>45160</v>
      </c>
      <c r="C980" s="15">
        <f t="shared" si="33"/>
        <v>45160</v>
      </c>
      <c r="D980" s="16"/>
      <c r="E980" s="72"/>
      <c r="F980" s="96">
        <v>21600</v>
      </c>
      <c r="G980" s="94"/>
      <c r="H980" s="26">
        <f t="shared" si="34"/>
        <v>11117198.260000004</v>
      </c>
      <c r="I980" s="25" t="s">
        <v>286</v>
      </c>
      <c r="J980" s="22"/>
      <c r="K980" s="25"/>
      <c r="L980" s="25"/>
      <c r="M980" s="22"/>
    </row>
    <row r="981" spans="1:13">
      <c r="A981" s="14">
        <v>1972</v>
      </c>
      <c r="B981" s="67">
        <v>45160</v>
      </c>
      <c r="C981" s="15">
        <f t="shared" si="33"/>
        <v>45160</v>
      </c>
      <c r="D981" s="16"/>
      <c r="E981" s="71"/>
      <c r="F981" s="91">
        <v>25</v>
      </c>
      <c r="G981" s="95"/>
      <c r="H981" s="26">
        <f t="shared" si="34"/>
        <v>11117173.260000004</v>
      </c>
      <c r="I981" s="25" t="s">
        <v>264</v>
      </c>
      <c r="J981" s="22"/>
      <c r="K981" s="25"/>
      <c r="L981" s="25"/>
      <c r="M981" s="22"/>
    </row>
    <row r="982" spans="1:13">
      <c r="A982" s="14">
        <v>1973</v>
      </c>
      <c r="B982" s="67">
        <v>45160</v>
      </c>
      <c r="C982" s="15">
        <f t="shared" si="33"/>
        <v>45160</v>
      </c>
      <c r="D982" s="16"/>
      <c r="E982" s="72"/>
      <c r="F982" s="91">
        <v>1.87</v>
      </c>
      <c r="G982" s="90"/>
      <c r="H982" s="26">
        <f t="shared" si="34"/>
        <v>11117171.390000004</v>
      </c>
      <c r="I982" s="25" t="s">
        <v>264</v>
      </c>
      <c r="J982" s="22"/>
      <c r="K982" s="25"/>
      <c r="L982" s="25"/>
      <c r="M982" s="22"/>
    </row>
    <row r="983" spans="1:13">
      <c r="A983" s="14">
        <v>1974</v>
      </c>
      <c r="B983" s="67">
        <v>45160</v>
      </c>
      <c r="C983" s="15">
        <f t="shared" si="33"/>
        <v>45160</v>
      </c>
      <c r="D983" s="16"/>
      <c r="E983" s="71"/>
      <c r="F983" s="91">
        <v>8000</v>
      </c>
      <c r="G983" s="90"/>
      <c r="H983" s="26">
        <f t="shared" si="34"/>
        <v>11109171.390000004</v>
      </c>
      <c r="I983" s="25" t="s">
        <v>292</v>
      </c>
      <c r="J983" s="22"/>
      <c r="K983" s="25"/>
      <c r="L983" s="25"/>
      <c r="M983" s="22"/>
    </row>
    <row r="984" spans="1:13">
      <c r="A984" s="14">
        <v>1975</v>
      </c>
      <c r="B984" s="67">
        <v>45160</v>
      </c>
      <c r="C984" s="15">
        <f t="shared" si="33"/>
        <v>45160</v>
      </c>
      <c r="D984" s="16"/>
      <c r="E984" s="72"/>
      <c r="F984" s="91">
        <v>39667.5</v>
      </c>
      <c r="G984" s="90"/>
      <c r="H984" s="26">
        <f t="shared" si="34"/>
        <v>11069503.890000004</v>
      </c>
      <c r="I984" s="25" t="s">
        <v>319</v>
      </c>
      <c r="J984" s="22"/>
      <c r="K984" s="25"/>
      <c r="L984" s="25"/>
      <c r="M984" s="22"/>
    </row>
    <row r="985" spans="1:13">
      <c r="A985" s="14">
        <v>1976</v>
      </c>
      <c r="B985" s="67">
        <v>45169</v>
      </c>
      <c r="C985" s="15">
        <f t="shared" si="33"/>
        <v>45169</v>
      </c>
      <c r="D985" s="16"/>
      <c r="E985" s="71"/>
      <c r="F985" s="91">
        <v>560</v>
      </c>
      <c r="G985" s="95"/>
      <c r="H985" s="26">
        <f t="shared" si="34"/>
        <v>11068943.890000004</v>
      </c>
      <c r="I985" s="25" t="s">
        <v>264</v>
      </c>
      <c r="J985" s="22"/>
      <c r="K985" s="25"/>
      <c r="L985" s="25"/>
      <c r="M985" s="22"/>
    </row>
    <row r="986" spans="1:13">
      <c r="A986" s="14">
        <v>1977</v>
      </c>
      <c r="B986" s="67">
        <v>45169</v>
      </c>
      <c r="C986" s="15">
        <f t="shared" si="33"/>
        <v>45169</v>
      </c>
      <c r="D986" s="16"/>
      <c r="E986" s="72"/>
      <c r="F986" s="91">
        <v>42</v>
      </c>
      <c r="G986" s="95"/>
      <c r="H986" s="26">
        <f t="shared" si="34"/>
        <v>11068901.890000004</v>
      </c>
      <c r="I986" s="25" t="s">
        <v>264</v>
      </c>
      <c r="J986" s="22"/>
      <c r="K986" s="25"/>
      <c r="L986" s="25"/>
      <c r="M986" s="22"/>
    </row>
    <row r="987" spans="1:13">
      <c r="A987" s="14">
        <v>1978</v>
      </c>
      <c r="B987" s="67">
        <v>45169</v>
      </c>
      <c r="C987" s="15">
        <f t="shared" si="33"/>
        <v>45169</v>
      </c>
      <c r="D987" s="16"/>
      <c r="E987" s="71"/>
      <c r="F987" s="91">
        <v>5028.67</v>
      </c>
      <c r="G987" s="95"/>
      <c r="H987" s="26">
        <f t="shared" si="34"/>
        <v>11063873.220000004</v>
      </c>
      <c r="I987" s="25" t="s">
        <v>264</v>
      </c>
      <c r="J987" s="22"/>
      <c r="K987" s="25"/>
      <c r="L987" s="25"/>
      <c r="M987" s="22"/>
    </row>
    <row r="988" spans="1:13">
      <c r="A988" s="14">
        <v>1979</v>
      </c>
      <c r="B988" s="67">
        <v>45169</v>
      </c>
      <c r="C988" s="15">
        <f t="shared" si="33"/>
        <v>45169</v>
      </c>
      <c r="D988" s="16"/>
      <c r="E988" s="72"/>
      <c r="F988" s="91">
        <v>377.15</v>
      </c>
      <c r="G988" s="95"/>
      <c r="H988" s="26">
        <f t="shared" si="34"/>
        <v>11063496.070000004</v>
      </c>
      <c r="I988" s="25" t="s">
        <v>264</v>
      </c>
      <c r="J988" s="22"/>
      <c r="K988" s="25"/>
      <c r="L988" s="25"/>
      <c r="M988" s="22"/>
    </row>
    <row r="989" spans="1:13">
      <c r="A989" s="14">
        <v>1980</v>
      </c>
      <c r="B989" s="67">
        <v>45170</v>
      </c>
      <c r="C989" s="15">
        <f t="shared" si="33"/>
        <v>45170</v>
      </c>
      <c r="D989" s="16"/>
      <c r="E989" s="71"/>
      <c r="F989" s="96">
        <v>3500</v>
      </c>
      <c r="G989" s="94"/>
      <c r="H989" s="26">
        <f t="shared" si="34"/>
        <v>11059996.070000004</v>
      </c>
      <c r="I989" s="25" t="s">
        <v>295</v>
      </c>
      <c r="J989" s="22"/>
      <c r="K989" s="25"/>
      <c r="L989" s="25"/>
      <c r="M989" s="22"/>
    </row>
    <row r="990" spans="1:13">
      <c r="A990" s="14">
        <v>1981</v>
      </c>
      <c r="B990" s="67">
        <v>45170</v>
      </c>
      <c r="C990" s="15">
        <f t="shared" si="33"/>
        <v>45170</v>
      </c>
      <c r="D990" s="16"/>
      <c r="E990" s="72"/>
      <c r="F990" s="91">
        <v>137800</v>
      </c>
      <c r="G990" s="90"/>
      <c r="H990" s="26">
        <f t="shared" si="34"/>
        <v>10922196.070000004</v>
      </c>
      <c r="I990" s="25" t="s">
        <v>295</v>
      </c>
      <c r="J990" s="22"/>
      <c r="K990" s="25"/>
      <c r="L990" s="25"/>
      <c r="M990" s="22"/>
    </row>
    <row r="991" spans="1:13">
      <c r="A991" s="14">
        <v>1982</v>
      </c>
      <c r="B991" s="67">
        <v>45170</v>
      </c>
      <c r="C991" s="15">
        <f t="shared" ref="C991:C1053" si="35">B991</f>
        <v>45170</v>
      </c>
      <c r="D991" s="16"/>
      <c r="E991" s="71"/>
      <c r="F991" s="91">
        <v>50</v>
      </c>
      <c r="G991" s="90"/>
      <c r="H991" s="26">
        <f t="shared" si="34"/>
        <v>10922146.070000004</v>
      </c>
      <c r="I991" s="25" t="s">
        <v>264</v>
      </c>
      <c r="J991" s="22"/>
      <c r="K991" s="25"/>
      <c r="L991" s="25"/>
      <c r="M991" s="22"/>
    </row>
    <row r="992" spans="1:13">
      <c r="A992" s="14">
        <v>1983</v>
      </c>
      <c r="B992" s="67">
        <v>45170</v>
      </c>
      <c r="C992" s="15">
        <f t="shared" si="35"/>
        <v>45170</v>
      </c>
      <c r="D992" s="16"/>
      <c r="E992" s="72"/>
      <c r="F992" s="91">
        <v>3.75</v>
      </c>
      <c r="G992" s="90"/>
      <c r="H992" s="26">
        <f t="shared" si="34"/>
        <v>10922142.320000004</v>
      </c>
      <c r="I992" s="25" t="s">
        <v>264</v>
      </c>
      <c r="J992" s="22"/>
      <c r="K992" s="25"/>
      <c r="L992" s="25"/>
      <c r="M992" s="22"/>
    </row>
    <row r="993" spans="1:13">
      <c r="A993" s="14">
        <v>1984</v>
      </c>
      <c r="B993" s="67">
        <v>45170</v>
      </c>
      <c r="C993" s="15">
        <f t="shared" si="35"/>
        <v>45170</v>
      </c>
      <c r="D993" s="16"/>
      <c r="E993" s="71"/>
      <c r="F993" s="91">
        <v>114378.23</v>
      </c>
      <c r="G993" s="90"/>
      <c r="H993" s="26">
        <f t="shared" si="34"/>
        <v>10807764.090000004</v>
      </c>
      <c r="I993" s="25" t="s">
        <v>271</v>
      </c>
      <c r="J993" s="22"/>
      <c r="K993" s="25"/>
      <c r="L993" s="25"/>
      <c r="M993" s="22"/>
    </row>
    <row r="994" spans="1:13">
      <c r="A994" s="14">
        <v>1985</v>
      </c>
      <c r="B994" s="67">
        <v>45170</v>
      </c>
      <c r="C994" s="15">
        <f t="shared" si="35"/>
        <v>45170</v>
      </c>
      <c r="D994" s="16"/>
      <c r="E994" s="72"/>
      <c r="F994" s="91">
        <v>50</v>
      </c>
      <c r="G994" s="90"/>
      <c r="H994" s="26">
        <f t="shared" si="34"/>
        <v>10807714.090000004</v>
      </c>
      <c r="I994" s="25" t="s">
        <v>264</v>
      </c>
      <c r="J994" s="22"/>
      <c r="K994" s="25"/>
      <c r="L994" s="25"/>
      <c r="M994" s="22"/>
    </row>
    <row r="995" spans="1:13">
      <c r="A995" s="14">
        <v>1986</v>
      </c>
      <c r="B995" s="67">
        <v>45170</v>
      </c>
      <c r="C995" s="15">
        <f t="shared" si="35"/>
        <v>45170</v>
      </c>
      <c r="D995" s="16"/>
      <c r="E995" s="71"/>
      <c r="F995" s="91">
        <v>3.75</v>
      </c>
      <c r="G995" s="90"/>
      <c r="H995" s="26">
        <f t="shared" si="34"/>
        <v>10807710.340000004</v>
      </c>
      <c r="I995" s="25" t="s">
        <v>264</v>
      </c>
      <c r="J995" s="22"/>
      <c r="K995" s="25"/>
      <c r="L995" s="25"/>
      <c r="M995" s="22"/>
    </row>
    <row r="996" spans="1:13">
      <c r="A996" s="14">
        <v>1987</v>
      </c>
      <c r="B996" s="67">
        <v>45170</v>
      </c>
      <c r="C996" s="15">
        <f t="shared" si="35"/>
        <v>45170</v>
      </c>
      <c r="D996" s="16"/>
      <c r="E996" s="72"/>
      <c r="F996" s="96">
        <v>80353.66</v>
      </c>
      <c r="G996" s="94"/>
      <c r="H996" s="26">
        <f t="shared" si="34"/>
        <v>10727356.680000003</v>
      </c>
      <c r="I996" s="25" t="s">
        <v>271</v>
      </c>
      <c r="J996" s="22"/>
      <c r="K996" s="25"/>
      <c r="L996" s="25"/>
      <c r="M996" s="22"/>
    </row>
    <row r="997" spans="1:13">
      <c r="A997" s="14">
        <v>1988</v>
      </c>
      <c r="B997" s="67">
        <v>45170</v>
      </c>
      <c r="C997" s="15">
        <f t="shared" si="35"/>
        <v>45170</v>
      </c>
      <c r="D997" s="16"/>
      <c r="E997" s="71"/>
      <c r="F997" s="91">
        <v>50</v>
      </c>
      <c r="G997" s="90"/>
      <c r="H997" s="26">
        <f t="shared" si="34"/>
        <v>10727306.680000003</v>
      </c>
      <c r="I997" s="25" t="s">
        <v>264</v>
      </c>
      <c r="J997" s="22"/>
      <c r="K997" s="25"/>
      <c r="L997" s="25"/>
      <c r="M997" s="22"/>
    </row>
    <row r="998" spans="1:13">
      <c r="A998" s="14">
        <v>1990</v>
      </c>
      <c r="B998" s="67">
        <v>45170</v>
      </c>
      <c r="C998" s="15">
        <f t="shared" si="35"/>
        <v>45170</v>
      </c>
      <c r="D998" s="16"/>
      <c r="E998" s="71"/>
      <c r="F998" s="91">
        <v>3.75</v>
      </c>
      <c r="G998" s="90"/>
      <c r="H998" s="26">
        <f t="shared" si="34"/>
        <v>10727302.930000003</v>
      </c>
      <c r="I998" s="25" t="s">
        <v>264</v>
      </c>
      <c r="J998" s="22"/>
      <c r="K998" s="25"/>
      <c r="L998" s="25"/>
      <c r="M998" s="22"/>
    </row>
    <row r="999" spans="1:13">
      <c r="A999" s="14">
        <v>1991</v>
      </c>
      <c r="B999" s="67">
        <v>45170</v>
      </c>
      <c r="C999" s="15">
        <f t="shared" si="35"/>
        <v>45170</v>
      </c>
      <c r="D999" s="16"/>
      <c r="E999" s="72"/>
      <c r="F999" s="91">
        <v>187942.82</v>
      </c>
      <c r="G999" s="90"/>
      <c r="H999" s="26">
        <f t="shared" si="34"/>
        <v>10539360.110000003</v>
      </c>
      <c r="I999" s="25" t="s">
        <v>271</v>
      </c>
      <c r="J999" s="22"/>
      <c r="K999" s="25"/>
      <c r="L999" s="25"/>
      <c r="M999" s="22"/>
    </row>
    <row r="1000" spans="1:13">
      <c r="A1000" s="14">
        <v>1992</v>
      </c>
      <c r="B1000" s="67">
        <v>45170</v>
      </c>
      <c r="C1000" s="15">
        <f t="shared" si="35"/>
        <v>45170</v>
      </c>
      <c r="D1000" s="16"/>
      <c r="E1000" s="71"/>
      <c r="F1000" s="91">
        <v>50</v>
      </c>
      <c r="G1000" s="90"/>
      <c r="H1000" s="26">
        <f t="shared" si="34"/>
        <v>10539310.110000003</v>
      </c>
      <c r="I1000" s="25" t="s">
        <v>264</v>
      </c>
      <c r="J1000" s="22"/>
      <c r="K1000" s="25"/>
      <c r="L1000" s="25"/>
      <c r="M1000" s="22"/>
    </row>
    <row r="1001" spans="1:13">
      <c r="A1001" s="14">
        <v>1993</v>
      </c>
      <c r="B1001" s="67">
        <v>45170</v>
      </c>
      <c r="C1001" s="15">
        <f t="shared" si="35"/>
        <v>45170</v>
      </c>
      <c r="D1001" s="16"/>
      <c r="E1001" s="72"/>
      <c r="F1001" s="91">
        <v>3.75</v>
      </c>
      <c r="G1001" s="90"/>
      <c r="H1001" s="26">
        <f t="shared" si="34"/>
        <v>10539306.360000003</v>
      </c>
      <c r="I1001" s="25" t="s">
        <v>264</v>
      </c>
      <c r="J1001" s="22"/>
      <c r="K1001" s="25"/>
      <c r="L1001" s="25"/>
      <c r="M1001" s="22"/>
    </row>
    <row r="1002" spans="1:13">
      <c r="A1002" s="14">
        <v>1994</v>
      </c>
      <c r="B1002" s="67">
        <v>45170</v>
      </c>
      <c r="C1002" s="15">
        <f t="shared" si="35"/>
        <v>45170</v>
      </c>
      <c r="D1002" s="16"/>
      <c r="E1002" s="71"/>
      <c r="F1002" s="91">
        <v>164859.59</v>
      </c>
      <c r="G1002" s="90"/>
      <c r="H1002" s="26">
        <f t="shared" si="34"/>
        <v>10374446.770000003</v>
      </c>
      <c r="I1002" s="25" t="s">
        <v>271</v>
      </c>
      <c r="J1002" s="22"/>
      <c r="K1002" s="25"/>
      <c r="L1002" s="25"/>
      <c r="M1002" s="22"/>
    </row>
    <row r="1003" spans="1:13">
      <c r="A1003" s="14">
        <v>1995</v>
      </c>
      <c r="B1003" s="67">
        <v>45170</v>
      </c>
      <c r="C1003" s="15">
        <f t="shared" si="35"/>
        <v>45170</v>
      </c>
      <c r="D1003" s="16"/>
      <c r="E1003" s="72"/>
      <c r="F1003" s="96">
        <v>144479.15</v>
      </c>
      <c r="G1003" s="94"/>
      <c r="H1003" s="26">
        <f t="shared" si="34"/>
        <v>10229967.620000003</v>
      </c>
      <c r="I1003" s="25" t="s">
        <v>271</v>
      </c>
      <c r="J1003" s="22"/>
      <c r="K1003" s="25"/>
      <c r="L1003" s="25"/>
      <c r="M1003" s="22"/>
    </row>
    <row r="1004" spans="1:13">
      <c r="A1004" s="14">
        <v>1996</v>
      </c>
      <c r="B1004" s="67">
        <v>45170</v>
      </c>
      <c r="C1004" s="15">
        <f t="shared" si="35"/>
        <v>45170</v>
      </c>
      <c r="D1004" s="16"/>
      <c r="E1004" s="71"/>
      <c r="F1004" s="91">
        <v>108405.26</v>
      </c>
      <c r="G1004" s="90"/>
      <c r="H1004" s="26">
        <f t="shared" ref="H1004:H1067" si="36">IFERROR(H1003-F1004+G1004,"")</f>
        <v>10121562.360000003</v>
      </c>
      <c r="I1004" s="25" t="s">
        <v>271</v>
      </c>
      <c r="J1004" s="22"/>
      <c r="K1004" s="25"/>
      <c r="L1004" s="25"/>
      <c r="M1004" s="22"/>
    </row>
    <row r="1005" spans="1:13">
      <c r="A1005" s="14">
        <v>1997</v>
      </c>
      <c r="B1005" s="67">
        <v>45170</v>
      </c>
      <c r="C1005" s="15">
        <f t="shared" si="35"/>
        <v>45170</v>
      </c>
      <c r="D1005" s="16"/>
      <c r="E1005" s="72"/>
      <c r="F1005" s="91">
        <v>191119.33</v>
      </c>
      <c r="G1005" s="90"/>
      <c r="H1005" s="26">
        <f t="shared" si="36"/>
        <v>9930443.0300000031</v>
      </c>
      <c r="I1005" s="25" t="s">
        <v>271</v>
      </c>
      <c r="J1005" s="22"/>
      <c r="K1005" s="25"/>
      <c r="L1005" s="25"/>
      <c r="M1005" s="22"/>
    </row>
    <row r="1006" spans="1:13">
      <c r="A1006" s="14">
        <v>1998</v>
      </c>
      <c r="B1006" s="67">
        <v>45170</v>
      </c>
      <c r="C1006" s="15">
        <f t="shared" si="35"/>
        <v>45170</v>
      </c>
      <c r="D1006" s="16"/>
      <c r="E1006" s="71"/>
      <c r="F1006" s="91">
        <v>79353.66</v>
      </c>
      <c r="G1006" s="90"/>
      <c r="H1006" s="26">
        <f t="shared" si="36"/>
        <v>9851089.3700000029</v>
      </c>
      <c r="I1006" s="25" t="s">
        <v>271</v>
      </c>
      <c r="J1006" s="22"/>
      <c r="K1006" s="25"/>
      <c r="L1006" s="25"/>
      <c r="M1006" s="22"/>
    </row>
    <row r="1007" spans="1:13">
      <c r="A1007" s="14">
        <v>1999</v>
      </c>
      <c r="B1007" s="67">
        <v>45170</v>
      </c>
      <c r="C1007" s="15">
        <f t="shared" si="35"/>
        <v>45170</v>
      </c>
      <c r="D1007" s="16"/>
      <c r="E1007" s="72"/>
      <c r="F1007" s="91">
        <v>390860.52</v>
      </c>
      <c r="G1007" s="90"/>
      <c r="H1007" s="26">
        <f t="shared" si="36"/>
        <v>9460228.8500000034</v>
      </c>
      <c r="I1007" s="25" t="s">
        <v>271</v>
      </c>
      <c r="J1007" s="22"/>
      <c r="K1007" s="25"/>
      <c r="L1007" s="25"/>
      <c r="M1007" s="22"/>
    </row>
    <row r="1008" spans="1:13">
      <c r="A1008" s="14">
        <v>2000</v>
      </c>
      <c r="B1008" s="67">
        <v>45170</v>
      </c>
      <c r="C1008" s="15">
        <f t="shared" si="35"/>
        <v>45170</v>
      </c>
      <c r="D1008" s="16"/>
      <c r="E1008" s="71"/>
      <c r="F1008" s="91">
        <v>135</v>
      </c>
      <c r="G1008" s="90"/>
      <c r="H1008" s="26">
        <f t="shared" si="36"/>
        <v>9460093.8500000034</v>
      </c>
      <c r="I1008" s="25" t="s">
        <v>264</v>
      </c>
      <c r="J1008" s="22"/>
      <c r="K1008" s="25"/>
      <c r="L1008" s="25"/>
      <c r="M1008" s="22"/>
    </row>
    <row r="1009" spans="1:13">
      <c r="A1009" s="14">
        <v>2001</v>
      </c>
      <c r="B1009" s="67">
        <v>45170</v>
      </c>
      <c r="C1009" s="15">
        <f t="shared" si="35"/>
        <v>45170</v>
      </c>
      <c r="D1009" s="16"/>
      <c r="E1009" s="72"/>
      <c r="F1009" s="91">
        <v>10.130000000000001</v>
      </c>
      <c r="G1009" s="90"/>
      <c r="H1009" s="26">
        <f t="shared" si="36"/>
        <v>9460083.7200000025</v>
      </c>
      <c r="I1009" s="25" t="s">
        <v>264</v>
      </c>
      <c r="J1009" s="22"/>
      <c r="K1009" s="25"/>
      <c r="L1009" s="25"/>
      <c r="M1009" s="22"/>
    </row>
    <row r="1010" spans="1:13">
      <c r="A1010" s="14">
        <v>2002</v>
      </c>
      <c r="B1010" s="67">
        <v>45170</v>
      </c>
      <c r="C1010" s="15">
        <f t="shared" si="35"/>
        <v>45170</v>
      </c>
      <c r="D1010" s="16"/>
      <c r="E1010" s="71"/>
      <c r="F1010" s="91">
        <v>59347.83</v>
      </c>
      <c r="G1010" s="90"/>
      <c r="H1010" s="26">
        <f t="shared" si="36"/>
        <v>9400735.8900000025</v>
      </c>
      <c r="I1010" s="25" t="s">
        <v>271</v>
      </c>
      <c r="J1010" s="22"/>
      <c r="K1010" s="25"/>
      <c r="L1010" s="25"/>
      <c r="M1010" s="22"/>
    </row>
    <row r="1011" spans="1:13">
      <c r="A1011" s="14">
        <v>2003</v>
      </c>
      <c r="B1011" s="67">
        <v>45170</v>
      </c>
      <c r="C1011" s="15">
        <f t="shared" si="35"/>
        <v>45170</v>
      </c>
      <c r="D1011" s="16"/>
      <c r="E1011" s="72"/>
      <c r="F1011" s="96">
        <v>50</v>
      </c>
      <c r="G1011" s="94"/>
      <c r="H1011" s="26">
        <f t="shared" si="36"/>
        <v>9400685.8900000025</v>
      </c>
      <c r="I1011" s="25" t="s">
        <v>264</v>
      </c>
      <c r="J1011" s="22"/>
      <c r="K1011" s="25"/>
      <c r="L1011" s="25"/>
      <c r="M1011" s="22"/>
    </row>
    <row r="1012" spans="1:13">
      <c r="A1012" s="14">
        <v>2004</v>
      </c>
      <c r="B1012" s="67">
        <v>45170</v>
      </c>
      <c r="C1012" s="15">
        <f t="shared" si="35"/>
        <v>45170</v>
      </c>
      <c r="D1012" s="16"/>
      <c r="E1012" s="71"/>
      <c r="F1012" s="91">
        <v>3.75</v>
      </c>
      <c r="G1012" s="90"/>
      <c r="H1012" s="26">
        <f t="shared" si="36"/>
        <v>9400682.1400000025</v>
      </c>
      <c r="I1012" s="25" t="s">
        <v>264</v>
      </c>
      <c r="J1012" s="22"/>
      <c r="K1012" s="25"/>
      <c r="L1012" s="25"/>
      <c r="M1012" s="22"/>
    </row>
    <row r="1013" spans="1:13">
      <c r="A1013" s="14">
        <v>2005</v>
      </c>
      <c r="B1013" s="67">
        <v>45170</v>
      </c>
      <c r="C1013" s="15">
        <f t="shared" si="35"/>
        <v>45170</v>
      </c>
      <c r="D1013" s="16"/>
      <c r="E1013" s="72"/>
      <c r="F1013" s="91">
        <v>20000</v>
      </c>
      <c r="G1013" s="90"/>
      <c r="H1013" s="26">
        <f t="shared" si="36"/>
        <v>9380682.1400000025</v>
      </c>
      <c r="I1013" s="25" t="s">
        <v>280</v>
      </c>
      <c r="J1013" s="22"/>
      <c r="K1013" s="25"/>
      <c r="L1013" s="25"/>
      <c r="M1013" s="22"/>
    </row>
    <row r="1014" spans="1:13">
      <c r="A1014" s="14">
        <v>2006</v>
      </c>
      <c r="B1014" s="67">
        <v>45170</v>
      </c>
      <c r="C1014" s="15">
        <f t="shared" si="35"/>
        <v>45170</v>
      </c>
      <c r="D1014" s="16"/>
      <c r="E1014" s="71"/>
      <c r="F1014" s="91">
        <v>25</v>
      </c>
      <c r="G1014" s="90"/>
      <c r="H1014" s="26">
        <f t="shared" si="36"/>
        <v>9380657.1400000025</v>
      </c>
      <c r="I1014" s="25" t="s">
        <v>264</v>
      </c>
      <c r="J1014" s="22"/>
      <c r="K1014" s="25"/>
      <c r="L1014" s="25"/>
      <c r="M1014" s="22"/>
    </row>
    <row r="1015" spans="1:13">
      <c r="A1015" s="14">
        <v>2007</v>
      </c>
      <c r="B1015" s="67">
        <v>45170</v>
      </c>
      <c r="C1015" s="15">
        <f t="shared" si="35"/>
        <v>45170</v>
      </c>
      <c r="D1015" s="16"/>
      <c r="E1015" s="72"/>
      <c r="F1015" s="91">
        <v>1.87</v>
      </c>
      <c r="G1015" s="90"/>
      <c r="H1015" s="26">
        <f t="shared" si="36"/>
        <v>9380655.2700000033</v>
      </c>
      <c r="I1015" s="25" t="s">
        <v>264</v>
      </c>
      <c r="J1015" s="22"/>
      <c r="K1015" s="25"/>
      <c r="L1015" s="25"/>
      <c r="M1015" s="22"/>
    </row>
    <row r="1016" spans="1:13">
      <c r="A1016" s="14">
        <v>2008</v>
      </c>
      <c r="B1016" s="67">
        <v>45170</v>
      </c>
      <c r="C1016" s="15">
        <f t="shared" si="35"/>
        <v>45170</v>
      </c>
      <c r="D1016" s="16"/>
      <c r="E1016" s="71"/>
      <c r="F1016" s="91">
        <v>20000</v>
      </c>
      <c r="G1016" s="90"/>
      <c r="H1016" s="26">
        <f t="shared" si="36"/>
        <v>9360655.2700000033</v>
      </c>
      <c r="I1016" s="25" t="s">
        <v>280</v>
      </c>
      <c r="J1016" s="22"/>
      <c r="K1016" s="25"/>
      <c r="L1016" s="25"/>
      <c r="M1016" s="22"/>
    </row>
    <row r="1017" spans="1:13">
      <c r="A1017" s="14">
        <v>2009</v>
      </c>
      <c r="B1017" s="67">
        <v>45170</v>
      </c>
      <c r="C1017" s="15">
        <f t="shared" si="35"/>
        <v>45170</v>
      </c>
      <c r="D1017" s="16"/>
      <c r="E1017" s="72"/>
      <c r="F1017" s="91">
        <v>25</v>
      </c>
      <c r="G1017" s="90"/>
      <c r="H1017" s="26">
        <f t="shared" si="36"/>
        <v>9360630.2700000033</v>
      </c>
      <c r="I1017" s="25" t="s">
        <v>264</v>
      </c>
      <c r="J1017" s="22"/>
      <c r="K1017" s="25"/>
      <c r="L1017" s="25"/>
      <c r="M1017" s="22"/>
    </row>
    <row r="1018" spans="1:13">
      <c r="A1018" s="14">
        <v>2010</v>
      </c>
      <c r="B1018" s="67">
        <v>45170</v>
      </c>
      <c r="C1018" s="15">
        <f t="shared" si="35"/>
        <v>45170</v>
      </c>
      <c r="D1018" s="16"/>
      <c r="E1018" s="71"/>
      <c r="F1018" s="96">
        <v>1.87</v>
      </c>
      <c r="G1018" s="94"/>
      <c r="H1018" s="26">
        <f t="shared" si="36"/>
        <v>9360628.4000000041</v>
      </c>
      <c r="I1018" s="25" t="s">
        <v>264</v>
      </c>
      <c r="J1018" s="22"/>
      <c r="K1018" s="25"/>
      <c r="L1018" s="25"/>
      <c r="M1018" s="22"/>
    </row>
    <row r="1019" spans="1:13">
      <c r="A1019" s="14">
        <v>2011</v>
      </c>
      <c r="B1019" s="67">
        <v>45170</v>
      </c>
      <c r="C1019" s="15">
        <f t="shared" si="35"/>
        <v>45170</v>
      </c>
      <c r="D1019" s="16"/>
      <c r="E1019" s="72"/>
      <c r="F1019" s="91">
        <v>207920.46</v>
      </c>
      <c r="G1019" s="90"/>
      <c r="H1019" s="26">
        <f t="shared" si="36"/>
        <v>9152707.9400000032</v>
      </c>
      <c r="I1019" s="25" t="s">
        <v>271</v>
      </c>
      <c r="J1019" s="22"/>
      <c r="K1019" s="25"/>
      <c r="L1019" s="25"/>
      <c r="M1019" s="22"/>
    </row>
    <row r="1020" spans="1:13">
      <c r="A1020" s="14">
        <v>2012</v>
      </c>
      <c r="B1020" s="67">
        <v>45170</v>
      </c>
      <c r="C1020" s="15">
        <f t="shared" si="35"/>
        <v>45170</v>
      </c>
      <c r="D1020" s="16"/>
      <c r="E1020" s="71"/>
      <c r="F1020" s="91">
        <v>20000</v>
      </c>
      <c r="G1020" s="90"/>
      <c r="H1020" s="26">
        <f t="shared" si="36"/>
        <v>9132707.9400000032</v>
      </c>
      <c r="I1020" s="25" t="s">
        <v>280</v>
      </c>
      <c r="J1020" s="22"/>
      <c r="K1020" s="25"/>
      <c r="L1020" s="25"/>
      <c r="M1020" s="22"/>
    </row>
    <row r="1021" spans="1:13">
      <c r="A1021" s="14">
        <v>2013</v>
      </c>
      <c r="B1021" s="67">
        <v>45170</v>
      </c>
      <c r="C1021" s="15">
        <f t="shared" si="35"/>
        <v>45170</v>
      </c>
      <c r="D1021" s="16"/>
      <c r="E1021" s="72"/>
      <c r="F1021" s="91">
        <v>10434.780000000001</v>
      </c>
      <c r="G1021" s="90"/>
      <c r="H1021" s="26">
        <f t="shared" si="36"/>
        <v>9122273.1600000039</v>
      </c>
      <c r="I1021" s="25" t="s">
        <v>280</v>
      </c>
      <c r="J1021" s="22"/>
      <c r="K1021" s="25"/>
      <c r="L1021" s="25"/>
      <c r="M1021" s="22"/>
    </row>
    <row r="1022" spans="1:13">
      <c r="A1022" s="14">
        <v>2014</v>
      </c>
      <c r="B1022" s="67">
        <v>45170</v>
      </c>
      <c r="C1022" s="15">
        <f t="shared" si="35"/>
        <v>45170</v>
      </c>
      <c r="D1022" s="16"/>
      <c r="E1022" s="71"/>
      <c r="F1022" s="91">
        <v>20000</v>
      </c>
      <c r="G1022" s="90"/>
      <c r="H1022" s="26">
        <f t="shared" si="36"/>
        <v>9102273.1600000039</v>
      </c>
      <c r="I1022" s="25" t="s">
        <v>280</v>
      </c>
      <c r="J1022" s="22"/>
      <c r="K1022" s="25"/>
      <c r="L1022" s="25"/>
      <c r="M1022" s="22"/>
    </row>
    <row r="1023" spans="1:13">
      <c r="A1023" s="14">
        <v>2015</v>
      </c>
      <c r="B1023" s="67">
        <v>45170</v>
      </c>
      <c r="C1023" s="15">
        <f t="shared" si="35"/>
        <v>45170</v>
      </c>
      <c r="D1023" s="16"/>
      <c r="E1023" s="72"/>
      <c r="F1023" s="91">
        <v>20000</v>
      </c>
      <c r="G1023" s="90"/>
      <c r="H1023" s="26">
        <f t="shared" si="36"/>
        <v>9082273.1600000039</v>
      </c>
      <c r="I1023" s="25" t="s">
        <v>280</v>
      </c>
      <c r="J1023" s="22"/>
      <c r="K1023" s="25"/>
      <c r="L1023" s="25"/>
      <c r="M1023" s="22"/>
    </row>
    <row r="1024" spans="1:13">
      <c r="A1024" s="14">
        <v>2016</v>
      </c>
      <c r="B1024" s="67">
        <v>45170</v>
      </c>
      <c r="C1024" s="15">
        <f t="shared" si="35"/>
        <v>45170</v>
      </c>
      <c r="D1024" s="16"/>
      <c r="E1024" s="71"/>
      <c r="F1024" s="91">
        <v>20000</v>
      </c>
      <c r="G1024" s="90"/>
      <c r="H1024" s="26">
        <f t="shared" si="36"/>
        <v>9062273.1600000039</v>
      </c>
      <c r="I1024" s="25" t="s">
        <v>280</v>
      </c>
      <c r="J1024" s="22"/>
      <c r="K1024" s="25"/>
      <c r="L1024" s="25"/>
      <c r="M1024" s="22"/>
    </row>
    <row r="1025" spans="1:13">
      <c r="A1025" s="14">
        <v>2017</v>
      </c>
      <c r="B1025" s="67">
        <v>45170</v>
      </c>
      <c r="C1025" s="15">
        <f t="shared" si="35"/>
        <v>45170</v>
      </c>
      <c r="D1025" s="16"/>
      <c r="E1025" s="72"/>
      <c r="F1025" s="96">
        <v>20000</v>
      </c>
      <c r="G1025" s="94"/>
      <c r="H1025" s="26">
        <f t="shared" si="36"/>
        <v>9042273.1600000039</v>
      </c>
      <c r="I1025" s="25" t="s">
        <v>280</v>
      </c>
      <c r="J1025" s="22"/>
      <c r="K1025" s="25"/>
      <c r="L1025" s="25"/>
      <c r="M1025" s="22"/>
    </row>
    <row r="1026" spans="1:13">
      <c r="A1026" s="14">
        <v>2018</v>
      </c>
      <c r="B1026" s="67">
        <v>45170</v>
      </c>
      <c r="C1026" s="15">
        <f t="shared" si="35"/>
        <v>45170</v>
      </c>
      <c r="D1026" s="16"/>
      <c r="E1026" s="71"/>
      <c r="F1026" s="91">
        <v>20000</v>
      </c>
      <c r="G1026" s="90"/>
      <c r="H1026" s="26">
        <f t="shared" si="36"/>
        <v>9022273.1600000039</v>
      </c>
      <c r="I1026" s="25" t="s">
        <v>280</v>
      </c>
      <c r="J1026" s="22"/>
      <c r="K1026" s="25"/>
      <c r="L1026" s="25"/>
      <c r="M1026" s="22"/>
    </row>
    <row r="1027" spans="1:13">
      <c r="A1027" s="14">
        <v>2019</v>
      </c>
      <c r="B1027" s="67">
        <v>45170</v>
      </c>
      <c r="C1027" s="15">
        <f t="shared" si="35"/>
        <v>45170</v>
      </c>
      <c r="D1027" s="16"/>
      <c r="E1027" s="72"/>
      <c r="F1027" s="91">
        <v>25</v>
      </c>
      <c r="G1027" s="90"/>
      <c r="H1027" s="26">
        <f t="shared" si="36"/>
        <v>9022248.1600000039</v>
      </c>
      <c r="I1027" s="25" t="s">
        <v>264</v>
      </c>
      <c r="J1027" s="22"/>
      <c r="K1027" s="25"/>
      <c r="L1027" s="25"/>
      <c r="M1027" s="22"/>
    </row>
    <row r="1028" spans="1:13">
      <c r="A1028" s="14">
        <v>2020</v>
      </c>
      <c r="B1028" s="67">
        <v>45170</v>
      </c>
      <c r="C1028" s="15">
        <f t="shared" si="35"/>
        <v>45170</v>
      </c>
      <c r="D1028" s="16"/>
      <c r="E1028" s="71"/>
      <c r="F1028" s="91">
        <v>1.87</v>
      </c>
      <c r="G1028" s="90"/>
      <c r="H1028" s="26">
        <f t="shared" si="36"/>
        <v>9022246.2900000047</v>
      </c>
      <c r="I1028" s="25" t="s">
        <v>264</v>
      </c>
      <c r="J1028" s="22"/>
      <c r="K1028" s="25"/>
      <c r="L1028" s="25"/>
      <c r="M1028" s="22"/>
    </row>
    <row r="1029" spans="1:13">
      <c r="A1029" s="14">
        <v>2021</v>
      </c>
      <c r="B1029" s="67">
        <v>45170</v>
      </c>
      <c r="C1029" s="15">
        <f t="shared" si="35"/>
        <v>45170</v>
      </c>
      <c r="D1029" s="16"/>
      <c r="E1029" s="72"/>
      <c r="F1029" s="91">
        <v>152000</v>
      </c>
      <c r="G1029" s="90"/>
      <c r="H1029" s="26">
        <f t="shared" si="36"/>
        <v>8870246.2900000047</v>
      </c>
      <c r="I1029" s="25" t="s">
        <v>271</v>
      </c>
      <c r="J1029" s="22"/>
      <c r="K1029" s="25"/>
      <c r="L1029" s="25"/>
      <c r="M1029" s="22"/>
    </row>
    <row r="1030" spans="1:13">
      <c r="A1030" s="14">
        <v>2022</v>
      </c>
      <c r="B1030" s="67">
        <v>45170</v>
      </c>
      <c r="C1030" s="15">
        <f t="shared" si="35"/>
        <v>45170</v>
      </c>
      <c r="D1030" s="16"/>
      <c r="E1030" s="71"/>
      <c r="F1030" s="91">
        <v>50</v>
      </c>
      <c r="G1030" s="90"/>
      <c r="H1030" s="26">
        <f t="shared" si="36"/>
        <v>8870196.2900000047</v>
      </c>
      <c r="I1030" s="25" t="s">
        <v>264</v>
      </c>
      <c r="J1030" s="22"/>
      <c r="K1030" s="25"/>
      <c r="L1030" s="25"/>
      <c r="M1030" s="22"/>
    </row>
    <row r="1031" spans="1:13">
      <c r="A1031" s="14">
        <v>2023</v>
      </c>
      <c r="B1031" s="67">
        <v>45170</v>
      </c>
      <c r="C1031" s="15">
        <f t="shared" si="35"/>
        <v>45170</v>
      </c>
      <c r="D1031" s="16"/>
      <c r="E1031" s="72"/>
      <c r="F1031" s="91">
        <v>3.75</v>
      </c>
      <c r="G1031" s="90"/>
      <c r="H1031" s="26">
        <f t="shared" si="36"/>
        <v>8870192.5400000047</v>
      </c>
      <c r="I1031" s="25" t="s">
        <v>264</v>
      </c>
      <c r="J1031" s="22"/>
      <c r="K1031" s="25"/>
      <c r="L1031" s="25"/>
      <c r="M1031" s="22"/>
    </row>
    <row r="1032" spans="1:13">
      <c r="A1032" s="14">
        <v>2024</v>
      </c>
      <c r="B1032" s="67">
        <v>45170</v>
      </c>
      <c r="C1032" s="15">
        <f t="shared" si="35"/>
        <v>45170</v>
      </c>
      <c r="D1032" s="16"/>
      <c r="E1032" s="71"/>
      <c r="F1032" s="96">
        <v>150000</v>
      </c>
      <c r="G1032" s="94"/>
      <c r="H1032" s="26">
        <f t="shared" si="36"/>
        <v>8720192.5400000047</v>
      </c>
      <c r="I1032" s="25" t="s">
        <v>320</v>
      </c>
      <c r="J1032" s="22"/>
      <c r="K1032" s="25"/>
      <c r="L1032" s="25"/>
      <c r="M1032" s="22"/>
    </row>
    <row r="1033" spans="1:13">
      <c r="A1033" s="14">
        <v>2025</v>
      </c>
      <c r="B1033" s="67">
        <v>45170</v>
      </c>
      <c r="C1033" s="15">
        <f t="shared" si="35"/>
        <v>45170</v>
      </c>
      <c r="D1033" s="16"/>
      <c r="E1033" s="72"/>
      <c r="F1033" s="91">
        <v>50</v>
      </c>
      <c r="G1033" s="95"/>
      <c r="H1033" s="26">
        <f t="shared" si="36"/>
        <v>8720142.5400000047</v>
      </c>
      <c r="I1033" s="25" t="s">
        <v>264</v>
      </c>
      <c r="J1033" s="22"/>
      <c r="K1033" s="25"/>
      <c r="L1033" s="25"/>
      <c r="M1033" s="22"/>
    </row>
    <row r="1034" spans="1:13">
      <c r="A1034" s="14">
        <v>2026</v>
      </c>
      <c r="B1034" s="67">
        <v>45170</v>
      </c>
      <c r="C1034" s="15">
        <f t="shared" si="35"/>
        <v>45170</v>
      </c>
      <c r="D1034" s="16"/>
      <c r="E1034" s="71"/>
      <c r="F1034" s="91">
        <v>3.75</v>
      </c>
      <c r="G1034" s="90"/>
      <c r="H1034" s="26">
        <f t="shared" si="36"/>
        <v>8720138.7900000047</v>
      </c>
      <c r="I1034" s="25" t="s">
        <v>264</v>
      </c>
      <c r="J1034" s="22"/>
      <c r="K1034" s="25"/>
      <c r="L1034" s="25"/>
      <c r="M1034" s="22"/>
    </row>
    <row r="1035" spans="1:13">
      <c r="A1035" s="14">
        <v>2027</v>
      </c>
      <c r="B1035" s="67">
        <v>45170</v>
      </c>
      <c r="C1035" s="15">
        <f t="shared" si="35"/>
        <v>45170</v>
      </c>
      <c r="D1035" s="16"/>
      <c r="E1035" s="72"/>
      <c r="F1035" s="91">
        <v>30000</v>
      </c>
      <c r="G1035" s="90"/>
      <c r="H1035" s="26">
        <f t="shared" si="36"/>
        <v>8690138.7900000047</v>
      </c>
      <c r="I1035" s="25" t="s">
        <v>271</v>
      </c>
      <c r="J1035" s="22"/>
      <c r="K1035" s="25"/>
      <c r="L1035" s="25"/>
      <c r="M1035" s="22"/>
    </row>
    <row r="1036" spans="1:13">
      <c r="A1036" s="14">
        <v>2028</v>
      </c>
      <c r="B1036" s="67">
        <v>45170</v>
      </c>
      <c r="C1036" s="15">
        <f t="shared" si="35"/>
        <v>45170</v>
      </c>
      <c r="D1036" s="16"/>
      <c r="E1036" s="71"/>
      <c r="F1036" s="91">
        <v>25</v>
      </c>
      <c r="G1036" s="90"/>
      <c r="H1036" s="26">
        <f t="shared" si="36"/>
        <v>8690113.7900000047</v>
      </c>
      <c r="I1036" s="25" t="s">
        <v>264</v>
      </c>
      <c r="J1036" s="22"/>
      <c r="K1036" s="25"/>
      <c r="L1036" s="25"/>
      <c r="M1036" s="22"/>
    </row>
    <row r="1037" spans="1:13">
      <c r="A1037" s="14">
        <v>2029</v>
      </c>
      <c r="B1037" s="67">
        <v>45170</v>
      </c>
      <c r="C1037" s="15">
        <f t="shared" si="35"/>
        <v>45170</v>
      </c>
      <c r="D1037" s="16"/>
      <c r="E1037" s="72"/>
      <c r="F1037" s="91">
        <v>1.87</v>
      </c>
      <c r="G1037" s="90"/>
      <c r="H1037" s="26">
        <f t="shared" si="36"/>
        <v>8690111.9200000055</v>
      </c>
      <c r="I1037" s="25" t="s">
        <v>264</v>
      </c>
      <c r="J1037" s="22"/>
      <c r="K1037" s="25"/>
      <c r="L1037" s="25"/>
      <c r="M1037" s="22"/>
    </row>
    <row r="1038" spans="1:13">
      <c r="A1038" s="14">
        <v>2030</v>
      </c>
      <c r="B1038" s="67">
        <v>45170</v>
      </c>
      <c r="C1038" s="15">
        <f t="shared" si="35"/>
        <v>45170</v>
      </c>
      <c r="D1038" s="16"/>
      <c r="E1038" s="71"/>
      <c r="F1038" s="91">
        <v>20000</v>
      </c>
      <c r="G1038" s="90"/>
      <c r="H1038" s="26">
        <f t="shared" si="36"/>
        <v>8670111.9200000055</v>
      </c>
      <c r="I1038" s="25" t="s">
        <v>280</v>
      </c>
      <c r="J1038" s="22"/>
      <c r="K1038" s="25"/>
      <c r="L1038" s="25"/>
      <c r="M1038" s="22"/>
    </row>
    <row r="1039" spans="1:13">
      <c r="A1039" s="14">
        <v>2031</v>
      </c>
      <c r="B1039" s="67">
        <v>45170</v>
      </c>
      <c r="C1039" s="15">
        <f t="shared" si="35"/>
        <v>45170</v>
      </c>
      <c r="D1039" s="16"/>
      <c r="E1039" s="72"/>
      <c r="F1039" s="96">
        <v>135</v>
      </c>
      <c r="G1039" s="94"/>
      <c r="H1039" s="26">
        <f t="shared" si="36"/>
        <v>8669976.9200000055</v>
      </c>
      <c r="I1039" s="25" t="s">
        <v>264</v>
      </c>
      <c r="J1039" s="22"/>
      <c r="K1039" s="25"/>
      <c r="L1039" s="25"/>
      <c r="M1039" s="22"/>
    </row>
    <row r="1040" spans="1:13">
      <c r="A1040" s="14">
        <v>2032</v>
      </c>
      <c r="B1040" s="67">
        <v>45170</v>
      </c>
      <c r="C1040" s="15">
        <f t="shared" si="35"/>
        <v>45170</v>
      </c>
      <c r="D1040" s="16"/>
      <c r="E1040" s="71"/>
      <c r="F1040" s="91">
        <v>10.130000000000001</v>
      </c>
      <c r="G1040" s="95"/>
      <c r="H1040" s="26">
        <f t="shared" si="36"/>
        <v>8669966.7900000047</v>
      </c>
      <c r="I1040" s="25" t="s">
        <v>264</v>
      </c>
      <c r="J1040" s="22"/>
      <c r="K1040" s="25"/>
      <c r="L1040" s="25"/>
      <c r="M1040" s="22"/>
    </row>
    <row r="1041" spans="1:13">
      <c r="A1041" s="14">
        <v>2033</v>
      </c>
      <c r="B1041" s="67">
        <v>45170</v>
      </c>
      <c r="C1041" s="15">
        <f t="shared" si="35"/>
        <v>45170</v>
      </c>
      <c r="D1041" s="16"/>
      <c r="E1041" s="72"/>
      <c r="F1041" s="91">
        <v>27000</v>
      </c>
      <c r="G1041" s="90"/>
      <c r="H1041" s="26">
        <f t="shared" si="36"/>
        <v>8642966.7900000047</v>
      </c>
      <c r="I1041" s="25" t="s">
        <v>286</v>
      </c>
      <c r="J1041" s="22"/>
      <c r="K1041" s="25"/>
      <c r="L1041" s="25"/>
      <c r="M1041" s="22"/>
    </row>
    <row r="1042" spans="1:13">
      <c r="A1042" s="14">
        <v>2034</v>
      </c>
      <c r="B1042" s="67">
        <v>45170</v>
      </c>
      <c r="C1042" s="15">
        <f t="shared" si="35"/>
        <v>45170</v>
      </c>
      <c r="D1042" s="16"/>
      <c r="E1042" s="71"/>
      <c r="F1042" s="91">
        <v>25</v>
      </c>
      <c r="G1042" s="90"/>
      <c r="H1042" s="26">
        <f t="shared" si="36"/>
        <v>8642941.7900000047</v>
      </c>
      <c r="I1042" s="25" t="s">
        <v>264</v>
      </c>
      <c r="J1042" s="22"/>
      <c r="K1042" s="25"/>
      <c r="L1042" s="25"/>
      <c r="M1042" s="22"/>
    </row>
    <row r="1043" spans="1:13">
      <c r="A1043" s="14">
        <v>2035</v>
      </c>
      <c r="B1043" s="67">
        <v>45170</v>
      </c>
      <c r="C1043" s="15">
        <f t="shared" si="35"/>
        <v>45170</v>
      </c>
      <c r="D1043" s="16"/>
      <c r="E1043" s="72"/>
      <c r="F1043" s="91">
        <v>1.87</v>
      </c>
      <c r="G1043" s="90"/>
      <c r="H1043" s="26">
        <f t="shared" si="36"/>
        <v>8642939.9200000055</v>
      </c>
      <c r="I1043" s="25" t="s">
        <v>264</v>
      </c>
      <c r="J1043" s="22"/>
      <c r="K1043" s="25"/>
      <c r="L1043" s="25"/>
      <c r="M1043" s="22"/>
    </row>
    <row r="1044" spans="1:13">
      <c r="A1044" s="14">
        <v>2036</v>
      </c>
      <c r="B1044" s="67">
        <v>45170</v>
      </c>
      <c r="C1044" s="15">
        <f t="shared" si="35"/>
        <v>45170</v>
      </c>
      <c r="D1044" s="16"/>
      <c r="E1044" s="71"/>
      <c r="F1044" s="91">
        <v>100800</v>
      </c>
      <c r="G1044" s="90"/>
      <c r="H1044" s="26">
        <f t="shared" si="36"/>
        <v>8542139.9200000055</v>
      </c>
      <c r="I1044" s="25" t="s">
        <v>285</v>
      </c>
      <c r="J1044" s="22"/>
      <c r="K1044" s="25"/>
      <c r="L1044" s="25"/>
      <c r="M1044" s="22"/>
    </row>
    <row r="1045" spans="1:13">
      <c r="A1045" s="14">
        <v>2037</v>
      </c>
      <c r="B1045" s="67">
        <v>45170</v>
      </c>
      <c r="C1045" s="15">
        <f t="shared" si="35"/>
        <v>45170</v>
      </c>
      <c r="D1045" s="16"/>
      <c r="E1045" s="72"/>
      <c r="F1045" s="91">
        <v>50</v>
      </c>
      <c r="G1045" s="90"/>
      <c r="H1045" s="26">
        <f t="shared" si="36"/>
        <v>8542089.9200000055</v>
      </c>
      <c r="I1045" s="25" t="s">
        <v>264</v>
      </c>
      <c r="J1045" s="22"/>
      <c r="K1045" s="25"/>
      <c r="L1045" s="25"/>
      <c r="M1045" s="22"/>
    </row>
    <row r="1046" spans="1:13">
      <c r="A1046" s="14">
        <v>2038</v>
      </c>
      <c r="B1046" s="67">
        <v>45170</v>
      </c>
      <c r="C1046" s="15">
        <f t="shared" si="35"/>
        <v>45170</v>
      </c>
      <c r="D1046" s="16"/>
      <c r="E1046" s="71"/>
      <c r="F1046" s="91">
        <v>3.75</v>
      </c>
      <c r="G1046" s="90"/>
      <c r="H1046" s="26">
        <f t="shared" si="36"/>
        <v>8542086.1700000055</v>
      </c>
      <c r="I1046" s="25" t="s">
        <v>264</v>
      </c>
      <c r="J1046" s="22"/>
      <c r="K1046" s="25"/>
      <c r="L1046" s="25"/>
      <c r="M1046" s="22"/>
    </row>
    <row r="1047" spans="1:13">
      <c r="A1047" s="14">
        <v>2039</v>
      </c>
      <c r="B1047" s="67">
        <v>45170</v>
      </c>
      <c r="C1047" s="15">
        <f t="shared" si="35"/>
        <v>45170</v>
      </c>
      <c r="D1047" s="16"/>
      <c r="E1047" s="72"/>
      <c r="F1047" s="91">
        <v>12000</v>
      </c>
      <c r="G1047" s="90"/>
      <c r="H1047" s="26">
        <f t="shared" si="36"/>
        <v>8530086.1700000055</v>
      </c>
      <c r="I1047" s="25" t="s">
        <v>264</v>
      </c>
      <c r="J1047" s="22"/>
      <c r="K1047" s="25"/>
      <c r="L1047" s="25"/>
      <c r="M1047" s="22"/>
    </row>
    <row r="1048" spans="1:13">
      <c r="A1048" s="14">
        <v>2040</v>
      </c>
      <c r="B1048" s="67">
        <v>45170</v>
      </c>
      <c r="C1048" s="15">
        <f t="shared" si="35"/>
        <v>45170</v>
      </c>
      <c r="D1048" s="16"/>
      <c r="E1048" s="71"/>
      <c r="F1048" s="91">
        <v>25</v>
      </c>
      <c r="G1048" s="90"/>
      <c r="H1048" s="26">
        <f t="shared" si="36"/>
        <v>8530061.1700000055</v>
      </c>
      <c r="I1048" s="25" t="s">
        <v>264</v>
      </c>
      <c r="J1048" s="22"/>
      <c r="K1048" s="25"/>
      <c r="L1048" s="25"/>
      <c r="M1048" s="22"/>
    </row>
    <row r="1049" spans="1:13">
      <c r="A1049" s="14">
        <v>2041</v>
      </c>
      <c r="B1049" s="67">
        <v>45170</v>
      </c>
      <c r="C1049" s="15">
        <f t="shared" si="35"/>
        <v>45170</v>
      </c>
      <c r="D1049" s="16"/>
      <c r="E1049" s="72"/>
      <c r="F1049" s="91">
        <v>1.87</v>
      </c>
      <c r="G1049" s="90"/>
      <c r="H1049" s="26">
        <f t="shared" si="36"/>
        <v>8530059.3000000063</v>
      </c>
      <c r="I1049" s="25" t="s">
        <v>264</v>
      </c>
      <c r="J1049" s="22"/>
      <c r="K1049" s="25"/>
      <c r="L1049" s="25"/>
      <c r="M1049" s="22"/>
    </row>
    <row r="1050" spans="1:13">
      <c r="A1050" s="14">
        <v>2042</v>
      </c>
      <c r="B1050" s="67">
        <v>45170</v>
      </c>
      <c r="C1050" s="15">
        <f t="shared" si="35"/>
        <v>45170</v>
      </c>
      <c r="D1050" s="16"/>
      <c r="E1050" s="71"/>
      <c r="F1050" s="91">
        <v>15</v>
      </c>
      <c r="G1050" s="90"/>
      <c r="H1050" s="26">
        <f t="shared" si="36"/>
        <v>8530044.3000000063</v>
      </c>
      <c r="I1050" s="25" t="s">
        <v>264</v>
      </c>
      <c r="J1050" s="22"/>
      <c r="K1050" s="25"/>
      <c r="L1050" s="25"/>
      <c r="M1050" s="22"/>
    </row>
    <row r="1051" spans="1:13">
      <c r="A1051" s="14">
        <v>2043</v>
      </c>
      <c r="B1051" s="67">
        <v>45170</v>
      </c>
      <c r="C1051" s="15">
        <f t="shared" si="35"/>
        <v>45170</v>
      </c>
      <c r="D1051" s="16"/>
      <c r="E1051" s="72"/>
      <c r="F1051" s="91">
        <v>1.1299999999999999</v>
      </c>
      <c r="G1051" s="90"/>
      <c r="H1051" s="26">
        <f t="shared" si="36"/>
        <v>8530043.1700000055</v>
      </c>
      <c r="I1051" s="25" t="s">
        <v>264</v>
      </c>
      <c r="J1051" s="22"/>
      <c r="K1051" s="25"/>
      <c r="L1051" s="25"/>
      <c r="M1051" s="22"/>
    </row>
    <row r="1052" spans="1:13">
      <c r="A1052" s="14">
        <v>2044</v>
      </c>
      <c r="B1052" s="67">
        <v>45170</v>
      </c>
      <c r="C1052" s="15">
        <f t="shared" si="35"/>
        <v>45170</v>
      </c>
      <c r="D1052" s="16"/>
      <c r="E1052" s="71"/>
      <c r="F1052" s="91">
        <v>50000</v>
      </c>
      <c r="G1052" s="90"/>
      <c r="H1052" s="26">
        <f t="shared" si="36"/>
        <v>8480043.1700000055</v>
      </c>
      <c r="I1052" s="25" t="s">
        <v>276</v>
      </c>
      <c r="J1052" s="22"/>
      <c r="K1052" s="25"/>
      <c r="L1052" s="25"/>
      <c r="M1052" s="22"/>
    </row>
    <row r="1053" spans="1:13">
      <c r="A1053" s="14">
        <v>2045</v>
      </c>
      <c r="B1053" s="67">
        <v>45170</v>
      </c>
      <c r="C1053" s="15">
        <f t="shared" si="35"/>
        <v>45170</v>
      </c>
      <c r="D1053" s="16"/>
      <c r="E1053" s="72"/>
      <c r="F1053" s="96">
        <v>50</v>
      </c>
      <c r="G1053" s="94"/>
      <c r="H1053" s="26">
        <f t="shared" si="36"/>
        <v>8479993.1700000055</v>
      </c>
      <c r="I1053" s="25" t="s">
        <v>264</v>
      </c>
      <c r="J1053" s="22"/>
      <c r="K1053" s="25"/>
      <c r="L1053" s="25"/>
      <c r="M1053" s="22"/>
    </row>
    <row r="1054" spans="1:13">
      <c r="A1054" s="14">
        <v>2046</v>
      </c>
      <c r="B1054" s="67">
        <v>45170</v>
      </c>
      <c r="C1054" s="15">
        <f t="shared" ref="C1054:C1112" si="37">B1054</f>
        <v>45170</v>
      </c>
      <c r="D1054" s="16"/>
      <c r="E1054" s="71"/>
      <c r="F1054" s="91">
        <v>50000</v>
      </c>
      <c r="G1054" s="90"/>
      <c r="H1054" s="26">
        <f t="shared" si="36"/>
        <v>8429993.1700000055</v>
      </c>
      <c r="I1054" s="25" t="s">
        <v>276</v>
      </c>
      <c r="J1054" s="22"/>
      <c r="K1054" s="25"/>
      <c r="L1054" s="25"/>
      <c r="M1054" s="22"/>
    </row>
    <row r="1055" spans="1:13">
      <c r="A1055" s="14">
        <v>2047</v>
      </c>
      <c r="B1055" s="67">
        <v>45170</v>
      </c>
      <c r="C1055" s="15">
        <f t="shared" si="37"/>
        <v>45170</v>
      </c>
      <c r="D1055" s="16"/>
      <c r="E1055" s="72"/>
      <c r="F1055" s="91">
        <v>50</v>
      </c>
      <c r="G1055" s="90"/>
      <c r="H1055" s="26">
        <f t="shared" si="36"/>
        <v>8429943.1700000055</v>
      </c>
      <c r="I1055" s="25" t="s">
        <v>264</v>
      </c>
      <c r="J1055" s="22"/>
      <c r="K1055" s="25"/>
      <c r="L1055" s="25"/>
      <c r="M1055" s="22"/>
    </row>
    <row r="1056" spans="1:13">
      <c r="A1056" s="14">
        <v>2048</v>
      </c>
      <c r="B1056" s="67">
        <v>45170</v>
      </c>
      <c r="C1056" s="15">
        <f t="shared" si="37"/>
        <v>45170</v>
      </c>
      <c r="D1056" s="16"/>
      <c r="E1056" s="71"/>
      <c r="F1056" s="91">
        <v>1200000</v>
      </c>
      <c r="G1056" s="90"/>
      <c r="H1056" s="26">
        <f t="shared" si="36"/>
        <v>7229943.1700000055</v>
      </c>
      <c r="I1056" s="25" t="s">
        <v>276</v>
      </c>
      <c r="J1056" s="22"/>
      <c r="K1056" s="25"/>
      <c r="L1056" s="25"/>
      <c r="M1056" s="22"/>
    </row>
    <row r="1057" spans="1:13">
      <c r="A1057" s="14">
        <v>2049</v>
      </c>
      <c r="B1057" s="67">
        <v>45170</v>
      </c>
      <c r="C1057" s="15">
        <f t="shared" si="37"/>
        <v>45170</v>
      </c>
      <c r="D1057" s="16"/>
      <c r="E1057" s="72"/>
      <c r="F1057" s="91">
        <v>50</v>
      </c>
      <c r="G1057" s="90"/>
      <c r="H1057" s="26">
        <f t="shared" si="36"/>
        <v>7229893.1700000055</v>
      </c>
      <c r="I1057" s="25" t="s">
        <v>264</v>
      </c>
      <c r="J1057" s="22"/>
      <c r="K1057" s="25"/>
      <c r="L1057" s="25"/>
      <c r="M1057" s="22"/>
    </row>
    <row r="1058" spans="1:13">
      <c r="A1058" s="14">
        <v>2050</v>
      </c>
      <c r="B1058" s="67">
        <v>45176</v>
      </c>
      <c r="C1058" s="15">
        <f t="shared" si="37"/>
        <v>45176</v>
      </c>
      <c r="D1058" s="16"/>
      <c r="E1058" s="71"/>
      <c r="F1058" s="91">
        <v>74880</v>
      </c>
      <c r="G1058" s="90"/>
      <c r="H1058" s="26">
        <f t="shared" si="36"/>
        <v>7155013.1700000055</v>
      </c>
      <c r="I1058" s="25" t="s">
        <v>280</v>
      </c>
      <c r="J1058" s="22"/>
      <c r="K1058" s="25"/>
      <c r="L1058" s="25"/>
      <c r="M1058" s="22"/>
    </row>
    <row r="1059" spans="1:13">
      <c r="A1059" s="14">
        <v>2051</v>
      </c>
      <c r="B1059" s="67">
        <v>45176</v>
      </c>
      <c r="C1059" s="15">
        <f t="shared" si="37"/>
        <v>45176</v>
      </c>
      <c r="D1059" s="16"/>
      <c r="E1059" s="72"/>
      <c r="F1059" s="91">
        <v>18898.650000000001</v>
      </c>
      <c r="G1059" s="90"/>
      <c r="H1059" s="26">
        <f t="shared" si="36"/>
        <v>7136114.5200000051</v>
      </c>
      <c r="I1059" s="25" t="s">
        <v>280</v>
      </c>
      <c r="J1059" s="22"/>
      <c r="K1059" s="25"/>
      <c r="L1059" s="25"/>
      <c r="M1059" s="22"/>
    </row>
    <row r="1060" spans="1:13">
      <c r="A1060" s="14">
        <v>2052</v>
      </c>
      <c r="B1060" s="67">
        <v>45176</v>
      </c>
      <c r="C1060" s="15">
        <f t="shared" si="37"/>
        <v>45176</v>
      </c>
      <c r="D1060" s="16"/>
      <c r="E1060" s="71"/>
      <c r="F1060" s="91">
        <v>25</v>
      </c>
      <c r="G1060" s="90"/>
      <c r="H1060" s="26">
        <f t="shared" si="36"/>
        <v>7136089.5200000051</v>
      </c>
      <c r="I1060" s="25" t="s">
        <v>264</v>
      </c>
      <c r="J1060" s="22"/>
      <c r="K1060" s="25"/>
      <c r="L1060" s="25"/>
      <c r="M1060" s="22"/>
    </row>
    <row r="1061" spans="1:13">
      <c r="A1061" s="14">
        <v>2053</v>
      </c>
      <c r="B1061" s="67">
        <v>45176</v>
      </c>
      <c r="C1061" s="15">
        <f t="shared" si="37"/>
        <v>45176</v>
      </c>
      <c r="D1061" s="16"/>
      <c r="E1061" s="72"/>
      <c r="F1061" s="96">
        <v>1.87</v>
      </c>
      <c r="G1061" s="93"/>
      <c r="H1061" s="26">
        <f t="shared" si="36"/>
        <v>7136087.650000005</v>
      </c>
      <c r="I1061" s="25" t="s">
        <v>264</v>
      </c>
      <c r="J1061" s="22"/>
      <c r="K1061" s="25"/>
      <c r="L1061" s="25"/>
      <c r="M1061" s="22"/>
    </row>
    <row r="1062" spans="1:13">
      <c r="A1062" s="14">
        <v>2055</v>
      </c>
      <c r="B1062" s="67">
        <v>45176</v>
      </c>
      <c r="C1062" s="15">
        <f t="shared" si="37"/>
        <v>45176</v>
      </c>
      <c r="D1062" s="16"/>
      <c r="E1062" s="72"/>
      <c r="F1062" s="91">
        <v>500</v>
      </c>
      <c r="G1062" s="90"/>
      <c r="H1062" s="26">
        <f t="shared" si="36"/>
        <v>7135587.650000005</v>
      </c>
      <c r="I1062" s="25" t="s">
        <v>275</v>
      </c>
      <c r="J1062" s="22"/>
      <c r="K1062" s="25"/>
      <c r="L1062" s="25"/>
      <c r="M1062" s="22"/>
    </row>
    <row r="1063" spans="1:13">
      <c r="A1063" s="14">
        <v>2056</v>
      </c>
      <c r="B1063" s="67">
        <v>45176</v>
      </c>
      <c r="C1063" s="15">
        <f t="shared" si="37"/>
        <v>45176</v>
      </c>
      <c r="D1063" s="16"/>
      <c r="E1063" s="71"/>
      <c r="F1063" s="91">
        <v>500</v>
      </c>
      <c r="G1063" s="90"/>
      <c r="H1063" s="26">
        <f t="shared" si="36"/>
        <v>7135087.650000005</v>
      </c>
      <c r="I1063" s="25" t="s">
        <v>275</v>
      </c>
      <c r="J1063" s="22"/>
      <c r="K1063" s="25"/>
      <c r="L1063" s="25"/>
      <c r="M1063" s="22"/>
    </row>
    <row r="1064" spans="1:13">
      <c r="A1064" s="14">
        <v>2057</v>
      </c>
      <c r="B1064" s="67">
        <v>45176</v>
      </c>
      <c r="C1064" s="15">
        <f t="shared" si="37"/>
        <v>45176</v>
      </c>
      <c r="D1064" s="16"/>
      <c r="E1064" s="72"/>
      <c r="F1064" s="91">
        <v>10</v>
      </c>
      <c r="G1064" s="90"/>
      <c r="H1064" s="26">
        <f t="shared" si="36"/>
        <v>7135077.650000005</v>
      </c>
      <c r="I1064" s="25" t="s">
        <v>264</v>
      </c>
      <c r="J1064" s="22"/>
      <c r="K1064" s="25"/>
      <c r="L1064" s="25"/>
      <c r="M1064" s="22"/>
    </row>
    <row r="1065" spans="1:13">
      <c r="A1065" s="14">
        <v>2058</v>
      </c>
      <c r="B1065" s="67">
        <v>45176</v>
      </c>
      <c r="C1065" s="15">
        <f t="shared" si="37"/>
        <v>45176</v>
      </c>
      <c r="D1065" s="16"/>
      <c r="E1065" s="71"/>
      <c r="F1065" s="91">
        <v>0.75</v>
      </c>
      <c r="G1065" s="90"/>
      <c r="H1065" s="26">
        <f t="shared" si="36"/>
        <v>7135076.900000005</v>
      </c>
      <c r="I1065" s="25" t="s">
        <v>264</v>
      </c>
      <c r="J1065" s="22"/>
      <c r="K1065" s="25"/>
      <c r="L1065" s="25"/>
      <c r="M1065" s="22"/>
    </row>
    <row r="1066" spans="1:13">
      <c r="A1066" s="14">
        <v>2059</v>
      </c>
      <c r="B1066" s="67">
        <v>45176</v>
      </c>
      <c r="C1066" s="15">
        <f t="shared" si="37"/>
        <v>45176</v>
      </c>
      <c r="D1066" s="16"/>
      <c r="E1066" s="72"/>
      <c r="F1066" s="91">
        <v>1000</v>
      </c>
      <c r="G1066" s="90"/>
      <c r="H1066" s="26">
        <f t="shared" si="36"/>
        <v>7134076.900000005</v>
      </c>
      <c r="I1066" s="25" t="s">
        <v>275</v>
      </c>
      <c r="J1066" s="22"/>
      <c r="K1066" s="25"/>
      <c r="L1066" s="25"/>
      <c r="M1066" s="22"/>
    </row>
    <row r="1067" spans="1:13">
      <c r="A1067" s="14">
        <v>2060</v>
      </c>
      <c r="B1067" s="67">
        <v>45176</v>
      </c>
      <c r="C1067" s="15">
        <f t="shared" si="37"/>
        <v>45176</v>
      </c>
      <c r="D1067" s="16"/>
      <c r="E1067" s="71"/>
      <c r="F1067" s="91">
        <v>10</v>
      </c>
      <c r="G1067" s="90"/>
      <c r="H1067" s="26">
        <f t="shared" si="36"/>
        <v>7134066.900000005</v>
      </c>
      <c r="I1067" s="25" t="s">
        <v>264</v>
      </c>
      <c r="J1067" s="22"/>
      <c r="K1067" s="25"/>
      <c r="L1067" s="25"/>
      <c r="M1067" s="22"/>
    </row>
    <row r="1068" spans="1:13">
      <c r="A1068" s="14">
        <v>2061</v>
      </c>
      <c r="B1068" s="67">
        <v>45176</v>
      </c>
      <c r="C1068" s="15">
        <f t="shared" si="37"/>
        <v>45176</v>
      </c>
      <c r="D1068" s="16"/>
      <c r="E1068" s="72"/>
      <c r="F1068" s="96">
        <v>0.75</v>
      </c>
      <c r="G1068" s="93"/>
      <c r="H1068" s="26">
        <f t="shared" ref="H1068:H1131" si="38">IFERROR(H1067-F1068+G1068,"")</f>
        <v>7134066.150000005</v>
      </c>
      <c r="I1068" s="25" t="s">
        <v>264</v>
      </c>
      <c r="J1068" s="22"/>
      <c r="K1068" s="25"/>
      <c r="L1068" s="25"/>
      <c r="M1068" s="22"/>
    </row>
    <row r="1069" spans="1:13">
      <c r="A1069" s="14">
        <v>2062</v>
      </c>
      <c r="B1069" s="67">
        <v>45178</v>
      </c>
      <c r="C1069" s="15">
        <f t="shared" si="37"/>
        <v>45178</v>
      </c>
      <c r="D1069" s="16"/>
      <c r="E1069" s="71"/>
      <c r="F1069" s="91">
        <v>1341225.32</v>
      </c>
      <c r="G1069" s="90"/>
      <c r="H1069" s="26">
        <f t="shared" si="38"/>
        <v>5792840.8300000047</v>
      </c>
      <c r="I1069" s="25" t="s">
        <v>272</v>
      </c>
      <c r="J1069" s="22"/>
      <c r="K1069" s="25"/>
      <c r="L1069" s="25"/>
      <c r="M1069" s="22"/>
    </row>
    <row r="1070" spans="1:13">
      <c r="A1070" s="14">
        <v>2063</v>
      </c>
      <c r="B1070" s="67">
        <v>45178</v>
      </c>
      <c r="C1070" s="15">
        <f t="shared" si="37"/>
        <v>45178</v>
      </c>
      <c r="D1070" s="16"/>
      <c r="E1070" s="72"/>
      <c r="F1070" s="91">
        <v>100</v>
      </c>
      <c r="G1070" s="90"/>
      <c r="H1070" s="26">
        <f t="shared" si="38"/>
        <v>5792740.8300000047</v>
      </c>
      <c r="I1070" s="25" t="s">
        <v>264</v>
      </c>
      <c r="J1070" s="22"/>
      <c r="K1070" s="25"/>
      <c r="L1070" s="25"/>
      <c r="M1070" s="22"/>
    </row>
    <row r="1071" spans="1:13">
      <c r="A1071" s="14">
        <v>2064</v>
      </c>
      <c r="B1071" s="67">
        <v>45180</v>
      </c>
      <c r="C1071" s="15">
        <f t="shared" si="37"/>
        <v>45180</v>
      </c>
      <c r="D1071" s="16"/>
      <c r="E1071" s="71"/>
      <c r="F1071" s="91">
        <v>100000</v>
      </c>
      <c r="G1071" s="90"/>
      <c r="H1071" s="26">
        <f t="shared" si="38"/>
        <v>5692740.8300000047</v>
      </c>
      <c r="I1071" s="25" t="s">
        <v>289</v>
      </c>
      <c r="J1071" s="22"/>
      <c r="K1071" s="25"/>
      <c r="L1071" s="25"/>
      <c r="M1071" s="22"/>
    </row>
    <row r="1072" spans="1:13">
      <c r="A1072" s="14">
        <v>2065</v>
      </c>
      <c r="B1072" s="67">
        <v>45180</v>
      </c>
      <c r="C1072" s="15">
        <f t="shared" si="37"/>
        <v>45180</v>
      </c>
      <c r="D1072" s="16"/>
      <c r="E1072" s="72"/>
      <c r="F1072" s="91">
        <v>50</v>
      </c>
      <c r="G1072" s="90"/>
      <c r="H1072" s="26">
        <f t="shared" si="38"/>
        <v>5692690.8300000047</v>
      </c>
      <c r="I1072" s="25" t="s">
        <v>264</v>
      </c>
      <c r="J1072" s="22"/>
      <c r="K1072" s="25"/>
      <c r="L1072" s="25"/>
      <c r="M1072" s="22"/>
    </row>
    <row r="1073" spans="1:13">
      <c r="A1073" s="14">
        <v>2066</v>
      </c>
      <c r="B1073" s="67">
        <v>45180</v>
      </c>
      <c r="C1073" s="15">
        <f t="shared" si="37"/>
        <v>45180</v>
      </c>
      <c r="D1073" s="16"/>
      <c r="E1073" s="71"/>
      <c r="F1073" s="91">
        <v>3.75</v>
      </c>
      <c r="G1073" s="90"/>
      <c r="H1073" s="26">
        <f t="shared" si="38"/>
        <v>5692687.0800000047</v>
      </c>
      <c r="I1073" s="25" t="s">
        <v>264</v>
      </c>
      <c r="J1073" s="22"/>
      <c r="K1073" s="25"/>
      <c r="L1073" s="25"/>
      <c r="M1073" s="22"/>
    </row>
    <row r="1074" spans="1:13">
      <c r="A1074" s="14">
        <v>2067</v>
      </c>
      <c r="B1074" s="67">
        <v>45183</v>
      </c>
      <c r="C1074" s="15">
        <f t="shared" si="37"/>
        <v>45183</v>
      </c>
      <c r="D1074" s="16"/>
      <c r="E1074" s="72"/>
      <c r="F1074" s="90"/>
      <c r="G1074" s="91">
        <v>1341225.32</v>
      </c>
      <c r="H1074" s="26">
        <f t="shared" si="38"/>
        <v>7033912.400000005</v>
      </c>
      <c r="I1074" s="25" t="s">
        <v>314</v>
      </c>
      <c r="J1074" s="22"/>
      <c r="K1074" s="25"/>
      <c r="L1074" s="25"/>
      <c r="M1074" s="22"/>
    </row>
    <row r="1075" spans="1:13">
      <c r="A1075" s="14">
        <v>2068</v>
      </c>
      <c r="B1075" s="67">
        <v>45183</v>
      </c>
      <c r="C1075" s="15">
        <f t="shared" si="37"/>
        <v>45183</v>
      </c>
      <c r="D1075" s="16"/>
      <c r="E1075" s="71"/>
      <c r="F1075" s="96">
        <v>68400</v>
      </c>
      <c r="G1075" s="93"/>
      <c r="H1075" s="26">
        <f t="shared" si="38"/>
        <v>6965512.400000005</v>
      </c>
      <c r="I1075" s="25" t="s">
        <v>280</v>
      </c>
      <c r="J1075" s="22"/>
      <c r="K1075" s="25"/>
      <c r="L1075" s="25"/>
      <c r="M1075" s="22"/>
    </row>
    <row r="1076" spans="1:13">
      <c r="A1076" s="14">
        <v>2070</v>
      </c>
      <c r="B1076" s="67">
        <v>45183</v>
      </c>
      <c r="C1076" s="15">
        <f t="shared" si="37"/>
        <v>45183</v>
      </c>
      <c r="D1076" s="16"/>
      <c r="E1076" s="71"/>
      <c r="F1076" s="91">
        <v>37200</v>
      </c>
      <c r="G1076" s="90"/>
      <c r="H1076" s="26">
        <f t="shared" si="38"/>
        <v>6928312.400000005</v>
      </c>
      <c r="I1076" s="25" t="s">
        <v>285</v>
      </c>
      <c r="J1076" s="22"/>
      <c r="K1076" s="25"/>
      <c r="L1076" s="25"/>
      <c r="M1076" s="22"/>
    </row>
    <row r="1077" spans="1:13">
      <c r="A1077" s="14">
        <v>2071</v>
      </c>
      <c r="B1077" s="67">
        <v>45183</v>
      </c>
      <c r="C1077" s="15">
        <f t="shared" si="37"/>
        <v>45183</v>
      </c>
      <c r="D1077" s="16"/>
      <c r="E1077" s="72"/>
      <c r="F1077" s="91">
        <v>50</v>
      </c>
      <c r="G1077" s="95"/>
      <c r="H1077" s="26">
        <f t="shared" si="38"/>
        <v>6928262.400000005</v>
      </c>
      <c r="I1077" s="25" t="s">
        <v>264</v>
      </c>
      <c r="J1077" s="22"/>
      <c r="K1077" s="25"/>
      <c r="L1077" s="25"/>
      <c r="M1077" s="22"/>
    </row>
    <row r="1078" spans="1:13">
      <c r="A1078" s="14">
        <v>2072</v>
      </c>
      <c r="B1078" s="67">
        <v>45187</v>
      </c>
      <c r="C1078" s="15">
        <f t="shared" si="37"/>
        <v>45187</v>
      </c>
      <c r="D1078" s="16"/>
      <c r="E1078" s="71"/>
      <c r="F1078" s="91">
        <v>108000</v>
      </c>
      <c r="G1078" s="90"/>
      <c r="H1078" s="26">
        <f t="shared" si="38"/>
        <v>6820262.400000005</v>
      </c>
      <c r="I1078" s="25" t="s">
        <v>285</v>
      </c>
      <c r="J1078" s="22"/>
      <c r="K1078" s="25"/>
      <c r="L1078" s="25"/>
      <c r="M1078" s="22"/>
    </row>
    <row r="1079" spans="1:13">
      <c r="A1079" s="14">
        <v>2073</v>
      </c>
      <c r="B1079" s="67">
        <v>45187</v>
      </c>
      <c r="C1079" s="15">
        <f t="shared" si="37"/>
        <v>45187</v>
      </c>
      <c r="D1079" s="16"/>
      <c r="E1079" s="72"/>
      <c r="F1079" s="91">
        <v>50</v>
      </c>
      <c r="G1079" s="90"/>
      <c r="H1079" s="26">
        <f t="shared" si="38"/>
        <v>6820212.400000005</v>
      </c>
      <c r="I1079" s="25" t="s">
        <v>264</v>
      </c>
      <c r="J1079" s="22"/>
      <c r="K1079" s="25"/>
      <c r="L1079" s="25"/>
      <c r="M1079" s="22"/>
    </row>
    <row r="1080" spans="1:13">
      <c r="A1080" s="14">
        <v>2074</v>
      </c>
      <c r="B1080" s="67">
        <v>45187</v>
      </c>
      <c r="C1080" s="15">
        <f t="shared" si="37"/>
        <v>45187</v>
      </c>
      <c r="D1080" s="16"/>
      <c r="E1080" s="71"/>
      <c r="F1080" s="91">
        <v>3.75</v>
      </c>
      <c r="G1080" s="90"/>
      <c r="H1080" s="26">
        <f t="shared" si="38"/>
        <v>6820208.650000005</v>
      </c>
      <c r="I1080" s="25" t="s">
        <v>264</v>
      </c>
      <c r="J1080" s="22"/>
      <c r="K1080" s="25"/>
      <c r="L1080" s="25"/>
      <c r="M1080" s="22"/>
    </row>
    <row r="1081" spans="1:13">
      <c r="A1081" s="14">
        <v>2075</v>
      </c>
      <c r="B1081" s="67">
        <v>45187</v>
      </c>
      <c r="C1081" s="15">
        <f t="shared" si="37"/>
        <v>45187</v>
      </c>
      <c r="D1081" s="16"/>
      <c r="E1081" s="72"/>
      <c r="F1081" s="91">
        <v>10815</v>
      </c>
      <c r="G1081" s="90"/>
      <c r="H1081" s="26">
        <f t="shared" si="38"/>
        <v>6809393.650000005</v>
      </c>
      <c r="I1081" s="25" t="s">
        <v>318</v>
      </c>
      <c r="J1081" s="22"/>
      <c r="K1081" s="25"/>
      <c r="L1081" s="25"/>
      <c r="M1081" s="22"/>
    </row>
    <row r="1082" spans="1:13">
      <c r="A1082" s="14">
        <v>2076</v>
      </c>
      <c r="B1082" s="67">
        <v>45187</v>
      </c>
      <c r="C1082" s="15">
        <f t="shared" si="37"/>
        <v>45187</v>
      </c>
      <c r="D1082" s="16"/>
      <c r="E1082" s="71"/>
      <c r="F1082" s="96">
        <v>25</v>
      </c>
      <c r="G1082" s="94"/>
      <c r="H1082" s="26">
        <f t="shared" si="38"/>
        <v>6809368.650000005</v>
      </c>
      <c r="I1082" s="25" t="s">
        <v>264</v>
      </c>
      <c r="J1082" s="22"/>
      <c r="K1082" s="25"/>
      <c r="L1082" s="25"/>
      <c r="M1082" s="22"/>
    </row>
    <row r="1083" spans="1:13">
      <c r="A1083" s="14">
        <v>2078</v>
      </c>
      <c r="B1083" s="67">
        <v>45187</v>
      </c>
      <c r="C1083" s="15">
        <f t="shared" si="37"/>
        <v>45187</v>
      </c>
      <c r="D1083" s="16"/>
      <c r="E1083" s="71"/>
      <c r="F1083" s="91">
        <v>1.87</v>
      </c>
      <c r="G1083" s="90"/>
      <c r="H1083" s="26">
        <f t="shared" si="38"/>
        <v>6809366.7800000049</v>
      </c>
      <c r="I1083" s="25" t="s">
        <v>264</v>
      </c>
      <c r="J1083" s="22"/>
      <c r="K1083" s="25"/>
      <c r="L1083" s="25"/>
      <c r="M1083" s="22"/>
    </row>
    <row r="1084" spans="1:13">
      <c r="A1084" s="14">
        <v>2079</v>
      </c>
      <c r="B1084" s="67">
        <v>45187</v>
      </c>
      <c r="C1084" s="15">
        <f t="shared" si="37"/>
        <v>45187</v>
      </c>
      <c r="D1084" s="16"/>
      <c r="E1084" s="72"/>
      <c r="F1084" s="91">
        <v>8500</v>
      </c>
      <c r="G1084" s="90"/>
      <c r="H1084" s="26">
        <f t="shared" si="38"/>
        <v>6800866.7800000049</v>
      </c>
      <c r="I1084" s="25" t="s">
        <v>284</v>
      </c>
      <c r="J1084" s="22"/>
      <c r="K1084" s="25"/>
      <c r="L1084" s="25"/>
      <c r="M1084" s="22"/>
    </row>
    <row r="1085" spans="1:13">
      <c r="A1085" s="14">
        <v>2080</v>
      </c>
      <c r="B1085" s="67">
        <v>45187</v>
      </c>
      <c r="C1085" s="15">
        <f t="shared" si="37"/>
        <v>45187</v>
      </c>
      <c r="D1085" s="16"/>
      <c r="E1085" s="71"/>
      <c r="F1085" s="91">
        <v>25</v>
      </c>
      <c r="G1085" s="90"/>
      <c r="H1085" s="26">
        <f t="shared" si="38"/>
        <v>6800841.7800000049</v>
      </c>
      <c r="I1085" s="25" t="s">
        <v>264</v>
      </c>
      <c r="J1085" s="22"/>
      <c r="K1085" s="25"/>
      <c r="L1085" s="25"/>
      <c r="M1085" s="22"/>
    </row>
    <row r="1086" spans="1:13">
      <c r="A1086" s="14">
        <v>2081</v>
      </c>
      <c r="B1086" s="67">
        <v>45187</v>
      </c>
      <c r="C1086" s="15">
        <f t="shared" si="37"/>
        <v>45187</v>
      </c>
      <c r="D1086" s="16"/>
      <c r="E1086" s="72"/>
      <c r="F1086" s="91">
        <v>1.87</v>
      </c>
      <c r="G1086" s="90"/>
      <c r="H1086" s="26">
        <f t="shared" si="38"/>
        <v>6800839.9100000048</v>
      </c>
      <c r="I1086" s="25" t="s">
        <v>264</v>
      </c>
      <c r="J1086" s="22"/>
      <c r="K1086" s="25"/>
      <c r="L1086" s="25"/>
      <c r="M1086" s="22"/>
    </row>
    <row r="1087" spans="1:13">
      <c r="A1087" s="14">
        <v>2082</v>
      </c>
      <c r="B1087" s="67">
        <v>45187</v>
      </c>
      <c r="C1087" s="15">
        <f t="shared" si="37"/>
        <v>45187</v>
      </c>
      <c r="D1087" s="16"/>
      <c r="E1087" s="71"/>
      <c r="F1087" s="91">
        <v>314545</v>
      </c>
      <c r="G1087" s="90"/>
      <c r="H1087" s="26">
        <f t="shared" si="38"/>
        <v>6486294.9100000048</v>
      </c>
      <c r="I1087" s="25" t="s">
        <v>296</v>
      </c>
      <c r="J1087" s="22"/>
      <c r="K1087" s="25"/>
      <c r="L1087" s="25"/>
      <c r="M1087" s="22"/>
    </row>
    <row r="1088" spans="1:13">
      <c r="A1088" s="14">
        <v>2083</v>
      </c>
      <c r="B1088" s="67">
        <v>45187</v>
      </c>
      <c r="C1088" s="15">
        <f t="shared" si="37"/>
        <v>45187</v>
      </c>
      <c r="D1088" s="16"/>
      <c r="E1088" s="72"/>
      <c r="F1088" s="91">
        <v>50</v>
      </c>
      <c r="G1088" s="90"/>
      <c r="H1088" s="26">
        <f t="shared" si="38"/>
        <v>6486244.9100000048</v>
      </c>
      <c r="I1088" s="25" t="s">
        <v>264</v>
      </c>
      <c r="J1088" s="22"/>
      <c r="K1088" s="25"/>
      <c r="L1088" s="25"/>
      <c r="M1088" s="22"/>
    </row>
    <row r="1089" spans="1:13">
      <c r="A1089" s="14">
        <v>2084</v>
      </c>
      <c r="B1089" s="67">
        <v>45187</v>
      </c>
      <c r="C1089" s="15">
        <f t="shared" si="37"/>
        <v>45187</v>
      </c>
      <c r="D1089" s="16"/>
      <c r="E1089" s="71"/>
      <c r="F1089" s="96">
        <v>3.75</v>
      </c>
      <c r="G1089" s="93"/>
      <c r="H1089" s="26">
        <f t="shared" si="38"/>
        <v>6486241.1600000048</v>
      </c>
      <c r="I1089" s="25" t="s">
        <v>264</v>
      </c>
      <c r="J1089" s="22"/>
      <c r="K1089" s="25"/>
      <c r="L1089" s="25"/>
      <c r="M1089" s="22"/>
    </row>
    <row r="1090" spans="1:13">
      <c r="A1090" s="14">
        <v>2086</v>
      </c>
      <c r="B1090" s="67">
        <v>45190</v>
      </c>
      <c r="C1090" s="15">
        <f t="shared" si="37"/>
        <v>45190</v>
      </c>
      <c r="D1090" s="16"/>
      <c r="E1090" s="71"/>
      <c r="F1090" s="91">
        <v>1000</v>
      </c>
      <c r="G1090" s="90"/>
      <c r="H1090" s="26">
        <f t="shared" si="38"/>
        <v>6485241.1600000048</v>
      </c>
      <c r="I1090" s="25" t="s">
        <v>275</v>
      </c>
      <c r="J1090" s="22"/>
      <c r="K1090" s="25"/>
      <c r="L1090" s="25"/>
      <c r="M1090" s="22"/>
    </row>
    <row r="1091" spans="1:13">
      <c r="A1091" s="14">
        <v>2087</v>
      </c>
      <c r="B1091" s="67">
        <v>45190</v>
      </c>
      <c r="C1091" s="15">
        <f t="shared" si="37"/>
        <v>45190</v>
      </c>
      <c r="D1091" s="16"/>
      <c r="E1091" s="72"/>
      <c r="F1091" s="91">
        <v>10</v>
      </c>
      <c r="G1091" s="90"/>
      <c r="H1091" s="26">
        <f t="shared" si="38"/>
        <v>6485231.1600000048</v>
      </c>
      <c r="I1091" s="25" t="s">
        <v>264</v>
      </c>
      <c r="J1091" s="22"/>
      <c r="K1091" s="25"/>
      <c r="L1091" s="25"/>
      <c r="M1091" s="22"/>
    </row>
    <row r="1092" spans="1:13">
      <c r="A1092" s="14">
        <v>2088</v>
      </c>
      <c r="B1092" s="67">
        <v>45190</v>
      </c>
      <c r="C1092" s="15">
        <f t="shared" si="37"/>
        <v>45190</v>
      </c>
      <c r="D1092" s="16"/>
      <c r="E1092" s="71"/>
      <c r="F1092" s="91">
        <v>0.75</v>
      </c>
      <c r="G1092" s="90"/>
      <c r="H1092" s="26">
        <f t="shared" si="38"/>
        <v>6485230.4100000048</v>
      </c>
      <c r="I1092" s="25" t="s">
        <v>264</v>
      </c>
      <c r="J1092" s="22"/>
      <c r="K1092" s="25"/>
      <c r="L1092" s="25"/>
      <c r="M1092" s="22"/>
    </row>
    <row r="1093" spans="1:13">
      <c r="A1093" s="14">
        <v>2089</v>
      </c>
      <c r="B1093" s="67">
        <v>45190</v>
      </c>
      <c r="C1093" s="15">
        <f t="shared" si="37"/>
        <v>45190</v>
      </c>
      <c r="D1093" s="16"/>
      <c r="E1093" s="72"/>
      <c r="F1093" s="91">
        <v>500</v>
      </c>
      <c r="G1093" s="90"/>
      <c r="H1093" s="26">
        <f t="shared" si="38"/>
        <v>6484730.4100000048</v>
      </c>
      <c r="I1093" s="25" t="s">
        <v>275</v>
      </c>
      <c r="J1093" s="22"/>
      <c r="K1093" s="25"/>
      <c r="L1093" s="25"/>
      <c r="M1093" s="22"/>
    </row>
    <row r="1094" spans="1:13">
      <c r="A1094" s="14">
        <v>2090</v>
      </c>
      <c r="B1094" s="67">
        <v>45190</v>
      </c>
      <c r="C1094" s="15">
        <f t="shared" si="37"/>
        <v>45190</v>
      </c>
      <c r="D1094" s="16"/>
      <c r="E1094" s="71"/>
      <c r="F1094" s="91">
        <v>500</v>
      </c>
      <c r="G1094" s="90"/>
      <c r="H1094" s="26">
        <f t="shared" si="38"/>
        <v>6484230.4100000048</v>
      </c>
      <c r="I1094" s="25" t="s">
        <v>275</v>
      </c>
      <c r="J1094" s="22"/>
      <c r="K1094" s="25"/>
      <c r="L1094" s="25"/>
      <c r="M1094" s="22"/>
    </row>
    <row r="1095" spans="1:13">
      <c r="A1095" s="14">
        <v>2091</v>
      </c>
      <c r="B1095" s="67">
        <v>45190</v>
      </c>
      <c r="C1095" s="15">
        <f t="shared" si="37"/>
        <v>45190</v>
      </c>
      <c r="D1095" s="16"/>
      <c r="E1095" s="72"/>
      <c r="F1095" s="91">
        <v>24300</v>
      </c>
      <c r="G1095" s="90"/>
      <c r="H1095" s="26">
        <f t="shared" si="38"/>
        <v>6459930.4100000048</v>
      </c>
      <c r="I1095" s="25" t="s">
        <v>286</v>
      </c>
      <c r="J1095" s="22"/>
      <c r="K1095" s="25"/>
      <c r="L1095" s="25"/>
      <c r="M1095" s="22"/>
    </row>
    <row r="1096" spans="1:13">
      <c r="A1096" s="14">
        <v>2092</v>
      </c>
      <c r="B1096" s="67">
        <v>45190</v>
      </c>
      <c r="C1096" s="15">
        <f t="shared" si="37"/>
        <v>45190</v>
      </c>
      <c r="D1096" s="16"/>
      <c r="E1096" s="71"/>
      <c r="F1096" s="96">
        <v>25</v>
      </c>
      <c r="G1096" s="93"/>
      <c r="H1096" s="26">
        <f t="shared" si="38"/>
        <v>6459905.4100000048</v>
      </c>
      <c r="I1096" s="25" t="s">
        <v>264</v>
      </c>
      <c r="J1096" s="22"/>
      <c r="K1096" s="25"/>
      <c r="L1096" s="25"/>
      <c r="M1096" s="22"/>
    </row>
    <row r="1097" spans="1:13">
      <c r="A1097" s="14">
        <v>2094</v>
      </c>
      <c r="B1097" s="67">
        <v>45190</v>
      </c>
      <c r="C1097" s="15">
        <f t="shared" si="37"/>
        <v>45190</v>
      </c>
      <c r="D1097" s="16"/>
      <c r="E1097" s="71"/>
      <c r="F1097" s="91">
        <v>1.87</v>
      </c>
      <c r="G1097" s="90"/>
      <c r="H1097" s="26">
        <f t="shared" si="38"/>
        <v>6459903.5400000047</v>
      </c>
      <c r="I1097" s="25" t="s">
        <v>264</v>
      </c>
      <c r="J1097" s="22"/>
      <c r="K1097" s="25"/>
      <c r="L1097" s="25"/>
      <c r="M1097" s="22"/>
    </row>
    <row r="1098" spans="1:13">
      <c r="A1098" s="14">
        <v>2095</v>
      </c>
      <c r="B1098" s="67">
        <v>45190</v>
      </c>
      <c r="C1098" s="15">
        <f t="shared" si="37"/>
        <v>45190</v>
      </c>
      <c r="D1098" s="16"/>
      <c r="E1098" s="72"/>
      <c r="F1098" s="91">
        <v>8000</v>
      </c>
      <c r="G1098" s="90"/>
      <c r="H1098" s="26">
        <f t="shared" si="38"/>
        <v>6451903.5400000047</v>
      </c>
      <c r="I1098" s="25" t="s">
        <v>283</v>
      </c>
      <c r="J1098" s="22"/>
      <c r="K1098" s="25"/>
      <c r="L1098" s="25"/>
      <c r="M1098" s="22"/>
    </row>
    <row r="1099" spans="1:13">
      <c r="A1099" s="14">
        <v>2096</v>
      </c>
      <c r="B1099" s="67">
        <v>45190</v>
      </c>
      <c r="C1099" s="15">
        <f t="shared" si="37"/>
        <v>45190</v>
      </c>
      <c r="D1099" s="16"/>
      <c r="E1099" s="71"/>
      <c r="F1099" s="91">
        <v>100</v>
      </c>
      <c r="G1099" s="90"/>
      <c r="H1099" s="26">
        <f t="shared" si="38"/>
        <v>6451803.5400000047</v>
      </c>
      <c r="I1099" s="25" t="s">
        <v>264</v>
      </c>
      <c r="J1099" s="22"/>
      <c r="K1099" s="25"/>
      <c r="L1099" s="25"/>
      <c r="M1099" s="22"/>
    </row>
    <row r="1100" spans="1:13">
      <c r="A1100" s="14">
        <v>2097</v>
      </c>
      <c r="B1100" s="67">
        <v>45199</v>
      </c>
      <c r="C1100" s="15">
        <f t="shared" si="37"/>
        <v>45199</v>
      </c>
      <c r="D1100" s="16"/>
      <c r="E1100" s="72"/>
      <c r="F1100" s="91">
        <v>5952.15</v>
      </c>
      <c r="G1100" s="95"/>
      <c r="H1100" s="26">
        <f t="shared" si="38"/>
        <v>6445851.3900000043</v>
      </c>
      <c r="I1100" s="25" t="s">
        <v>264</v>
      </c>
      <c r="J1100" s="22"/>
      <c r="K1100" s="25"/>
      <c r="L1100" s="25"/>
      <c r="M1100" s="22"/>
    </row>
    <row r="1101" spans="1:13">
      <c r="A1101" s="14">
        <v>2098</v>
      </c>
      <c r="B1101" s="67">
        <v>45199</v>
      </c>
      <c r="C1101" s="15">
        <f t="shared" si="37"/>
        <v>45199</v>
      </c>
      <c r="D1101" s="16"/>
      <c r="E1101" s="71"/>
      <c r="F1101" s="91">
        <v>446.41</v>
      </c>
      <c r="G1101" s="95"/>
      <c r="H1101" s="26">
        <f t="shared" si="38"/>
        <v>6445404.9800000042</v>
      </c>
      <c r="I1101" s="25" t="s">
        <v>264</v>
      </c>
      <c r="J1101" s="22"/>
      <c r="K1101" s="25"/>
      <c r="L1101" s="25"/>
      <c r="M1101" s="22"/>
    </row>
    <row r="1102" spans="1:13">
      <c r="A1102" s="14">
        <v>2099</v>
      </c>
      <c r="B1102" s="67">
        <v>45200</v>
      </c>
      <c r="C1102" s="15">
        <f t="shared" si="37"/>
        <v>45200</v>
      </c>
      <c r="D1102" s="16"/>
      <c r="E1102" s="72"/>
      <c r="F1102" s="91">
        <v>592</v>
      </c>
      <c r="G1102" s="95"/>
      <c r="H1102" s="26">
        <f t="shared" si="38"/>
        <v>6444812.9800000042</v>
      </c>
      <c r="I1102" s="25" t="s">
        <v>264</v>
      </c>
      <c r="J1102" s="22"/>
      <c r="K1102" s="25"/>
      <c r="L1102" s="25"/>
      <c r="M1102" s="22"/>
    </row>
    <row r="1103" spans="1:13">
      <c r="A1103" s="14">
        <v>2100</v>
      </c>
      <c r="B1103" s="67">
        <v>45200</v>
      </c>
      <c r="C1103" s="15">
        <f t="shared" si="37"/>
        <v>45200</v>
      </c>
      <c r="D1103" s="16"/>
      <c r="E1103" s="71"/>
      <c r="F1103" s="91">
        <v>44.4</v>
      </c>
      <c r="G1103" s="95"/>
      <c r="H1103" s="26">
        <f t="shared" si="38"/>
        <v>6444768.5800000038</v>
      </c>
      <c r="I1103" s="25" t="s">
        <v>264</v>
      </c>
      <c r="J1103" s="22"/>
      <c r="K1103" s="25"/>
      <c r="L1103" s="25"/>
      <c r="M1103" s="22"/>
    </row>
    <row r="1104" spans="1:13">
      <c r="A1104" s="14">
        <v>2101</v>
      </c>
      <c r="B1104" s="67">
        <v>45200</v>
      </c>
      <c r="C1104" s="15">
        <f t="shared" si="37"/>
        <v>45200</v>
      </c>
      <c r="D1104" s="16"/>
      <c r="E1104" s="72"/>
      <c r="F1104" s="91">
        <v>393137</v>
      </c>
      <c r="G1104" s="90"/>
      <c r="H1104" s="26">
        <f t="shared" si="38"/>
        <v>6051631.5800000038</v>
      </c>
      <c r="I1104" s="25" t="s">
        <v>271</v>
      </c>
      <c r="J1104" s="22"/>
      <c r="K1104" s="25"/>
      <c r="L1104" s="25"/>
      <c r="M1104" s="22"/>
    </row>
    <row r="1105" spans="1:13">
      <c r="A1105" s="14">
        <v>2102</v>
      </c>
      <c r="B1105" s="67">
        <v>45200</v>
      </c>
      <c r="C1105" s="15">
        <f t="shared" si="37"/>
        <v>45200</v>
      </c>
      <c r="D1105" s="16"/>
      <c r="E1105" s="71"/>
      <c r="F1105" s="91">
        <v>144479.15</v>
      </c>
      <c r="G1105" s="90"/>
      <c r="H1105" s="26">
        <f t="shared" si="38"/>
        <v>5907152.4300000034</v>
      </c>
      <c r="I1105" s="25" t="s">
        <v>271</v>
      </c>
      <c r="J1105" s="22"/>
      <c r="K1105" s="25"/>
      <c r="L1105" s="25"/>
      <c r="M1105" s="22"/>
    </row>
    <row r="1106" spans="1:13">
      <c r="A1106" s="14">
        <v>2103</v>
      </c>
      <c r="B1106" s="67">
        <v>45200</v>
      </c>
      <c r="C1106" s="15">
        <f t="shared" si="37"/>
        <v>45200</v>
      </c>
      <c r="D1106" s="16"/>
      <c r="E1106" s="72"/>
      <c r="F1106" s="91">
        <v>228207.66</v>
      </c>
      <c r="G1106" s="90"/>
      <c r="H1106" s="26">
        <f t="shared" si="38"/>
        <v>5678944.7700000033</v>
      </c>
      <c r="I1106" s="25" t="s">
        <v>271</v>
      </c>
      <c r="J1106" s="22"/>
      <c r="K1106" s="25"/>
      <c r="L1106" s="25"/>
      <c r="M1106" s="22"/>
    </row>
    <row r="1107" spans="1:13">
      <c r="A1107" s="14">
        <v>2104</v>
      </c>
      <c r="B1107" s="67">
        <v>45200</v>
      </c>
      <c r="C1107" s="15">
        <f t="shared" si="37"/>
        <v>45200</v>
      </c>
      <c r="D1107" s="16"/>
      <c r="E1107" s="71"/>
      <c r="F1107" s="91">
        <v>102815.62</v>
      </c>
      <c r="G1107" s="90"/>
      <c r="H1107" s="26">
        <f t="shared" si="38"/>
        <v>5576129.1500000032</v>
      </c>
      <c r="I1107" s="25" t="s">
        <v>271</v>
      </c>
      <c r="J1107" s="22"/>
      <c r="K1107" s="25"/>
      <c r="L1107" s="25"/>
      <c r="M1107" s="22"/>
    </row>
    <row r="1108" spans="1:13">
      <c r="A1108" s="14">
        <v>2105</v>
      </c>
      <c r="B1108" s="67">
        <v>45200</v>
      </c>
      <c r="C1108" s="15">
        <f t="shared" si="37"/>
        <v>45200</v>
      </c>
      <c r="D1108" s="16"/>
      <c r="E1108" s="72"/>
      <c r="F1108" s="91">
        <v>24353.66</v>
      </c>
      <c r="G1108" s="90"/>
      <c r="H1108" s="26">
        <f t="shared" si="38"/>
        <v>5551775.490000003</v>
      </c>
      <c r="I1108" s="25" t="s">
        <v>271</v>
      </c>
      <c r="J1108" s="22"/>
      <c r="K1108" s="25"/>
      <c r="L1108" s="25"/>
      <c r="M1108" s="22"/>
    </row>
    <row r="1109" spans="1:13">
      <c r="A1109" s="14">
        <v>2106</v>
      </c>
      <c r="B1109" s="67">
        <v>45200</v>
      </c>
      <c r="C1109" s="15">
        <f t="shared" si="37"/>
        <v>45200</v>
      </c>
      <c r="D1109" s="16"/>
      <c r="E1109" s="71"/>
      <c r="F1109" s="91">
        <v>96378.23</v>
      </c>
      <c r="G1109" s="90"/>
      <c r="H1109" s="26">
        <f t="shared" si="38"/>
        <v>5455397.2600000026</v>
      </c>
      <c r="I1109" s="25" t="s">
        <v>271</v>
      </c>
      <c r="J1109" s="22"/>
      <c r="K1109" s="25"/>
      <c r="L1109" s="25"/>
      <c r="M1109" s="22"/>
    </row>
    <row r="1110" spans="1:13">
      <c r="A1110" s="14">
        <v>2107</v>
      </c>
      <c r="B1110" s="67">
        <v>45200</v>
      </c>
      <c r="C1110" s="15">
        <f t="shared" si="37"/>
        <v>45200</v>
      </c>
      <c r="D1110" s="16"/>
      <c r="E1110" s="72"/>
      <c r="F1110" s="91">
        <v>50</v>
      </c>
      <c r="G1110" s="90"/>
      <c r="H1110" s="26">
        <f t="shared" si="38"/>
        <v>5455347.2600000026</v>
      </c>
      <c r="I1110" s="25" t="s">
        <v>264</v>
      </c>
      <c r="J1110" s="22"/>
      <c r="K1110" s="25"/>
      <c r="L1110" s="25"/>
      <c r="M1110" s="22"/>
    </row>
    <row r="1111" spans="1:13">
      <c r="A1111" s="14">
        <v>2108</v>
      </c>
      <c r="B1111" s="67">
        <v>45200</v>
      </c>
      <c r="C1111" s="15">
        <f t="shared" si="37"/>
        <v>45200</v>
      </c>
      <c r="D1111" s="16"/>
      <c r="E1111" s="71"/>
      <c r="F1111" s="91">
        <v>3.75</v>
      </c>
      <c r="G1111" s="90"/>
      <c r="H1111" s="26">
        <f t="shared" si="38"/>
        <v>5455343.5100000026</v>
      </c>
      <c r="I1111" s="25" t="s">
        <v>264</v>
      </c>
      <c r="J1111" s="22"/>
      <c r="K1111" s="25"/>
      <c r="L1111" s="25"/>
      <c r="M1111" s="22"/>
    </row>
    <row r="1112" spans="1:13">
      <c r="A1112" s="14">
        <v>2109</v>
      </c>
      <c r="B1112" s="67">
        <v>45200</v>
      </c>
      <c r="C1112" s="15">
        <f t="shared" si="37"/>
        <v>45200</v>
      </c>
      <c r="D1112" s="16"/>
      <c r="E1112" s="72"/>
      <c r="F1112" s="91">
        <v>80353.66</v>
      </c>
      <c r="G1112" s="90"/>
      <c r="H1112" s="26">
        <f t="shared" si="38"/>
        <v>5374989.8500000024</v>
      </c>
      <c r="I1112" s="25" t="s">
        <v>271</v>
      </c>
      <c r="J1112" s="22"/>
      <c r="K1112" s="25"/>
      <c r="L1112" s="25"/>
      <c r="M1112" s="22"/>
    </row>
    <row r="1113" spans="1:13">
      <c r="A1113" s="14">
        <v>2110</v>
      </c>
      <c r="B1113" s="67">
        <v>45200</v>
      </c>
      <c r="C1113" s="15">
        <f t="shared" ref="C1113:C1175" si="39">B1113</f>
        <v>45200</v>
      </c>
      <c r="D1113" s="16"/>
      <c r="E1113" s="71"/>
      <c r="F1113" s="96">
        <v>50</v>
      </c>
      <c r="G1113" s="93"/>
      <c r="H1113" s="26">
        <f t="shared" si="38"/>
        <v>5374939.8500000024</v>
      </c>
      <c r="I1113" s="25" t="s">
        <v>264</v>
      </c>
      <c r="J1113" s="22"/>
      <c r="K1113" s="25"/>
      <c r="L1113" s="25"/>
      <c r="M1113" s="22"/>
    </row>
    <row r="1114" spans="1:13">
      <c r="A1114" s="14">
        <v>2111</v>
      </c>
      <c r="B1114" s="67">
        <v>45200</v>
      </c>
      <c r="C1114" s="15">
        <f t="shared" si="39"/>
        <v>45200</v>
      </c>
      <c r="D1114" s="16"/>
      <c r="E1114" s="72"/>
      <c r="F1114" s="91">
        <v>3.75</v>
      </c>
      <c r="G1114" s="90"/>
      <c r="H1114" s="26">
        <f t="shared" si="38"/>
        <v>5374936.1000000024</v>
      </c>
      <c r="I1114" s="25" t="s">
        <v>264</v>
      </c>
      <c r="J1114" s="22"/>
      <c r="K1114" s="25"/>
      <c r="L1114" s="25"/>
      <c r="M1114" s="22"/>
    </row>
    <row r="1115" spans="1:13">
      <c r="A1115" s="14">
        <v>2112</v>
      </c>
      <c r="B1115" s="67">
        <v>45200</v>
      </c>
      <c r="C1115" s="15">
        <f t="shared" si="39"/>
        <v>45200</v>
      </c>
      <c r="D1115" s="16"/>
      <c r="E1115" s="71"/>
      <c r="F1115" s="91">
        <v>168523.14</v>
      </c>
      <c r="G1115" s="90"/>
      <c r="H1115" s="26">
        <f t="shared" si="38"/>
        <v>5206412.9600000028</v>
      </c>
      <c r="I1115" s="25" t="s">
        <v>271</v>
      </c>
      <c r="J1115" s="22"/>
      <c r="K1115" s="25"/>
      <c r="L1115" s="25"/>
      <c r="M1115" s="22"/>
    </row>
    <row r="1116" spans="1:13">
      <c r="A1116" s="14">
        <v>2113</v>
      </c>
      <c r="B1116" s="67">
        <v>45200</v>
      </c>
      <c r="C1116" s="15">
        <f t="shared" si="39"/>
        <v>45200</v>
      </c>
      <c r="D1116" s="16"/>
      <c r="E1116" s="72"/>
      <c r="F1116" s="91">
        <v>120</v>
      </c>
      <c r="G1116" s="90"/>
      <c r="H1116" s="26">
        <f t="shared" si="38"/>
        <v>5206292.9600000028</v>
      </c>
      <c r="I1116" s="25" t="s">
        <v>264</v>
      </c>
      <c r="J1116" s="22"/>
      <c r="K1116" s="25"/>
      <c r="L1116" s="25"/>
      <c r="M1116" s="22"/>
    </row>
    <row r="1117" spans="1:13">
      <c r="A1117" s="14">
        <v>2114</v>
      </c>
      <c r="B1117" s="67">
        <v>45200</v>
      </c>
      <c r="C1117" s="15">
        <f t="shared" si="39"/>
        <v>45200</v>
      </c>
      <c r="D1117" s="16"/>
      <c r="E1117" s="71"/>
      <c r="F1117" s="91">
        <v>9</v>
      </c>
      <c r="G1117" s="90"/>
      <c r="H1117" s="26">
        <f t="shared" si="38"/>
        <v>5206283.9600000028</v>
      </c>
      <c r="I1117" s="25" t="s">
        <v>264</v>
      </c>
      <c r="J1117" s="22"/>
      <c r="K1117" s="25"/>
      <c r="L1117" s="25"/>
      <c r="M1117" s="22"/>
    </row>
    <row r="1118" spans="1:13">
      <c r="A1118" s="14">
        <v>2115</v>
      </c>
      <c r="B1118" s="67">
        <v>45200</v>
      </c>
      <c r="C1118" s="15">
        <f t="shared" si="39"/>
        <v>45200</v>
      </c>
      <c r="D1118" s="16"/>
      <c r="E1118" s="72"/>
      <c r="F1118" s="91">
        <v>30000</v>
      </c>
      <c r="G1118" s="90"/>
      <c r="H1118" s="26">
        <f t="shared" si="38"/>
        <v>5176283.9600000028</v>
      </c>
      <c r="I1118" s="25" t="s">
        <v>271</v>
      </c>
      <c r="J1118" s="22"/>
      <c r="K1118" s="25"/>
      <c r="L1118" s="25"/>
      <c r="M1118" s="22"/>
    </row>
    <row r="1119" spans="1:13">
      <c r="A1119" s="14">
        <v>2116</v>
      </c>
      <c r="B1119" s="67">
        <v>45200</v>
      </c>
      <c r="C1119" s="15">
        <f t="shared" si="39"/>
        <v>45200</v>
      </c>
      <c r="D1119" s="16"/>
      <c r="E1119" s="71"/>
      <c r="F1119" s="91">
        <v>25</v>
      </c>
      <c r="G1119" s="90"/>
      <c r="H1119" s="26">
        <f t="shared" si="38"/>
        <v>5176258.9600000028</v>
      </c>
      <c r="I1119" s="25" t="s">
        <v>264</v>
      </c>
      <c r="J1119" s="22"/>
      <c r="K1119" s="25"/>
      <c r="L1119" s="25"/>
      <c r="M1119" s="22"/>
    </row>
    <row r="1120" spans="1:13">
      <c r="A1120" s="14">
        <v>2117</v>
      </c>
      <c r="B1120" s="67">
        <v>45200</v>
      </c>
      <c r="C1120" s="15">
        <f t="shared" si="39"/>
        <v>45200</v>
      </c>
      <c r="D1120" s="16"/>
      <c r="E1120" s="72"/>
      <c r="F1120" s="91">
        <v>1.87</v>
      </c>
      <c r="G1120" s="90"/>
      <c r="H1120" s="26">
        <f t="shared" si="38"/>
        <v>5176257.0900000026</v>
      </c>
      <c r="I1120" s="25" t="s">
        <v>264</v>
      </c>
      <c r="J1120" s="22"/>
      <c r="K1120" s="25"/>
      <c r="L1120" s="25"/>
      <c r="M1120" s="22"/>
    </row>
    <row r="1121" spans="1:13">
      <c r="A1121" s="14">
        <v>2118</v>
      </c>
      <c r="B1121" s="67">
        <v>45200</v>
      </c>
      <c r="C1121" s="15">
        <f t="shared" si="39"/>
        <v>45200</v>
      </c>
      <c r="D1121" s="16"/>
      <c r="E1121" s="71"/>
      <c r="F1121" s="91">
        <v>60000</v>
      </c>
      <c r="G1121" s="90"/>
      <c r="H1121" s="26">
        <f t="shared" si="38"/>
        <v>5116257.0900000026</v>
      </c>
      <c r="I1121" s="25" t="s">
        <v>271</v>
      </c>
      <c r="J1121" s="22"/>
      <c r="K1121" s="25"/>
      <c r="L1121" s="25"/>
      <c r="M1121" s="22"/>
    </row>
    <row r="1122" spans="1:13">
      <c r="A1122" s="14">
        <v>2119</v>
      </c>
      <c r="B1122" s="67">
        <v>45200</v>
      </c>
      <c r="C1122" s="15">
        <f t="shared" si="39"/>
        <v>45200</v>
      </c>
      <c r="D1122" s="16"/>
      <c r="E1122" s="72"/>
      <c r="F1122" s="91">
        <v>50</v>
      </c>
      <c r="G1122" s="90"/>
      <c r="H1122" s="26">
        <f t="shared" si="38"/>
        <v>5116207.0900000026</v>
      </c>
      <c r="I1122" s="25" t="s">
        <v>264</v>
      </c>
      <c r="J1122" s="22"/>
      <c r="K1122" s="25"/>
      <c r="L1122" s="25"/>
      <c r="M1122" s="22"/>
    </row>
    <row r="1123" spans="1:13">
      <c r="A1123" s="14">
        <v>2120</v>
      </c>
      <c r="B1123" s="67">
        <v>45200</v>
      </c>
      <c r="C1123" s="15">
        <f t="shared" si="39"/>
        <v>45200</v>
      </c>
      <c r="D1123" s="16"/>
      <c r="E1123" s="71"/>
      <c r="F1123" s="91">
        <v>3.75</v>
      </c>
      <c r="G1123" s="90"/>
      <c r="H1123" s="26">
        <f t="shared" si="38"/>
        <v>5116203.3400000026</v>
      </c>
      <c r="I1123" s="25" t="s">
        <v>264</v>
      </c>
      <c r="J1123" s="22"/>
      <c r="K1123" s="25"/>
      <c r="L1123" s="25"/>
      <c r="M1123" s="22"/>
    </row>
    <row r="1124" spans="1:13">
      <c r="A1124" s="14">
        <v>2121</v>
      </c>
      <c r="B1124" s="67">
        <v>45200</v>
      </c>
      <c r="C1124" s="15">
        <f t="shared" si="39"/>
        <v>45200</v>
      </c>
      <c r="D1124" s="16"/>
      <c r="E1124" s="72"/>
      <c r="F1124" s="91">
        <v>152000</v>
      </c>
      <c r="G1124" s="90"/>
      <c r="H1124" s="26">
        <f t="shared" si="38"/>
        <v>4964203.3400000026</v>
      </c>
      <c r="I1124" s="25" t="s">
        <v>271</v>
      </c>
      <c r="J1124" s="22"/>
      <c r="K1124" s="25"/>
      <c r="L1124" s="25"/>
      <c r="M1124" s="22"/>
    </row>
    <row r="1125" spans="1:13">
      <c r="A1125" s="14">
        <v>2122</v>
      </c>
      <c r="B1125" s="67">
        <v>45200</v>
      </c>
      <c r="C1125" s="15">
        <f t="shared" si="39"/>
        <v>45200</v>
      </c>
      <c r="D1125" s="16"/>
      <c r="E1125" s="71"/>
      <c r="F1125" s="91">
        <v>50</v>
      </c>
      <c r="G1125" s="90"/>
      <c r="H1125" s="26">
        <f t="shared" si="38"/>
        <v>4964153.3400000026</v>
      </c>
      <c r="I1125" s="25" t="s">
        <v>264</v>
      </c>
      <c r="J1125" s="22"/>
      <c r="K1125" s="25"/>
      <c r="L1125" s="25"/>
      <c r="M1125" s="22"/>
    </row>
    <row r="1126" spans="1:13">
      <c r="A1126" s="14">
        <v>2123</v>
      </c>
      <c r="B1126" s="67">
        <v>45200</v>
      </c>
      <c r="C1126" s="15">
        <f t="shared" si="39"/>
        <v>45200</v>
      </c>
      <c r="D1126" s="16"/>
      <c r="E1126" s="72"/>
      <c r="F1126" s="91">
        <v>3.75</v>
      </c>
      <c r="G1126" s="90"/>
      <c r="H1126" s="26">
        <f t="shared" si="38"/>
        <v>4964149.5900000026</v>
      </c>
      <c r="I1126" s="25" t="s">
        <v>264</v>
      </c>
      <c r="J1126" s="22"/>
      <c r="K1126" s="25"/>
      <c r="L1126" s="25"/>
      <c r="M1126" s="22"/>
    </row>
    <row r="1127" spans="1:13">
      <c r="A1127" s="14">
        <v>2124</v>
      </c>
      <c r="B1127" s="67">
        <v>45200</v>
      </c>
      <c r="C1127" s="15">
        <f t="shared" si="39"/>
        <v>45200</v>
      </c>
      <c r="D1127" s="16"/>
      <c r="E1127" s="71"/>
      <c r="F1127" s="96">
        <v>20000</v>
      </c>
      <c r="G1127" s="94"/>
      <c r="H1127" s="26">
        <f t="shared" si="38"/>
        <v>4944149.5900000026</v>
      </c>
      <c r="I1127" s="25" t="s">
        <v>280</v>
      </c>
      <c r="J1127" s="22"/>
      <c r="K1127" s="25"/>
      <c r="L1127" s="25"/>
      <c r="M1127" s="22"/>
    </row>
    <row r="1128" spans="1:13">
      <c r="A1128" s="14">
        <v>2125</v>
      </c>
      <c r="B1128" s="67">
        <v>45200</v>
      </c>
      <c r="C1128" s="15">
        <f t="shared" si="39"/>
        <v>45200</v>
      </c>
      <c r="D1128" s="16"/>
      <c r="E1128" s="72"/>
      <c r="F1128" s="91">
        <v>20000</v>
      </c>
      <c r="G1128" s="90"/>
      <c r="H1128" s="26">
        <f t="shared" si="38"/>
        <v>4924149.5900000026</v>
      </c>
      <c r="I1128" s="25" t="s">
        <v>280</v>
      </c>
      <c r="J1128" s="22"/>
      <c r="K1128" s="25"/>
      <c r="L1128" s="25"/>
      <c r="M1128" s="22"/>
    </row>
    <row r="1129" spans="1:13">
      <c r="A1129" s="14">
        <v>2126</v>
      </c>
      <c r="B1129" s="67">
        <v>45200</v>
      </c>
      <c r="C1129" s="15">
        <f t="shared" si="39"/>
        <v>45200</v>
      </c>
      <c r="D1129" s="16"/>
      <c r="E1129" s="71"/>
      <c r="F1129" s="91">
        <v>25</v>
      </c>
      <c r="G1129" s="90"/>
      <c r="H1129" s="26">
        <f t="shared" si="38"/>
        <v>4924124.5900000026</v>
      </c>
      <c r="I1129" s="25" t="s">
        <v>264</v>
      </c>
      <c r="J1129" s="22"/>
      <c r="K1129" s="25"/>
      <c r="L1129" s="25"/>
      <c r="M1129" s="22"/>
    </row>
    <row r="1130" spans="1:13">
      <c r="A1130" s="14">
        <v>2127</v>
      </c>
      <c r="B1130" s="67">
        <v>45200</v>
      </c>
      <c r="C1130" s="15">
        <f t="shared" si="39"/>
        <v>45200</v>
      </c>
      <c r="D1130" s="16"/>
      <c r="E1130" s="72"/>
      <c r="F1130" s="91">
        <v>1.87</v>
      </c>
      <c r="G1130" s="90"/>
      <c r="H1130" s="26">
        <f t="shared" si="38"/>
        <v>4924122.7200000025</v>
      </c>
      <c r="I1130" s="25" t="s">
        <v>264</v>
      </c>
      <c r="J1130" s="22"/>
      <c r="K1130" s="25"/>
      <c r="L1130" s="25"/>
      <c r="M1130" s="22"/>
    </row>
    <row r="1131" spans="1:13">
      <c r="A1131" s="14">
        <v>2128</v>
      </c>
      <c r="B1131" s="67">
        <v>45200</v>
      </c>
      <c r="C1131" s="15">
        <f t="shared" si="39"/>
        <v>45200</v>
      </c>
      <c r="D1131" s="16"/>
      <c r="E1131" s="71"/>
      <c r="F1131" s="91">
        <v>20000</v>
      </c>
      <c r="G1131" s="90"/>
      <c r="H1131" s="26">
        <f t="shared" si="38"/>
        <v>4904122.7200000025</v>
      </c>
      <c r="I1131" s="25" t="s">
        <v>280</v>
      </c>
      <c r="J1131" s="22"/>
      <c r="K1131" s="25"/>
      <c r="L1131" s="25"/>
      <c r="M1131" s="22"/>
    </row>
    <row r="1132" spans="1:13">
      <c r="A1132" s="14">
        <v>2129</v>
      </c>
      <c r="B1132" s="67">
        <v>45200</v>
      </c>
      <c r="C1132" s="15">
        <f t="shared" si="39"/>
        <v>45200</v>
      </c>
      <c r="D1132" s="16"/>
      <c r="E1132" s="72"/>
      <c r="F1132" s="91">
        <v>25</v>
      </c>
      <c r="G1132" s="90"/>
      <c r="H1132" s="26">
        <f t="shared" ref="H1132:H1195" si="40">IFERROR(H1131-F1132+G1132,"")</f>
        <v>4904097.7200000025</v>
      </c>
      <c r="I1132" s="25" t="s">
        <v>264</v>
      </c>
      <c r="J1132" s="22"/>
      <c r="K1132" s="25"/>
      <c r="L1132" s="25"/>
      <c r="M1132" s="22"/>
    </row>
    <row r="1133" spans="1:13">
      <c r="A1133" s="14">
        <v>2130</v>
      </c>
      <c r="B1133" s="67">
        <v>45200</v>
      </c>
      <c r="C1133" s="15">
        <f t="shared" si="39"/>
        <v>45200</v>
      </c>
      <c r="D1133" s="16"/>
      <c r="E1133" s="71"/>
      <c r="F1133" s="91">
        <v>1.87</v>
      </c>
      <c r="G1133" s="90"/>
      <c r="H1133" s="26">
        <f t="shared" si="40"/>
        <v>4904095.8500000024</v>
      </c>
      <c r="I1133" s="25" t="s">
        <v>264</v>
      </c>
      <c r="J1133" s="22"/>
      <c r="K1133" s="25"/>
      <c r="L1133" s="25"/>
      <c r="M1133" s="22"/>
    </row>
    <row r="1134" spans="1:13">
      <c r="A1134" s="14">
        <v>2131</v>
      </c>
      <c r="B1134" s="67">
        <v>45200</v>
      </c>
      <c r="C1134" s="15">
        <f t="shared" si="39"/>
        <v>45200</v>
      </c>
      <c r="D1134" s="16"/>
      <c r="E1134" s="72"/>
      <c r="F1134" s="96">
        <v>20000</v>
      </c>
      <c r="G1134" s="93"/>
      <c r="H1134" s="26">
        <f t="shared" si="40"/>
        <v>4884095.8500000024</v>
      </c>
      <c r="I1134" s="25" t="s">
        <v>280</v>
      </c>
      <c r="J1134" s="22"/>
      <c r="K1134" s="25"/>
      <c r="L1134" s="25"/>
      <c r="M1134" s="22"/>
    </row>
    <row r="1135" spans="1:13">
      <c r="A1135" s="14">
        <v>2132</v>
      </c>
      <c r="B1135" s="67">
        <v>45200</v>
      </c>
      <c r="C1135" s="15">
        <f t="shared" si="39"/>
        <v>45200</v>
      </c>
      <c r="D1135" s="16"/>
      <c r="E1135" s="71"/>
      <c r="F1135" s="91">
        <v>20000</v>
      </c>
      <c r="G1135" s="90"/>
      <c r="H1135" s="26">
        <f t="shared" si="40"/>
        <v>4864095.8500000024</v>
      </c>
      <c r="I1135" s="25" t="s">
        <v>280</v>
      </c>
      <c r="J1135" s="22"/>
      <c r="K1135" s="25"/>
      <c r="L1135" s="25"/>
      <c r="M1135" s="22"/>
    </row>
    <row r="1136" spans="1:13">
      <c r="A1136" s="14">
        <v>2133</v>
      </c>
      <c r="B1136" s="67">
        <v>45200</v>
      </c>
      <c r="C1136" s="15">
        <f t="shared" si="39"/>
        <v>45200</v>
      </c>
      <c r="D1136" s="16"/>
      <c r="E1136" s="72"/>
      <c r="F1136" s="91">
        <v>20000</v>
      </c>
      <c r="G1136" s="90"/>
      <c r="H1136" s="26">
        <f t="shared" si="40"/>
        <v>4844095.8500000024</v>
      </c>
      <c r="I1136" s="25" t="s">
        <v>280</v>
      </c>
      <c r="J1136" s="22"/>
      <c r="K1136" s="25"/>
      <c r="L1136" s="25"/>
      <c r="M1136" s="22"/>
    </row>
    <row r="1137" spans="1:13">
      <c r="A1137" s="14">
        <v>2134</v>
      </c>
      <c r="B1137" s="67">
        <v>45200</v>
      </c>
      <c r="C1137" s="15">
        <f t="shared" si="39"/>
        <v>45200</v>
      </c>
      <c r="D1137" s="16"/>
      <c r="E1137" s="71"/>
      <c r="F1137" s="91">
        <v>20000</v>
      </c>
      <c r="G1137" s="90"/>
      <c r="H1137" s="26">
        <f t="shared" si="40"/>
        <v>4824095.8500000024</v>
      </c>
      <c r="I1137" s="25" t="s">
        <v>280</v>
      </c>
      <c r="J1137" s="22"/>
      <c r="K1137" s="25"/>
      <c r="L1137" s="25"/>
      <c r="M1137" s="22"/>
    </row>
    <row r="1138" spans="1:13">
      <c r="A1138" s="14">
        <v>2135</v>
      </c>
      <c r="B1138" s="67">
        <v>45200</v>
      </c>
      <c r="C1138" s="15">
        <f t="shared" si="39"/>
        <v>45200</v>
      </c>
      <c r="D1138" s="16"/>
      <c r="E1138" s="72"/>
      <c r="F1138" s="91">
        <v>20000</v>
      </c>
      <c r="G1138" s="90"/>
      <c r="H1138" s="26">
        <f t="shared" si="40"/>
        <v>4804095.8500000024</v>
      </c>
      <c r="I1138" s="25" t="s">
        <v>280</v>
      </c>
      <c r="J1138" s="22"/>
      <c r="K1138" s="25"/>
      <c r="L1138" s="25"/>
      <c r="M1138" s="22"/>
    </row>
    <row r="1139" spans="1:13">
      <c r="A1139" s="14">
        <v>2136</v>
      </c>
      <c r="B1139" s="67">
        <v>45200</v>
      </c>
      <c r="C1139" s="15">
        <f t="shared" si="39"/>
        <v>45200</v>
      </c>
      <c r="D1139" s="16"/>
      <c r="E1139" s="71"/>
      <c r="F1139" s="91">
        <v>120</v>
      </c>
      <c r="G1139" s="90"/>
      <c r="H1139" s="26">
        <f t="shared" si="40"/>
        <v>4803975.8500000024</v>
      </c>
      <c r="I1139" s="25" t="s">
        <v>264</v>
      </c>
      <c r="J1139" s="22"/>
      <c r="K1139" s="25"/>
      <c r="L1139" s="25"/>
      <c r="M1139" s="22"/>
    </row>
    <row r="1140" spans="1:13">
      <c r="A1140" s="14">
        <v>2137</v>
      </c>
      <c r="B1140" s="67">
        <v>45200</v>
      </c>
      <c r="C1140" s="15">
        <f t="shared" si="39"/>
        <v>45200</v>
      </c>
      <c r="D1140" s="16"/>
      <c r="E1140" s="72"/>
      <c r="F1140" s="91">
        <v>9</v>
      </c>
      <c r="G1140" s="90"/>
      <c r="H1140" s="26">
        <f t="shared" si="40"/>
        <v>4803966.8500000024</v>
      </c>
      <c r="I1140" s="25" t="s">
        <v>264</v>
      </c>
      <c r="J1140" s="22"/>
      <c r="K1140" s="25"/>
      <c r="L1140" s="25"/>
      <c r="M1140" s="22"/>
    </row>
    <row r="1141" spans="1:13">
      <c r="A1141" s="14">
        <v>2138</v>
      </c>
      <c r="B1141" s="67">
        <v>45200</v>
      </c>
      <c r="C1141" s="15">
        <f t="shared" si="39"/>
        <v>45200</v>
      </c>
      <c r="D1141" s="16"/>
      <c r="E1141" s="71"/>
      <c r="F1141" s="96">
        <v>50000</v>
      </c>
      <c r="G1141" s="94"/>
      <c r="H1141" s="26">
        <f t="shared" si="40"/>
        <v>4753966.8500000024</v>
      </c>
      <c r="I1141" s="25" t="s">
        <v>276</v>
      </c>
      <c r="J1141" s="22"/>
      <c r="K1141" s="25"/>
      <c r="L1141" s="25"/>
      <c r="M1141" s="22"/>
    </row>
    <row r="1142" spans="1:13">
      <c r="A1142" s="14">
        <v>2139</v>
      </c>
      <c r="B1142" s="67">
        <v>45200</v>
      </c>
      <c r="C1142" s="15">
        <f t="shared" si="39"/>
        <v>45200</v>
      </c>
      <c r="D1142" s="16"/>
      <c r="E1142" s="72"/>
      <c r="F1142" s="91">
        <v>50</v>
      </c>
      <c r="G1142" s="90"/>
      <c r="H1142" s="26">
        <f t="shared" si="40"/>
        <v>4753916.8500000024</v>
      </c>
      <c r="I1142" s="25" t="s">
        <v>264</v>
      </c>
      <c r="J1142" s="22"/>
      <c r="K1142" s="25"/>
      <c r="L1142" s="25"/>
      <c r="M1142" s="22"/>
    </row>
    <row r="1143" spans="1:13">
      <c r="A1143" s="14">
        <v>2140</v>
      </c>
      <c r="B1143" s="67">
        <v>45200</v>
      </c>
      <c r="C1143" s="15">
        <f t="shared" si="39"/>
        <v>45200</v>
      </c>
      <c r="D1143" s="16"/>
      <c r="E1143" s="71"/>
      <c r="F1143" s="91">
        <v>50000</v>
      </c>
      <c r="G1143" s="90"/>
      <c r="H1143" s="26">
        <f t="shared" si="40"/>
        <v>4703916.8500000024</v>
      </c>
      <c r="I1143" s="25" t="s">
        <v>276</v>
      </c>
      <c r="J1143" s="22"/>
      <c r="K1143" s="25"/>
      <c r="L1143" s="25"/>
      <c r="M1143" s="22"/>
    </row>
    <row r="1144" spans="1:13">
      <c r="A1144" s="14">
        <v>2141</v>
      </c>
      <c r="B1144" s="67">
        <v>45200</v>
      </c>
      <c r="C1144" s="15">
        <f t="shared" si="39"/>
        <v>45200</v>
      </c>
      <c r="D1144" s="16"/>
      <c r="E1144" s="72"/>
      <c r="F1144" s="91">
        <v>50</v>
      </c>
      <c r="G1144" s="90"/>
      <c r="H1144" s="26">
        <f t="shared" si="40"/>
        <v>4703866.8500000024</v>
      </c>
      <c r="I1144" s="25" t="s">
        <v>264</v>
      </c>
      <c r="J1144" s="22"/>
      <c r="K1144" s="25"/>
      <c r="L1144" s="25"/>
      <c r="M1144" s="22"/>
    </row>
    <row r="1145" spans="1:13">
      <c r="A1145" s="14">
        <v>2142</v>
      </c>
      <c r="B1145" s="67">
        <v>45200</v>
      </c>
      <c r="C1145" s="15">
        <f t="shared" si="39"/>
        <v>45200</v>
      </c>
      <c r="D1145" s="16"/>
      <c r="E1145" s="71"/>
      <c r="F1145" s="91">
        <v>1200000</v>
      </c>
      <c r="G1145" s="90"/>
      <c r="H1145" s="26">
        <f t="shared" si="40"/>
        <v>3503866.8500000024</v>
      </c>
      <c r="I1145" s="25" t="s">
        <v>276</v>
      </c>
      <c r="J1145" s="22"/>
      <c r="K1145" s="25"/>
      <c r="L1145" s="25"/>
      <c r="M1145" s="22"/>
    </row>
    <row r="1146" spans="1:13">
      <c r="A1146" s="14">
        <v>2143</v>
      </c>
      <c r="B1146" s="67">
        <v>45200</v>
      </c>
      <c r="C1146" s="15">
        <f t="shared" si="39"/>
        <v>45200</v>
      </c>
      <c r="D1146" s="16"/>
      <c r="E1146" s="72"/>
      <c r="F1146" s="91">
        <v>50</v>
      </c>
      <c r="G1146" s="90"/>
      <c r="H1146" s="26">
        <f t="shared" si="40"/>
        <v>3503816.8500000024</v>
      </c>
      <c r="I1146" s="25" t="s">
        <v>264</v>
      </c>
      <c r="J1146" s="22"/>
      <c r="K1146" s="25"/>
      <c r="L1146" s="25"/>
      <c r="M1146" s="22"/>
    </row>
    <row r="1147" spans="1:13">
      <c r="A1147" s="14">
        <v>2144</v>
      </c>
      <c r="B1147" s="67">
        <v>45200</v>
      </c>
      <c r="C1147" s="15">
        <f t="shared" si="39"/>
        <v>45200</v>
      </c>
      <c r="D1147" s="16"/>
      <c r="E1147" s="71"/>
      <c r="F1147" s="91">
        <v>36088.33</v>
      </c>
      <c r="G1147" s="90"/>
      <c r="H1147" s="26">
        <f t="shared" si="40"/>
        <v>3467728.5200000023</v>
      </c>
      <c r="I1147" s="25" t="s">
        <v>271</v>
      </c>
      <c r="J1147" s="22"/>
      <c r="K1147" s="25"/>
      <c r="L1147" s="25"/>
      <c r="M1147" s="22"/>
    </row>
    <row r="1148" spans="1:13">
      <c r="A1148" s="14">
        <v>2145</v>
      </c>
      <c r="B1148" s="67">
        <v>45200</v>
      </c>
      <c r="C1148" s="15">
        <f t="shared" si="39"/>
        <v>45200</v>
      </c>
      <c r="D1148" s="16"/>
      <c r="E1148" s="72"/>
      <c r="F1148" s="91">
        <v>43185.64</v>
      </c>
      <c r="G1148" s="90"/>
      <c r="H1148" s="26">
        <f t="shared" si="40"/>
        <v>3424542.8800000022</v>
      </c>
      <c r="I1148" s="25" t="s">
        <v>271</v>
      </c>
      <c r="J1148" s="22"/>
      <c r="K1148" s="25"/>
      <c r="L1148" s="25"/>
      <c r="M1148" s="22"/>
    </row>
    <row r="1149" spans="1:13">
      <c r="A1149" s="14">
        <v>2146</v>
      </c>
      <c r="B1149" s="67">
        <v>45204</v>
      </c>
      <c r="C1149" s="15">
        <f t="shared" si="39"/>
        <v>45204</v>
      </c>
      <c r="D1149" s="16"/>
      <c r="E1149" s="71"/>
      <c r="F1149" s="91">
        <v>3500</v>
      </c>
      <c r="G1149" s="90"/>
      <c r="H1149" s="26">
        <f t="shared" si="40"/>
        <v>3421042.8800000022</v>
      </c>
      <c r="I1149" s="25" t="s">
        <v>295</v>
      </c>
      <c r="J1149" s="22"/>
      <c r="K1149" s="25"/>
      <c r="L1149" s="25"/>
      <c r="M1149" s="22"/>
    </row>
    <row r="1150" spans="1:13">
      <c r="A1150" s="14">
        <v>2147</v>
      </c>
      <c r="B1150" s="67">
        <v>45204</v>
      </c>
      <c r="C1150" s="15">
        <f t="shared" si="39"/>
        <v>45204</v>
      </c>
      <c r="D1150" s="16"/>
      <c r="E1150" s="72"/>
      <c r="F1150" s="91">
        <v>34500</v>
      </c>
      <c r="G1150" s="90"/>
      <c r="H1150" s="26">
        <f t="shared" si="40"/>
        <v>3386542.8800000022</v>
      </c>
      <c r="I1150" s="25" t="s">
        <v>295</v>
      </c>
      <c r="J1150" s="22"/>
      <c r="K1150" s="25"/>
      <c r="L1150" s="25"/>
      <c r="M1150" s="22"/>
    </row>
    <row r="1151" spans="1:13">
      <c r="A1151" s="14">
        <v>2148</v>
      </c>
      <c r="B1151" s="67">
        <v>45204</v>
      </c>
      <c r="C1151" s="15">
        <f t="shared" si="39"/>
        <v>45204</v>
      </c>
      <c r="D1151" s="16"/>
      <c r="E1151" s="71"/>
      <c r="F1151" s="91">
        <v>25</v>
      </c>
      <c r="G1151" s="90"/>
      <c r="H1151" s="26">
        <f t="shared" si="40"/>
        <v>3386517.8800000022</v>
      </c>
      <c r="I1151" s="25" t="s">
        <v>264</v>
      </c>
      <c r="J1151" s="22"/>
      <c r="K1151" s="25"/>
      <c r="L1151" s="25"/>
      <c r="M1151" s="22"/>
    </row>
    <row r="1152" spans="1:13">
      <c r="A1152" s="14">
        <v>2149</v>
      </c>
      <c r="B1152" s="67">
        <v>45204</v>
      </c>
      <c r="C1152" s="15">
        <f t="shared" si="39"/>
        <v>45204</v>
      </c>
      <c r="D1152" s="16"/>
      <c r="E1152" s="72"/>
      <c r="F1152" s="91">
        <v>1.87</v>
      </c>
      <c r="G1152" s="90"/>
      <c r="H1152" s="26">
        <f t="shared" si="40"/>
        <v>3386516.0100000021</v>
      </c>
      <c r="I1152" s="25" t="s">
        <v>264</v>
      </c>
      <c r="J1152" s="22"/>
      <c r="K1152" s="25"/>
      <c r="L1152" s="25"/>
      <c r="M1152" s="22"/>
    </row>
    <row r="1153" spans="1:13">
      <c r="A1153" s="14">
        <v>2150</v>
      </c>
      <c r="B1153" s="67">
        <v>45204</v>
      </c>
      <c r="C1153" s="15">
        <f t="shared" si="39"/>
        <v>45204</v>
      </c>
      <c r="D1153" s="16"/>
      <c r="E1153" s="71"/>
      <c r="F1153" s="91">
        <v>50000</v>
      </c>
      <c r="G1153" s="90"/>
      <c r="H1153" s="26">
        <f t="shared" si="40"/>
        <v>3336516.0100000021</v>
      </c>
      <c r="I1153" s="25" t="s">
        <v>289</v>
      </c>
      <c r="J1153" s="22"/>
      <c r="K1153" s="25"/>
      <c r="L1153" s="25"/>
      <c r="M1153" s="22"/>
    </row>
    <row r="1154" spans="1:13">
      <c r="A1154" s="14">
        <v>2151</v>
      </c>
      <c r="B1154" s="67">
        <v>45204</v>
      </c>
      <c r="C1154" s="15">
        <f t="shared" si="39"/>
        <v>45204</v>
      </c>
      <c r="D1154" s="16"/>
      <c r="E1154" s="72"/>
      <c r="F1154" s="91">
        <v>25</v>
      </c>
      <c r="G1154" s="90"/>
      <c r="H1154" s="26">
        <f t="shared" si="40"/>
        <v>3336491.0100000021</v>
      </c>
      <c r="I1154" s="25" t="s">
        <v>264</v>
      </c>
      <c r="J1154" s="22"/>
      <c r="K1154" s="25"/>
      <c r="L1154" s="25"/>
      <c r="M1154" s="22"/>
    </row>
    <row r="1155" spans="1:13">
      <c r="A1155" s="14">
        <v>2152</v>
      </c>
      <c r="B1155" s="67">
        <v>45204</v>
      </c>
      <c r="C1155" s="15">
        <f t="shared" si="39"/>
        <v>45204</v>
      </c>
      <c r="D1155" s="16"/>
      <c r="E1155" s="71"/>
      <c r="F1155" s="96">
        <v>1.87</v>
      </c>
      <c r="G1155" s="94"/>
      <c r="H1155" s="26">
        <f t="shared" si="40"/>
        <v>3336489.140000002</v>
      </c>
      <c r="I1155" s="25" t="s">
        <v>264</v>
      </c>
      <c r="J1155" s="22"/>
      <c r="K1155" s="25"/>
      <c r="L1155" s="25"/>
      <c r="M1155" s="22"/>
    </row>
    <row r="1156" spans="1:13">
      <c r="A1156" s="14">
        <v>2154</v>
      </c>
      <c r="B1156" s="67">
        <v>45204</v>
      </c>
      <c r="C1156" s="15">
        <f t="shared" si="39"/>
        <v>45204</v>
      </c>
      <c r="D1156" s="16"/>
      <c r="E1156" s="71"/>
      <c r="F1156" s="91">
        <v>120000</v>
      </c>
      <c r="G1156" s="90"/>
      <c r="H1156" s="26">
        <f t="shared" si="40"/>
        <v>3216489.140000002</v>
      </c>
      <c r="I1156" s="25" t="s">
        <v>285</v>
      </c>
      <c r="J1156" s="22"/>
      <c r="K1156" s="25"/>
      <c r="L1156" s="25"/>
      <c r="M1156" s="22"/>
    </row>
    <row r="1157" spans="1:13">
      <c r="A1157" s="14">
        <v>2155</v>
      </c>
      <c r="B1157" s="67">
        <v>45204</v>
      </c>
      <c r="C1157" s="15">
        <f t="shared" si="39"/>
        <v>45204</v>
      </c>
      <c r="D1157" s="16"/>
      <c r="E1157" s="72"/>
      <c r="F1157" s="91">
        <v>50</v>
      </c>
      <c r="G1157" s="90"/>
      <c r="H1157" s="26">
        <f t="shared" si="40"/>
        <v>3216439.140000002</v>
      </c>
      <c r="I1157" s="25" t="s">
        <v>264</v>
      </c>
      <c r="J1157" s="22"/>
      <c r="K1157" s="25"/>
      <c r="L1157" s="25"/>
      <c r="M1157" s="22"/>
    </row>
    <row r="1158" spans="1:13">
      <c r="A1158" s="14">
        <v>2156</v>
      </c>
      <c r="B1158" s="67">
        <v>45204</v>
      </c>
      <c r="C1158" s="15">
        <f t="shared" si="39"/>
        <v>45204</v>
      </c>
      <c r="D1158" s="16"/>
      <c r="E1158" s="71"/>
      <c r="F1158" s="91">
        <v>3.75</v>
      </c>
      <c r="G1158" s="90"/>
      <c r="H1158" s="26">
        <f t="shared" si="40"/>
        <v>3216435.390000002</v>
      </c>
      <c r="I1158" s="25" t="s">
        <v>264</v>
      </c>
      <c r="J1158" s="22"/>
      <c r="K1158" s="25"/>
      <c r="L1158" s="25"/>
      <c r="M1158" s="22"/>
    </row>
    <row r="1159" spans="1:13">
      <c r="A1159" s="14">
        <v>2157</v>
      </c>
      <c r="B1159" s="67">
        <v>45204</v>
      </c>
      <c r="C1159" s="15">
        <f t="shared" si="39"/>
        <v>45204</v>
      </c>
      <c r="D1159" s="16"/>
      <c r="E1159" s="72"/>
      <c r="F1159" s="91">
        <v>22500</v>
      </c>
      <c r="G1159" s="90"/>
      <c r="H1159" s="26">
        <f t="shared" si="40"/>
        <v>3193935.390000002</v>
      </c>
      <c r="I1159" s="25" t="s">
        <v>286</v>
      </c>
      <c r="J1159" s="22"/>
      <c r="K1159" s="25"/>
      <c r="L1159" s="25"/>
      <c r="M1159" s="22"/>
    </row>
    <row r="1160" spans="1:13">
      <c r="A1160" s="14">
        <v>2158</v>
      </c>
      <c r="B1160" s="67">
        <v>45204</v>
      </c>
      <c r="C1160" s="15">
        <f t="shared" si="39"/>
        <v>45204</v>
      </c>
      <c r="D1160" s="16"/>
      <c r="E1160" s="71"/>
      <c r="F1160" s="91">
        <v>25</v>
      </c>
      <c r="G1160" s="90"/>
      <c r="H1160" s="26">
        <f t="shared" si="40"/>
        <v>3193910.390000002</v>
      </c>
      <c r="I1160" s="25" t="s">
        <v>264</v>
      </c>
      <c r="J1160" s="22"/>
      <c r="K1160" s="25"/>
      <c r="L1160" s="25"/>
      <c r="M1160" s="22"/>
    </row>
    <row r="1161" spans="1:13">
      <c r="A1161" s="14">
        <v>2159</v>
      </c>
      <c r="B1161" s="67">
        <v>45204</v>
      </c>
      <c r="C1161" s="15">
        <f t="shared" si="39"/>
        <v>45204</v>
      </c>
      <c r="D1161" s="16"/>
      <c r="E1161" s="72"/>
      <c r="F1161" s="91">
        <v>1.87</v>
      </c>
      <c r="G1161" s="90"/>
      <c r="H1161" s="26">
        <f t="shared" si="40"/>
        <v>3193908.5200000019</v>
      </c>
      <c r="I1161" s="25" t="s">
        <v>264</v>
      </c>
      <c r="J1161" s="22"/>
      <c r="K1161" s="25"/>
      <c r="L1161" s="25"/>
      <c r="M1161" s="22"/>
    </row>
    <row r="1162" spans="1:13">
      <c r="A1162" s="14">
        <v>2160</v>
      </c>
      <c r="B1162" s="67">
        <v>45204</v>
      </c>
      <c r="C1162" s="15">
        <f t="shared" si="39"/>
        <v>45204</v>
      </c>
      <c r="D1162" s="16"/>
      <c r="E1162" s="71"/>
      <c r="F1162" s="91">
        <v>99500</v>
      </c>
      <c r="G1162" s="90"/>
      <c r="H1162" s="26">
        <f t="shared" si="40"/>
        <v>3094408.5200000019</v>
      </c>
      <c r="I1162" s="25" t="s">
        <v>295</v>
      </c>
      <c r="J1162" s="22"/>
      <c r="K1162" s="25"/>
      <c r="L1162" s="25"/>
      <c r="M1162" s="22"/>
    </row>
    <row r="1163" spans="1:13">
      <c r="A1163" s="14">
        <v>2161</v>
      </c>
      <c r="B1163" s="67">
        <v>45204</v>
      </c>
      <c r="C1163" s="15">
        <f t="shared" si="39"/>
        <v>45204</v>
      </c>
      <c r="D1163" s="16"/>
      <c r="E1163" s="72"/>
      <c r="F1163" s="91">
        <v>50</v>
      </c>
      <c r="G1163" s="90"/>
      <c r="H1163" s="26">
        <f t="shared" si="40"/>
        <v>3094358.5200000019</v>
      </c>
      <c r="I1163" s="25" t="s">
        <v>264</v>
      </c>
      <c r="J1163" s="22"/>
      <c r="K1163" s="25"/>
      <c r="L1163" s="25"/>
      <c r="M1163" s="22"/>
    </row>
    <row r="1164" spans="1:13">
      <c r="A1164" s="14">
        <v>2162</v>
      </c>
      <c r="B1164" s="67">
        <v>45204</v>
      </c>
      <c r="C1164" s="15">
        <f t="shared" si="39"/>
        <v>45204</v>
      </c>
      <c r="D1164" s="16"/>
      <c r="E1164" s="71"/>
      <c r="F1164" s="91">
        <v>3.75</v>
      </c>
      <c r="G1164" s="90"/>
      <c r="H1164" s="26">
        <f t="shared" si="40"/>
        <v>3094354.7700000019</v>
      </c>
      <c r="I1164" s="25" t="s">
        <v>264</v>
      </c>
      <c r="J1164" s="22"/>
      <c r="K1164" s="25"/>
      <c r="L1164" s="25"/>
      <c r="M1164" s="22"/>
    </row>
    <row r="1165" spans="1:13">
      <c r="A1165" s="14">
        <v>2163</v>
      </c>
      <c r="B1165" s="67">
        <v>45212</v>
      </c>
      <c r="C1165" s="15">
        <f t="shared" si="39"/>
        <v>45212</v>
      </c>
      <c r="D1165" s="16"/>
      <c r="E1165" s="72"/>
      <c r="F1165" s="91">
        <v>120000</v>
      </c>
      <c r="G1165" s="90"/>
      <c r="H1165" s="26">
        <f t="shared" si="40"/>
        <v>2974354.7700000019</v>
      </c>
      <c r="I1165" s="25" t="s">
        <v>285</v>
      </c>
      <c r="J1165" s="22"/>
      <c r="K1165" s="25"/>
      <c r="L1165" s="25"/>
      <c r="M1165" s="22"/>
    </row>
    <row r="1166" spans="1:13">
      <c r="A1166" s="14">
        <v>2164</v>
      </c>
      <c r="B1166" s="67">
        <v>45212</v>
      </c>
      <c r="C1166" s="15">
        <f t="shared" si="39"/>
        <v>45212</v>
      </c>
      <c r="D1166" s="16"/>
      <c r="E1166" s="71"/>
      <c r="F1166" s="91">
        <v>50</v>
      </c>
      <c r="G1166" s="90"/>
      <c r="H1166" s="26">
        <f t="shared" si="40"/>
        <v>2974304.7700000019</v>
      </c>
      <c r="I1166" s="25" t="s">
        <v>264</v>
      </c>
      <c r="J1166" s="22"/>
      <c r="K1166" s="25"/>
      <c r="L1166" s="25"/>
      <c r="M1166" s="22"/>
    </row>
    <row r="1167" spans="1:13">
      <c r="A1167" s="14">
        <v>2165</v>
      </c>
      <c r="B1167" s="67">
        <v>45212</v>
      </c>
      <c r="C1167" s="15">
        <f t="shared" si="39"/>
        <v>45212</v>
      </c>
      <c r="D1167" s="16"/>
      <c r="E1167" s="72"/>
      <c r="F1167" s="91">
        <v>3.75</v>
      </c>
      <c r="G1167" s="90"/>
      <c r="H1167" s="26">
        <f t="shared" si="40"/>
        <v>2974301.0200000019</v>
      </c>
      <c r="I1167" s="25" t="s">
        <v>264</v>
      </c>
      <c r="J1167" s="22"/>
      <c r="K1167" s="25"/>
      <c r="L1167" s="25"/>
      <c r="M1167" s="22"/>
    </row>
    <row r="1168" spans="1:13">
      <c r="A1168" s="14">
        <v>2166</v>
      </c>
      <c r="B1168" s="67">
        <v>45212</v>
      </c>
      <c r="C1168" s="15">
        <f t="shared" si="39"/>
        <v>45212</v>
      </c>
      <c r="D1168" s="16"/>
      <c r="E1168" s="71"/>
      <c r="F1168" s="96">
        <v>11661.25</v>
      </c>
      <c r="G1168" s="94"/>
      <c r="H1168" s="26">
        <f t="shared" si="40"/>
        <v>2962639.7700000019</v>
      </c>
      <c r="I1168" s="25" t="s">
        <v>286</v>
      </c>
      <c r="J1168" s="22"/>
      <c r="K1168" s="25"/>
      <c r="L1168" s="25"/>
      <c r="M1168" s="22"/>
    </row>
    <row r="1169" spans="1:13">
      <c r="A1169" s="14">
        <v>2167</v>
      </c>
      <c r="B1169" s="67">
        <v>45212</v>
      </c>
      <c r="C1169" s="15">
        <f t="shared" si="39"/>
        <v>45212</v>
      </c>
      <c r="D1169" s="16"/>
      <c r="E1169" s="72"/>
      <c r="F1169" s="91">
        <v>100</v>
      </c>
      <c r="G1169" s="90"/>
      <c r="H1169" s="26">
        <f t="shared" si="40"/>
        <v>2962539.7700000019</v>
      </c>
      <c r="I1169" s="25" t="s">
        <v>264</v>
      </c>
      <c r="J1169" s="22"/>
      <c r="K1169" s="25"/>
      <c r="L1169" s="25"/>
      <c r="M1169" s="22"/>
    </row>
    <row r="1170" spans="1:13">
      <c r="A1170" s="14">
        <v>2168</v>
      </c>
      <c r="B1170" s="67">
        <v>45212</v>
      </c>
      <c r="C1170" s="15">
        <f t="shared" si="39"/>
        <v>45212</v>
      </c>
      <c r="D1170" s="16"/>
      <c r="E1170" s="71"/>
      <c r="F1170" s="91">
        <v>42000</v>
      </c>
      <c r="G1170" s="90"/>
      <c r="H1170" s="26">
        <f t="shared" si="40"/>
        <v>2920539.7700000019</v>
      </c>
      <c r="I1170" s="25" t="s">
        <v>285</v>
      </c>
      <c r="J1170" s="22"/>
      <c r="K1170" s="25"/>
      <c r="L1170" s="25"/>
      <c r="M1170" s="22"/>
    </row>
    <row r="1171" spans="1:13">
      <c r="A1171" s="14">
        <v>2169</v>
      </c>
      <c r="B1171" s="67">
        <v>45212</v>
      </c>
      <c r="C1171" s="15">
        <f t="shared" si="39"/>
        <v>45212</v>
      </c>
      <c r="D1171" s="16"/>
      <c r="E1171" s="72"/>
      <c r="F1171" s="91">
        <v>25</v>
      </c>
      <c r="G1171" s="90"/>
      <c r="H1171" s="26">
        <f t="shared" si="40"/>
        <v>2920514.7700000019</v>
      </c>
      <c r="I1171" s="25" t="s">
        <v>264</v>
      </c>
      <c r="J1171" s="22"/>
      <c r="K1171" s="25"/>
      <c r="L1171" s="25"/>
      <c r="M1171" s="22"/>
    </row>
    <row r="1172" spans="1:13">
      <c r="A1172" s="14">
        <v>2170</v>
      </c>
      <c r="B1172" s="67">
        <v>45212</v>
      </c>
      <c r="C1172" s="15">
        <f t="shared" si="39"/>
        <v>45212</v>
      </c>
      <c r="D1172" s="16"/>
      <c r="E1172" s="71"/>
      <c r="F1172" s="91">
        <v>1.87</v>
      </c>
      <c r="G1172" s="90"/>
      <c r="H1172" s="26">
        <f t="shared" si="40"/>
        <v>2920512.9000000018</v>
      </c>
      <c r="I1172" s="25" t="s">
        <v>264</v>
      </c>
      <c r="J1172" s="22"/>
      <c r="K1172" s="25"/>
      <c r="L1172" s="25"/>
      <c r="M1172" s="22"/>
    </row>
    <row r="1173" spans="1:13">
      <c r="A1173" s="14">
        <v>2171</v>
      </c>
      <c r="B1173" s="67">
        <v>45214</v>
      </c>
      <c r="C1173" s="15">
        <f t="shared" si="39"/>
        <v>45214</v>
      </c>
      <c r="D1173" s="16"/>
      <c r="E1173" s="72"/>
      <c r="F1173" s="90"/>
      <c r="G1173" s="91">
        <v>1537346.9</v>
      </c>
      <c r="H1173" s="26">
        <f t="shared" si="40"/>
        <v>4457859.8000000017</v>
      </c>
      <c r="I1173" s="25" t="s">
        <v>314</v>
      </c>
      <c r="J1173" s="22"/>
      <c r="K1173" s="25"/>
      <c r="L1173" s="25"/>
      <c r="M1173" s="22"/>
    </row>
    <row r="1174" spans="1:13">
      <c r="A1174" s="14">
        <v>2172</v>
      </c>
      <c r="B1174" s="67">
        <v>45214</v>
      </c>
      <c r="C1174" s="15">
        <f t="shared" si="39"/>
        <v>45214</v>
      </c>
      <c r="D1174" s="16"/>
      <c r="E1174" s="71"/>
      <c r="F1174" s="91">
        <v>50</v>
      </c>
      <c r="G1174" s="95"/>
      <c r="H1174" s="26">
        <f t="shared" si="40"/>
        <v>4457809.8000000017</v>
      </c>
      <c r="I1174" s="25" t="s">
        <v>264</v>
      </c>
      <c r="J1174" s="22"/>
      <c r="K1174" s="25"/>
      <c r="L1174" s="25"/>
      <c r="M1174" s="22"/>
    </row>
    <row r="1175" spans="1:13">
      <c r="A1175" s="14">
        <v>2173</v>
      </c>
      <c r="B1175" s="67">
        <v>45215</v>
      </c>
      <c r="C1175" s="15">
        <f t="shared" si="39"/>
        <v>45215</v>
      </c>
      <c r="D1175" s="16"/>
      <c r="E1175" s="72"/>
      <c r="F1175" s="91">
        <v>50000</v>
      </c>
      <c r="G1175" s="90"/>
      <c r="H1175" s="26">
        <f t="shared" si="40"/>
        <v>4407809.8000000017</v>
      </c>
      <c r="I1175" s="25" t="s">
        <v>289</v>
      </c>
      <c r="J1175" s="22"/>
      <c r="K1175" s="25"/>
      <c r="L1175" s="25"/>
      <c r="M1175" s="22"/>
    </row>
    <row r="1176" spans="1:13">
      <c r="A1176" s="14">
        <v>2174</v>
      </c>
      <c r="B1176" s="67">
        <v>45215</v>
      </c>
      <c r="C1176" s="15">
        <f t="shared" ref="C1176:C1238" si="41">B1176</f>
        <v>45215</v>
      </c>
      <c r="D1176" s="16"/>
      <c r="E1176" s="71"/>
      <c r="F1176" s="96">
        <v>25</v>
      </c>
      <c r="G1176" s="93"/>
      <c r="H1176" s="26">
        <f t="shared" si="40"/>
        <v>4407784.8000000017</v>
      </c>
      <c r="I1176" s="25" t="s">
        <v>264</v>
      </c>
      <c r="J1176" s="22"/>
      <c r="K1176" s="25"/>
      <c r="L1176" s="25"/>
      <c r="M1176" s="22"/>
    </row>
    <row r="1177" spans="1:13">
      <c r="A1177" s="14">
        <v>2176</v>
      </c>
      <c r="B1177" s="67">
        <v>45215</v>
      </c>
      <c r="C1177" s="15">
        <f t="shared" si="41"/>
        <v>45215</v>
      </c>
      <c r="D1177" s="16"/>
      <c r="E1177" s="71"/>
      <c r="F1177" s="91">
        <v>1.87</v>
      </c>
      <c r="G1177" s="90"/>
      <c r="H1177" s="26">
        <f t="shared" si="40"/>
        <v>4407782.9300000016</v>
      </c>
      <c r="I1177" s="25" t="s">
        <v>264</v>
      </c>
      <c r="J1177" s="22"/>
      <c r="K1177" s="25"/>
      <c r="L1177" s="25"/>
      <c r="M1177" s="22"/>
    </row>
    <row r="1178" spans="1:13">
      <c r="A1178" s="14">
        <v>2177</v>
      </c>
      <c r="B1178" s="67">
        <v>45215</v>
      </c>
      <c r="C1178" s="15">
        <f t="shared" si="41"/>
        <v>45215</v>
      </c>
      <c r="D1178" s="16"/>
      <c r="E1178" s="72"/>
      <c r="F1178" s="91">
        <v>1000</v>
      </c>
      <c r="G1178" s="90"/>
      <c r="H1178" s="26">
        <f t="shared" si="40"/>
        <v>4406782.9300000016</v>
      </c>
      <c r="I1178" s="25" t="s">
        <v>275</v>
      </c>
      <c r="J1178" s="22"/>
      <c r="K1178" s="25"/>
      <c r="L1178" s="25"/>
      <c r="M1178" s="22"/>
    </row>
    <row r="1179" spans="1:13">
      <c r="A1179" s="14">
        <v>2178</v>
      </c>
      <c r="B1179" s="67">
        <v>45215</v>
      </c>
      <c r="C1179" s="15">
        <f t="shared" si="41"/>
        <v>45215</v>
      </c>
      <c r="D1179" s="16"/>
      <c r="E1179" s="71"/>
      <c r="F1179" s="91">
        <v>500</v>
      </c>
      <c r="G1179" s="90"/>
      <c r="H1179" s="26">
        <f t="shared" si="40"/>
        <v>4406282.9300000016</v>
      </c>
      <c r="I1179" s="25" t="s">
        <v>275</v>
      </c>
      <c r="J1179" s="22"/>
      <c r="K1179" s="25"/>
      <c r="L1179" s="25"/>
      <c r="M1179" s="22"/>
    </row>
    <row r="1180" spans="1:13">
      <c r="A1180" s="14">
        <v>2179</v>
      </c>
      <c r="B1180" s="67">
        <v>45215</v>
      </c>
      <c r="C1180" s="15">
        <f t="shared" si="41"/>
        <v>45215</v>
      </c>
      <c r="D1180" s="16"/>
      <c r="E1180" s="72"/>
      <c r="F1180" s="91">
        <v>500</v>
      </c>
      <c r="G1180" s="90"/>
      <c r="H1180" s="26">
        <f t="shared" si="40"/>
        <v>4405782.9300000016</v>
      </c>
      <c r="I1180" s="25" t="s">
        <v>275</v>
      </c>
      <c r="J1180" s="22"/>
      <c r="K1180" s="25"/>
      <c r="L1180" s="25"/>
      <c r="M1180" s="22"/>
    </row>
    <row r="1181" spans="1:13">
      <c r="A1181" s="14">
        <v>2180</v>
      </c>
      <c r="B1181" s="67">
        <v>45218</v>
      </c>
      <c r="C1181" s="15">
        <f t="shared" si="41"/>
        <v>45218</v>
      </c>
      <c r="D1181" s="16"/>
      <c r="E1181" s="71"/>
      <c r="F1181" s="90"/>
      <c r="G1181" s="91">
        <v>15894.74</v>
      </c>
      <c r="H1181" s="26">
        <f t="shared" si="40"/>
        <v>4421677.6700000018</v>
      </c>
      <c r="I1181" s="25" t="s">
        <v>316</v>
      </c>
      <c r="J1181" s="22"/>
      <c r="K1181" s="25"/>
      <c r="L1181" s="25"/>
      <c r="M1181" s="22"/>
    </row>
    <row r="1182" spans="1:13">
      <c r="A1182" s="14">
        <v>2181</v>
      </c>
      <c r="B1182" s="67">
        <v>45218</v>
      </c>
      <c r="C1182" s="15">
        <f t="shared" si="41"/>
        <v>45218</v>
      </c>
      <c r="D1182" s="16"/>
      <c r="E1182" s="72"/>
      <c r="F1182" s="91">
        <v>50</v>
      </c>
      <c r="G1182" s="95"/>
      <c r="H1182" s="26">
        <f t="shared" si="40"/>
        <v>4421627.6700000018</v>
      </c>
      <c r="I1182" s="25" t="s">
        <v>264</v>
      </c>
      <c r="J1182" s="22"/>
      <c r="K1182" s="25"/>
      <c r="L1182" s="25"/>
      <c r="M1182" s="22"/>
    </row>
    <row r="1183" spans="1:13">
      <c r="A1183" s="14">
        <v>2182</v>
      </c>
      <c r="B1183" s="67">
        <v>45219</v>
      </c>
      <c r="C1183" s="15">
        <f t="shared" si="41"/>
        <v>45219</v>
      </c>
      <c r="D1183" s="16"/>
      <c r="E1183" s="71"/>
      <c r="F1183" s="96">
        <v>22500</v>
      </c>
      <c r="G1183" s="94"/>
      <c r="H1183" s="26">
        <f t="shared" si="40"/>
        <v>4399127.6700000018</v>
      </c>
      <c r="I1183" s="25" t="s">
        <v>286</v>
      </c>
      <c r="J1183" s="22"/>
      <c r="K1183" s="25"/>
      <c r="L1183" s="25"/>
      <c r="M1183" s="22"/>
    </row>
    <row r="1184" spans="1:13">
      <c r="A1184" s="14">
        <v>2183</v>
      </c>
      <c r="B1184" s="67">
        <v>45219</v>
      </c>
      <c r="C1184" s="15">
        <f t="shared" si="41"/>
        <v>45219</v>
      </c>
      <c r="D1184" s="16"/>
      <c r="E1184" s="72"/>
      <c r="F1184" s="91">
        <v>25</v>
      </c>
      <c r="G1184" s="90"/>
      <c r="H1184" s="26">
        <f t="shared" si="40"/>
        <v>4399102.6700000018</v>
      </c>
      <c r="I1184" s="25" t="s">
        <v>264</v>
      </c>
      <c r="J1184" s="22"/>
      <c r="K1184" s="25"/>
      <c r="L1184" s="25"/>
      <c r="M1184" s="22"/>
    </row>
    <row r="1185" spans="1:13">
      <c r="A1185" s="14">
        <v>2184</v>
      </c>
      <c r="B1185" s="67">
        <v>45219</v>
      </c>
      <c r="C1185" s="15">
        <f t="shared" si="41"/>
        <v>45219</v>
      </c>
      <c r="D1185" s="16"/>
      <c r="E1185" s="71"/>
      <c r="F1185" s="91">
        <v>1.87</v>
      </c>
      <c r="G1185" s="90"/>
      <c r="H1185" s="26">
        <f t="shared" si="40"/>
        <v>4399100.8000000017</v>
      </c>
      <c r="I1185" s="25" t="s">
        <v>264</v>
      </c>
      <c r="J1185" s="22"/>
      <c r="K1185" s="25"/>
      <c r="L1185" s="25"/>
      <c r="M1185" s="22"/>
    </row>
    <row r="1186" spans="1:13">
      <c r="A1186" s="14">
        <v>2185</v>
      </c>
      <c r="B1186" s="67">
        <v>45219</v>
      </c>
      <c r="C1186" s="15">
        <f t="shared" si="41"/>
        <v>45219</v>
      </c>
      <c r="D1186" s="16"/>
      <c r="E1186" s="72"/>
      <c r="F1186" s="91">
        <v>1537346.9</v>
      </c>
      <c r="G1186" s="90"/>
      <c r="H1186" s="26">
        <f t="shared" si="40"/>
        <v>2861753.9000000018</v>
      </c>
      <c r="I1186" s="25" t="s">
        <v>272</v>
      </c>
      <c r="J1186" s="22"/>
      <c r="K1186" s="25"/>
      <c r="L1186" s="25"/>
      <c r="M1186" s="22"/>
    </row>
    <row r="1187" spans="1:13">
      <c r="A1187" s="14">
        <v>2186</v>
      </c>
      <c r="B1187" s="67">
        <v>45219</v>
      </c>
      <c r="C1187" s="15">
        <f t="shared" si="41"/>
        <v>45219</v>
      </c>
      <c r="D1187" s="16"/>
      <c r="E1187" s="71"/>
      <c r="F1187" s="91">
        <v>100</v>
      </c>
      <c r="G1187" s="90"/>
      <c r="H1187" s="26">
        <f t="shared" si="40"/>
        <v>2861653.9000000018</v>
      </c>
      <c r="I1187" s="25" t="s">
        <v>264</v>
      </c>
      <c r="J1187" s="22"/>
      <c r="K1187" s="25"/>
      <c r="L1187" s="25"/>
      <c r="M1187" s="22"/>
    </row>
    <row r="1188" spans="1:13">
      <c r="A1188" s="14">
        <v>2187</v>
      </c>
      <c r="B1188" s="67">
        <v>45222</v>
      </c>
      <c r="C1188" s="15">
        <f t="shared" si="41"/>
        <v>45222</v>
      </c>
      <c r="D1188" s="16"/>
      <c r="E1188" s="72"/>
      <c r="F1188" s="91">
        <v>7894.74</v>
      </c>
      <c r="G1188" s="90"/>
      <c r="H1188" s="26">
        <f t="shared" si="40"/>
        <v>2853759.1600000015</v>
      </c>
      <c r="I1188" s="25" t="s">
        <v>272</v>
      </c>
      <c r="J1188" s="22"/>
      <c r="K1188" s="25"/>
      <c r="L1188" s="25"/>
      <c r="M1188" s="22"/>
    </row>
    <row r="1189" spans="1:13">
      <c r="A1189" s="14">
        <v>2188</v>
      </c>
      <c r="B1189" s="67">
        <v>45222</v>
      </c>
      <c r="C1189" s="15">
        <f t="shared" si="41"/>
        <v>45222</v>
      </c>
      <c r="D1189" s="16"/>
      <c r="E1189" s="71"/>
      <c r="F1189" s="91">
        <v>100</v>
      </c>
      <c r="G1189" s="90"/>
      <c r="H1189" s="26">
        <f t="shared" si="40"/>
        <v>2853659.1600000015</v>
      </c>
      <c r="I1189" s="25" t="s">
        <v>264</v>
      </c>
      <c r="J1189" s="22"/>
      <c r="K1189" s="25"/>
      <c r="L1189" s="25"/>
      <c r="M1189" s="22"/>
    </row>
    <row r="1190" spans="1:13">
      <c r="A1190" s="14">
        <v>2189</v>
      </c>
      <c r="B1190" s="67">
        <v>45222</v>
      </c>
      <c r="C1190" s="15">
        <f t="shared" si="41"/>
        <v>45222</v>
      </c>
      <c r="D1190" s="16"/>
      <c r="E1190" s="72"/>
      <c r="F1190" s="91">
        <v>7894.74</v>
      </c>
      <c r="G1190" s="90"/>
      <c r="H1190" s="26">
        <f t="shared" si="40"/>
        <v>2845764.4200000013</v>
      </c>
      <c r="I1190" s="25" t="s">
        <v>272</v>
      </c>
      <c r="J1190" s="22"/>
      <c r="K1190" s="25"/>
      <c r="L1190" s="25"/>
      <c r="M1190" s="22"/>
    </row>
    <row r="1191" spans="1:13">
      <c r="A1191" s="14">
        <v>2190</v>
      </c>
      <c r="B1191" s="67">
        <v>45222</v>
      </c>
      <c r="C1191" s="15">
        <f t="shared" si="41"/>
        <v>45222</v>
      </c>
      <c r="D1191" s="16"/>
      <c r="E1191" s="71"/>
      <c r="F1191" s="91">
        <v>100</v>
      </c>
      <c r="G1191" s="90"/>
      <c r="H1191" s="26">
        <f t="shared" si="40"/>
        <v>2845664.4200000013</v>
      </c>
      <c r="I1191" s="25" t="s">
        <v>264</v>
      </c>
      <c r="J1191" s="22"/>
      <c r="K1191" s="25"/>
      <c r="L1191" s="25"/>
      <c r="M1191" s="22"/>
    </row>
    <row r="1192" spans="1:13">
      <c r="A1192" s="14">
        <v>2191</v>
      </c>
      <c r="B1192" s="67">
        <v>45222</v>
      </c>
      <c r="C1192" s="15">
        <f t="shared" si="41"/>
        <v>45222</v>
      </c>
      <c r="D1192" s="16"/>
      <c r="E1192" s="72"/>
      <c r="F1192" s="91">
        <v>8000</v>
      </c>
      <c r="G1192" s="90"/>
      <c r="H1192" s="26">
        <f t="shared" si="40"/>
        <v>2837664.4200000013</v>
      </c>
      <c r="I1192" s="25" t="s">
        <v>283</v>
      </c>
      <c r="J1192" s="22"/>
      <c r="K1192" s="25"/>
      <c r="L1192" s="25"/>
      <c r="M1192" s="22"/>
    </row>
    <row r="1193" spans="1:13">
      <c r="A1193" s="14">
        <v>2192</v>
      </c>
      <c r="B1193" s="67">
        <v>45222</v>
      </c>
      <c r="C1193" s="15">
        <f t="shared" si="41"/>
        <v>45222</v>
      </c>
      <c r="D1193" s="16"/>
      <c r="E1193" s="71"/>
      <c r="F1193" s="91">
        <v>100</v>
      </c>
      <c r="G1193" s="90"/>
      <c r="H1193" s="26">
        <f t="shared" si="40"/>
        <v>2837564.4200000013</v>
      </c>
      <c r="I1193" s="25" t="s">
        <v>264</v>
      </c>
      <c r="J1193" s="22"/>
      <c r="K1193" s="25"/>
      <c r="L1193" s="25"/>
      <c r="M1193" s="22"/>
    </row>
    <row r="1194" spans="1:13">
      <c r="A1194" s="14">
        <v>2193</v>
      </c>
      <c r="B1194" s="67">
        <v>45223</v>
      </c>
      <c r="C1194" s="15">
        <f t="shared" si="41"/>
        <v>45223</v>
      </c>
      <c r="D1194" s="16"/>
      <c r="E1194" s="72"/>
      <c r="F1194" s="90"/>
      <c r="G1194" s="91">
        <v>7894.74</v>
      </c>
      <c r="H1194" s="26">
        <f t="shared" si="40"/>
        <v>2845459.1600000015</v>
      </c>
      <c r="I1194" s="25" t="s">
        <v>272</v>
      </c>
      <c r="J1194" s="22"/>
      <c r="K1194" s="25"/>
      <c r="L1194" s="25"/>
      <c r="M1194" s="22"/>
    </row>
    <row r="1195" spans="1:13">
      <c r="A1195" s="14">
        <v>2194</v>
      </c>
      <c r="B1195" s="67">
        <v>45223</v>
      </c>
      <c r="C1195" s="15">
        <f t="shared" si="41"/>
        <v>45223</v>
      </c>
      <c r="D1195" s="16"/>
      <c r="E1195" s="71"/>
      <c r="F1195" s="90"/>
      <c r="G1195" s="91">
        <v>100</v>
      </c>
      <c r="H1195" s="26">
        <f t="shared" si="40"/>
        <v>2845559.1600000015</v>
      </c>
      <c r="I1195" s="25" t="s">
        <v>272</v>
      </c>
      <c r="J1195" s="22"/>
      <c r="K1195" s="25"/>
      <c r="L1195" s="25"/>
      <c r="M1195" s="22"/>
    </row>
    <row r="1196" spans="1:13">
      <c r="A1196" s="14">
        <v>2195</v>
      </c>
      <c r="B1196" s="67">
        <v>45225</v>
      </c>
      <c r="C1196" s="15">
        <f t="shared" si="41"/>
        <v>45225</v>
      </c>
      <c r="D1196" s="16"/>
      <c r="E1196" s="72"/>
      <c r="F1196" s="91">
        <v>20000</v>
      </c>
      <c r="G1196" s="90"/>
      <c r="H1196" s="26">
        <f t="shared" ref="H1196:H1259" si="42">IFERROR(H1195-F1196+G1196,"")</f>
        <v>2825559.1600000015</v>
      </c>
      <c r="I1196" s="25" t="s">
        <v>275</v>
      </c>
      <c r="J1196" s="22"/>
      <c r="K1196" s="25"/>
      <c r="L1196" s="25"/>
      <c r="M1196" s="22"/>
    </row>
    <row r="1197" spans="1:13">
      <c r="A1197" s="14">
        <v>2196</v>
      </c>
      <c r="B1197" s="67">
        <v>45225</v>
      </c>
      <c r="C1197" s="15">
        <f t="shared" si="41"/>
        <v>45225</v>
      </c>
      <c r="D1197" s="16"/>
      <c r="E1197" s="71"/>
      <c r="F1197" s="91">
        <v>25</v>
      </c>
      <c r="G1197" s="90"/>
      <c r="H1197" s="26">
        <f t="shared" si="42"/>
        <v>2825534.1600000015</v>
      </c>
      <c r="I1197" s="25" t="s">
        <v>264</v>
      </c>
      <c r="J1197" s="22"/>
      <c r="K1197" s="25"/>
      <c r="L1197" s="25"/>
      <c r="M1197" s="22"/>
    </row>
    <row r="1198" spans="1:13">
      <c r="A1198" s="14">
        <v>2197</v>
      </c>
      <c r="B1198" s="67">
        <v>45225</v>
      </c>
      <c r="C1198" s="15">
        <f t="shared" si="41"/>
        <v>45225</v>
      </c>
      <c r="D1198" s="16"/>
      <c r="E1198" s="72"/>
      <c r="F1198" s="91">
        <v>1.87</v>
      </c>
      <c r="G1198" s="90"/>
      <c r="H1198" s="26">
        <f t="shared" si="42"/>
        <v>2825532.2900000014</v>
      </c>
      <c r="I1198" s="25" t="s">
        <v>264</v>
      </c>
      <c r="J1198" s="22"/>
      <c r="K1198" s="25"/>
      <c r="L1198" s="25"/>
      <c r="M1198" s="22"/>
    </row>
    <row r="1199" spans="1:13">
      <c r="A1199" s="14">
        <v>2198</v>
      </c>
      <c r="B1199" s="67">
        <v>45225</v>
      </c>
      <c r="C1199" s="15">
        <f t="shared" si="41"/>
        <v>45225</v>
      </c>
      <c r="D1199" s="16"/>
      <c r="E1199" s="71"/>
      <c r="F1199" s="91">
        <v>120000</v>
      </c>
      <c r="G1199" s="90"/>
      <c r="H1199" s="26">
        <f t="shared" si="42"/>
        <v>2705532.2900000014</v>
      </c>
      <c r="I1199" s="25" t="s">
        <v>285</v>
      </c>
      <c r="J1199" s="22"/>
      <c r="K1199" s="25"/>
      <c r="L1199" s="25"/>
      <c r="M1199" s="22"/>
    </row>
    <row r="1200" spans="1:13">
      <c r="A1200" s="14">
        <v>2199</v>
      </c>
      <c r="B1200" s="67">
        <v>45225</v>
      </c>
      <c r="C1200" s="15">
        <f t="shared" si="41"/>
        <v>45225</v>
      </c>
      <c r="D1200" s="16"/>
      <c r="E1200" s="72"/>
      <c r="F1200" s="91">
        <v>50</v>
      </c>
      <c r="G1200" s="90"/>
      <c r="H1200" s="26">
        <f t="shared" si="42"/>
        <v>2705482.2900000014</v>
      </c>
      <c r="I1200" s="25" t="s">
        <v>264</v>
      </c>
      <c r="J1200" s="22"/>
      <c r="K1200" s="25"/>
      <c r="L1200" s="25"/>
      <c r="M1200" s="22"/>
    </row>
    <row r="1201" spans="1:13">
      <c r="A1201" s="14">
        <v>2200</v>
      </c>
      <c r="B1201" s="67">
        <v>45225</v>
      </c>
      <c r="C1201" s="15">
        <f t="shared" si="41"/>
        <v>45225</v>
      </c>
      <c r="D1201" s="16"/>
      <c r="E1201" s="71"/>
      <c r="F1201" s="91">
        <v>3.75</v>
      </c>
      <c r="G1201" s="90"/>
      <c r="H1201" s="26">
        <f t="shared" si="42"/>
        <v>2705478.5400000014</v>
      </c>
      <c r="I1201" s="25" t="s">
        <v>264</v>
      </c>
      <c r="J1201" s="22"/>
      <c r="K1201" s="25"/>
      <c r="L1201" s="25"/>
      <c r="M1201" s="22"/>
    </row>
    <row r="1202" spans="1:13">
      <c r="A1202" s="14">
        <v>2201</v>
      </c>
      <c r="B1202" s="67">
        <v>45225</v>
      </c>
      <c r="C1202" s="15">
        <f t="shared" si="41"/>
        <v>45225</v>
      </c>
      <c r="D1202" s="16"/>
      <c r="E1202" s="72"/>
      <c r="F1202" s="91">
        <v>50000</v>
      </c>
      <c r="G1202" s="90"/>
      <c r="H1202" s="26">
        <f t="shared" si="42"/>
        <v>2655478.5400000014</v>
      </c>
      <c r="I1202" s="25" t="s">
        <v>289</v>
      </c>
      <c r="J1202" s="22"/>
      <c r="K1202" s="25"/>
      <c r="L1202" s="25"/>
      <c r="M1202" s="22"/>
    </row>
    <row r="1203" spans="1:13">
      <c r="A1203" s="14">
        <v>2202</v>
      </c>
      <c r="B1203" s="67">
        <v>45225</v>
      </c>
      <c r="C1203" s="15">
        <f t="shared" si="41"/>
        <v>45225</v>
      </c>
      <c r="D1203" s="16"/>
      <c r="E1203" s="71"/>
      <c r="F1203" s="91">
        <v>25</v>
      </c>
      <c r="G1203" s="90"/>
      <c r="H1203" s="26">
        <f t="shared" si="42"/>
        <v>2655453.5400000014</v>
      </c>
      <c r="I1203" s="25" t="s">
        <v>264</v>
      </c>
      <c r="J1203" s="22"/>
      <c r="K1203" s="25"/>
      <c r="L1203" s="25"/>
      <c r="M1203" s="22"/>
    </row>
    <row r="1204" spans="1:13">
      <c r="A1204" s="14">
        <v>2203</v>
      </c>
      <c r="B1204" s="67">
        <v>45225</v>
      </c>
      <c r="C1204" s="15">
        <f t="shared" si="41"/>
        <v>45225</v>
      </c>
      <c r="D1204" s="16"/>
      <c r="E1204" s="72"/>
      <c r="F1204" s="91">
        <v>1.87</v>
      </c>
      <c r="G1204" s="90"/>
      <c r="H1204" s="26">
        <f t="shared" si="42"/>
        <v>2655451.6700000013</v>
      </c>
      <c r="I1204" s="25" t="s">
        <v>264</v>
      </c>
      <c r="J1204" s="22"/>
      <c r="K1204" s="25"/>
      <c r="L1204" s="25"/>
      <c r="M1204" s="22"/>
    </row>
    <row r="1205" spans="1:13">
      <c r="A1205" s="14">
        <v>2204</v>
      </c>
      <c r="B1205" s="67">
        <v>45230</v>
      </c>
      <c r="C1205" s="15">
        <f t="shared" si="41"/>
        <v>45230</v>
      </c>
      <c r="D1205" s="16"/>
      <c r="E1205" s="71"/>
      <c r="F1205" s="91">
        <v>568</v>
      </c>
      <c r="G1205" s="95"/>
      <c r="H1205" s="26">
        <f t="shared" si="42"/>
        <v>2654883.6700000013</v>
      </c>
      <c r="I1205" s="25" t="s">
        <v>264</v>
      </c>
      <c r="J1205" s="22"/>
      <c r="K1205" s="25"/>
      <c r="L1205" s="25"/>
      <c r="M1205" s="22"/>
    </row>
    <row r="1206" spans="1:13">
      <c r="A1206" s="14">
        <v>2205</v>
      </c>
      <c r="B1206" s="67">
        <v>45230</v>
      </c>
      <c r="C1206" s="15">
        <f t="shared" si="41"/>
        <v>45230</v>
      </c>
      <c r="D1206" s="16"/>
      <c r="E1206" s="72"/>
      <c r="F1206" s="91">
        <v>42.6</v>
      </c>
      <c r="G1206" s="95"/>
      <c r="H1206" s="26">
        <f t="shared" si="42"/>
        <v>2654841.0700000012</v>
      </c>
      <c r="I1206" s="25" t="s">
        <v>264</v>
      </c>
      <c r="J1206" s="22"/>
      <c r="K1206" s="25"/>
      <c r="L1206" s="25"/>
      <c r="M1206" s="22"/>
    </row>
    <row r="1207" spans="1:13">
      <c r="A1207" s="14">
        <v>2206</v>
      </c>
      <c r="B1207" s="67">
        <v>45230</v>
      </c>
      <c r="C1207" s="15">
        <f t="shared" si="41"/>
        <v>45230</v>
      </c>
      <c r="D1207" s="16"/>
      <c r="E1207" s="71"/>
      <c r="F1207" s="91">
        <v>5349.49</v>
      </c>
      <c r="G1207" s="95"/>
      <c r="H1207" s="26">
        <f t="shared" si="42"/>
        <v>2649491.580000001</v>
      </c>
      <c r="I1207" s="25" t="s">
        <v>264</v>
      </c>
      <c r="J1207" s="22"/>
      <c r="K1207" s="25"/>
      <c r="L1207" s="25"/>
      <c r="M1207" s="22"/>
    </row>
    <row r="1208" spans="1:13">
      <c r="A1208" s="14">
        <v>2207</v>
      </c>
      <c r="B1208" s="67">
        <v>45230</v>
      </c>
      <c r="C1208" s="15">
        <f t="shared" si="41"/>
        <v>45230</v>
      </c>
      <c r="D1208" s="16"/>
      <c r="E1208" s="72"/>
      <c r="F1208" s="91">
        <v>401.21</v>
      </c>
      <c r="G1208" s="95"/>
      <c r="H1208" s="26">
        <f t="shared" si="42"/>
        <v>2649090.370000001</v>
      </c>
      <c r="I1208" s="25" t="s">
        <v>264</v>
      </c>
      <c r="J1208" s="22"/>
      <c r="K1208" s="25"/>
      <c r="L1208" s="25"/>
      <c r="M1208" s="22"/>
    </row>
    <row r="1209" spans="1:13">
      <c r="A1209" s="14">
        <v>2208</v>
      </c>
      <c r="B1209" s="67">
        <v>45233</v>
      </c>
      <c r="C1209" s="15">
        <f t="shared" si="41"/>
        <v>45233</v>
      </c>
      <c r="D1209" s="16"/>
      <c r="E1209" s="71"/>
      <c r="F1209" s="90"/>
      <c r="G1209" s="91">
        <v>12449.53</v>
      </c>
      <c r="H1209" s="26">
        <f t="shared" si="42"/>
        <v>2661539.9000000008</v>
      </c>
      <c r="I1209" s="25" t="s">
        <v>300</v>
      </c>
      <c r="J1209" s="22"/>
      <c r="K1209" s="25"/>
      <c r="L1209" s="25"/>
      <c r="M1209" s="22"/>
    </row>
    <row r="1210" spans="1:13">
      <c r="A1210" s="14">
        <v>2209</v>
      </c>
      <c r="B1210" s="67">
        <v>45233</v>
      </c>
      <c r="C1210" s="15">
        <f t="shared" si="41"/>
        <v>45233</v>
      </c>
      <c r="D1210" s="16"/>
      <c r="E1210" s="72"/>
      <c r="F1210" s="91">
        <v>50</v>
      </c>
      <c r="G1210" s="95"/>
      <c r="H1210" s="26">
        <f t="shared" si="42"/>
        <v>2661489.9000000008</v>
      </c>
      <c r="I1210" s="25" t="s">
        <v>264</v>
      </c>
      <c r="J1210" s="22"/>
      <c r="K1210" s="25"/>
      <c r="L1210" s="25"/>
      <c r="M1210" s="22"/>
    </row>
    <row r="1211" spans="1:13">
      <c r="A1211" s="14">
        <v>2210</v>
      </c>
      <c r="B1211" s="67">
        <v>45237</v>
      </c>
      <c r="C1211" s="15">
        <f t="shared" si="41"/>
        <v>45237</v>
      </c>
      <c r="D1211" s="16"/>
      <c r="E1211" s="71"/>
      <c r="F1211" s="91">
        <v>19000</v>
      </c>
      <c r="G1211" s="90"/>
      <c r="H1211" s="26">
        <f t="shared" si="42"/>
        <v>2642489.9000000008</v>
      </c>
      <c r="I1211" s="25" t="s">
        <v>286</v>
      </c>
      <c r="J1211" s="22"/>
      <c r="K1211" s="25"/>
      <c r="L1211" s="25"/>
      <c r="M1211" s="22"/>
    </row>
    <row r="1212" spans="1:13">
      <c r="A1212" s="14">
        <v>2211</v>
      </c>
      <c r="B1212" s="67">
        <v>45237</v>
      </c>
      <c r="C1212" s="15">
        <f t="shared" si="41"/>
        <v>45237</v>
      </c>
      <c r="D1212" s="16"/>
      <c r="E1212" s="72"/>
      <c r="F1212" s="91">
        <v>25</v>
      </c>
      <c r="G1212" s="90"/>
      <c r="H1212" s="26">
        <f t="shared" si="42"/>
        <v>2642464.9000000008</v>
      </c>
      <c r="I1212" s="25" t="s">
        <v>264</v>
      </c>
      <c r="J1212" s="22"/>
      <c r="K1212" s="25"/>
      <c r="L1212" s="25"/>
      <c r="M1212" s="22"/>
    </row>
    <row r="1213" spans="1:13">
      <c r="A1213" s="14">
        <v>2212</v>
      </c>
      <c r="B1213" s="67">
        <v>45237</v>
      </c>
      <c r="C1213" s="15">
        <f t="shared" si="41"/>
        <v>45237</v>
      </c>
      <c r="D1213" s="16"/>
      <c r="E1213" s="71"/>
      <c r="F1213" s="91">
        <v>1.87</v>
      </c>
      <c r="G1213" s="90"/>
      <c r="H1213" s="26">
        <f t="shared" si="42"/>
        <v>2642463.0300000007</v>
      </c>
      <c r="I1213" s="25" t="s">
        <v>264</v>
      </c>
      <c r="J1213" s="22"/>
      <c r="K1213" s="25"/>
      <c r="L1213" s="25"/>
      <c r="M1213" s="22"/>
    </row>
    <row r="1214" spans="1:13">
      <c r="A1214" s="14">
        <v>2213</v>
      </c>
      <c r="B1214" s="67">
        <v>45237</v>
      </c>
      <c r="C1214" s="15">
        <f t="shared" si="41"/>
        <v>45237</v>
      </c>
      <c r="D1214" s="16"/>
      <c r="E1214" s="72"/>
      <c r="F1214" s="91">
        <v>99378.23</v>
      </c>
      <c r="G1214" s="90"/>
      <c r="H1214" s="26">
        <f t="shared" si="42"/>
        <v>2543084.8000000007</v>
      </c>
      <c r="I1214" s="25" t="s">
        <v>271</v>
      </c>
      <c r="J1214" s="22"/>
      <c r="K1214" s="25"/>
      <c r="L1214" s="25"/>
      <c r="M1214" s="22"/>
    </row>
    <row r="1215" spans="1:13">
      <c r="A1215" s="14">
        <v>2214</v>
      </c>
      <c r="B1215" s="67">
        <v>45237</v>
      </c>
      <c r="C1215" s="15">
        <f t="shared" si="41"/>
        <v>45237</v>
      </c>
      <c r="D1215" s="16"/>
      <c r="E1215" s="71"/>
      <c r="F1215" s="91">
        <v>50</v>
      </c>
      <c r="G1215" s="90"/>
      <c r="H1215" s="26">
        <f t="shared" si="42"/>
        <v>2543034.8000000007</v>
      </c>
      <c r="I1215" s="25" t="s">
        <v>264</v>
      </c>
      <c r="J1215" s="22"/>
      <c r="K1215" s="25"/>
      <c r="L1215" s="25"/>
      <c r="M1215" s="22"/>
    </row>
    <row r="1216" spans="1:13">
      <c r="A1216" s="14">
        <v>2215</v>
      </c>
      <c r="B1216" s="67">
        <v>45237</v>
      </c>
      <c r="C1216" s="15">
        <f t="shared" si="41"/>
        <v>45237</v>
      </c>
      <c r="D1216" s="16"/>
      <c r="E1216" s="72"/>
      <c r="F1216" s="91">
        <v>3.75</v>
      </c>
      <c r="G1216" s="90"/>
      <c r="H1216" s="26">
        <f t="shared" si="42"/>
        <v>2543031.0500000007</v>
      </c>
      <c r="I1216" s="25" t="s">
        <v>264</v>
      </c>
      <c r="J1216" s="22"/>
      <c r="K1216" s="25"/>
      <c r="L1216" s="25"/>
      <c r="M1216" s="22"/>
    </row>
    <row r="1217" spans="1:13">
      <c r="A1217" s="14">
        <v>2216</v>
      </c>
      <c r="B1217" s="67">
        <v>45237</v>
      </c>
      <c r="C1217" s="15">
        <f t="shared" si="41"/>
        <v>45237</v>
      </c>
      <c r="D1217" s="16"/>
      <c r="E1217" s="71"/>
      <c r="F1217" s="96">
        <v>80353.66</v>
      </c>
      <c r="G1217" s="94"/>
      <c r="H1217" s="26">
        <f t="shared" si="42"/>
        <v>2462677.3900000006</v>
      </c>
      <c r="I1217" s="25" t="s">
        <v>271</v>
      </c>
      <c r="J1217" s="22"/>
      <c r="K1217" s="25"/>
      <c r="L1217" s="25"/>
      <c r="M1217" s="22"/>
    </row>
    <row r="1218" spans="1:13">
      <c r="A1218" s="14">
        <v>2217</v>
      </c>
      <c r="B1218" s="67">
        <v>45237</v>
      </c>
      <c r="C1218" s="15">
        <f t="shared" si="41"/>
        <v>45237</v>
      </c>
      <c r="D1218" s="16"/>
      <c r="E1218" s="72"/>
      <c r="F1218" s="91">
        <v>50</v>
      </c>
      <c r="G1218" s="90"/>
      <c r="H1218" s="26">
        <f t="shared" si="42"/>
        <v>2462627.3900000006</v>
      </c>
      <c r="I1218" s="25" t="s">
        <v>264</v>
      </c>
      <c r="J1218" s="22"/>
      <c r="K1218" s="25"/>
      <c r="L1218" s="25"/>
      <c r="M1218" s="22"/>
    </row>
    <row r="1219" spans="1:13">
      <c r="A1219" s="14">
        <v>2218</v>
      </c>
      <c r="B1219" s="67">
        <v>45237</v>
      </c>
      <c r="C1219" s="15">
        <f t="shared" si="41"/>
        <v>45237</v>
      </c>
      <c r="D1219" s="16"/>
      <c r="E1219" s="71"/>
      <c r="F1219" s="91">
        <v>3.75</v>
      </c>
      <c r="G1219" s="90"/>
      <c r="H1219" s="26">
        <f t="shared" si="42"/>
        <v>2462623.6400000006</v>
      </c>
      <c r="I1219" s="25" t="s">
        <v>264</v>
      </c>
      <c r="J1219" s="22"/>
      <c r="K1219" s="25"/>
      <c r="L1219" s="25"/>
      <c r="M1219" s="22"/>
    </row>
    <row r="1220" spans="1:13">
      <c r="A1220" s="14">
        <v>2219</v>
      </c>
      <c r="B1220" s="67">
        <v>45237</v>
      </c>
      <c r="C1220" s="15">
        <f t="shared" si="41"/>
        <v>45237</v>
      </c>
      <c r="D1220" s="16"/>
      <c r="E1220" s="72"/>
      <c r="F1220" s="91">
        <v>17635.939999999999</v>
      </c>
      <c r="G1220" s="90"/>
      <c r="H1220" s="26">
        <f t="shared" si="42"/>
        <v>2444987.7000000007</v>
      </c>
      <c r="I1220" s="25" t="s">
        <v>271</v>
      </c>
      <c r="J1220" s="22"/>
      <c r="K1220" s="25"/>
      <c r="L1220" s="25"/>
      <c r="M1220" s="22"/>
    </row>
    <row r="1221" spans="1:13">
      <c r="A1221" s="14">
        <v>2220</v>
      </c>
      <c r="B1221" s="67">
        <v>45237</v>
      </c>
      <c r="C1221" s="15">
        <f t="shared" si="41"/>
        <v>45237</v>
      </c>
      <c r="D1221" s="16"/>
      <c r="E1221" s="71"/>
      <c r="F1221" s="91">
        <v>20353.66</v>
      </c>
      <c r="G1221" s="90"/>
      <c r="H1221" s="26">
        <f t="shared" si="42"/>
        <v>2424634.0400000005</v>
      </c>
      <c r="I1221" s="25" t="s">
        <v>271</v>
      </c>
      <c r="J1221" s="22"/>
      <c r="K1221" s="25"/>
      <c r="L1221" s="25"/>
      <c r="M1221" s="22"/>
    </row>
    <row r="1222" spans="1:13">
      <c r="A1222" s="14">
        <v>2221</v>
      </c>
      <c r="B1222" s="67">
        <v>45237</v>
      </c>
      <c r="C1222" s="15">
        <f t="shared" si="41"/>
        <v>45237</v>
      </c>
      <c r="D1222" s="16"/>
      <c r="E1222" s="72"/>
      <c r="F1222" s="91">
        <v>168523.14</v>
      </c>
      <c r="G1222" s="90"/>
      <c r="H1222" s="26">
        <f t="shared" si="42"/>
        <v>2256110.9000000004</v>
      </c>
      <c r="I1222" s="25" t="s">
        <v>271</v>
      </c>
      <c r="J1222" s="22"/>
      <c r="K1222" s="25"/>
      <c r="L1222" s="25"/>
      <c r="M1222" s="22"/>
    </row>
    <row r="1223" spans="1:13">
      <c r="A1223" s="14">
        <v>2222</v>
      </c>
      <c r="B1223" s="67">
        <v>45237</v>
      </c>
      <c r="C1223" s="15">
        <f t="shared" si="41"/>
        <v>45237</v>
      </c>
      <c r="D1223" s="16"/>
      <c r="E1223" s="71"/>
      <c r="F1223" s="91">
        <v>20000</v>
      </c>
      <c r="G1223" s="90"/>
      <c r="H1223" s="26">
        <f t="shared" si="42"/>
        <v>2236110.9000000004</v>
      </c>
      <c r="I1223" s="25" t="s">
        <v>309</v>
      </c>
      <c r="J1223" s="22"/>
      <c r="K1223" s="25"/>
      <c r="L1223" s="25"/>
      <c r="M1223" s="22"/>
    </row>
    <row r="1224" spans="1:13">
      <c r="A1224" s="14">
        <v>2223</v>
      </c>
      <c r="B1224" s="67">
        <v>45237</v>
      </c>
      <c r="C1224" s="15">
        <f t="shared" si="41"/>
        <v>45237</v>
      </c>
      <c r="D1224" s="16"/>
      <c r="E1224" s="72"/>
      <c r="F1224" s="96">
        <v>20000</v>
      </c>
      <c r="G1224" s="94"/>
      <c r="H1224" s="26">
        <f t="shared" si="42"/>
        <v>2216110.9000000004</v>
      </c>
      <c r="I1224" s="25" t="s">
        <v>309</v>
      </c>
      <c r="J1224" s="22"/>
      <c r="K1224" s="25"/>
      <c r="L1224" s="25"/>
      <c r="M1224" s="22"/>
    </row>
    <row r="1225" spans="1:13">
      <c r="A1225" s="14">
        <v>2224</v>
      </c>
      <c r="B1225" s="67">
        <v>45237</v>
      </c>
      <c r="C1225" s="15">
        <f t="shared" si="41"/>
        <v>45237</v>
      </c>
      <c r="D1225" s="16"/>
      <c r="E1225" s="71"/>
      <c r="F1225" s="91">
        <v>20000</v>
      </c>
      <c r="G1225" s="90"/>
      <c r="H1225" s="26">
        <f t="shared" si="42"/>
        <v>2196110.9000000004</v>
      </c>
      <c r="I1225" s="25" t="s">
        <v>309</v>
      </c>
      <c r="J1225" s="22"/>
      <c r="K1225" s="25"/>
      <c r="L1225" s="25"/>
      <c r="M1225" s="22"/>
    </row>
    <row r="1226" spans="1:13">
      <c r="A1226" s="14">
        <v>2225</v>
      </c>
      <c r="B1226" s="67">
        <v>45237</v>
      </c>
      <c r="C1226" s="15">
        <f t="shared" si="41"/>
        <v>45237</v>
      </c>
      <c r="D1226" s="16"/>
      <c r="E1226" s="72"/>
      <c r="F1226" s="91">
        <v>159963.42000000001</v>
      </c>
      <c r="G1226" s="90"/>
      <c r="H1226" s="26">
        <f t="shared" si="42"/>
        <v>2036147.4800000004</v>
      </c>
      <c r="I1226" s="25" t="s">
        <v>271</v>
      </c>
      <c r="J1226" s="22"/>
      <c r="K1226" s="25"/>
      <c r="L1226" s="25"/>
      <c r="M1226" s="22"/>
    </row>
    <row r="1227" spans="1:13">
      <c r="A1227" s="14">
        <v>2226</v>
      </c>
      <c r="B1227" s="67">
        <v>45237</v>
      </c>
      <c r="C1227" s="15">
        <f t="shared" si="41"/>
        <v>45237</v>
      </c>
      <c r="D1227" s="16"/>
      <c r="E1227" s="71"/>
      <c r="F1227" s="91">
        <v>20000</v>
      </c>
      <c r="G1227" s="90"/>
      <c r="H1227" s="26">
        <f t="shared" si="42"/>
        <v>2016147.4800000004</v>
      </c>
      <c r="I1227" s="25" t="s">
        <v>309</v>
      </c>
      <c r="J1227" s="22"/>
      <c r="K1227" s="25"/>
      <c r="L1227" s="25"/>
      <c r="M1227" s="22"/>
    </row>
    <row r="1228" spans="1:13">
      <c r="A1228" s="14">
        <v>2227</v>
      </c>
      <c r="B1228" s="67">
        <v>45237</v>
      </c>
      <c r="C1228" s="15">
        <f t="shared" si="41"/>
        <v>45237</v>
      </c>
      <c r="D1228" s="16"/>
      <c r="E1228" s="72"/>
      <c r="F1228" s="91">
        <v>228207.66</v>
      </c>
      <c r="G1228" s="90"/>
      <c r="H1228" s="26">
        <f t="shared" si="42"/>
        <v>1787939.8200000005</v>
      </c>
      <c r="I1228" s="25" t="s">
        <v>271</v>
      </c>
      <c r="J1228" s="22"/>
      <c r="K1228" s="25"/>
      <c r="L1228" s="25"/>
      <c r="M1228" s="22"/>
    </row>
    <row r="1229" spans="1:13">
      <c r="A1229" s="14">
        <v>2228</v>
      </c>
      <c r="B1229" s="67">
        <v>45237</v>
      </c>
      <c r="C1229" s="15">
        <f t="shared" si="41"/>
        <v>45237</v>
      </c>
      <c r="D1229" s="16"/>
      <c r="E1229" s="71"/>
      <c r="F1229" s="91">
        <v>105</v>
      </c>
      <c r="G1229" s="90"/>
      <c r="H1229" s="26">
        <f t="shared" si="42"/>
        <v>1787834.8200000005</v>
      </c>
      <c r="I1229" s="25" t="s">
        <v>264</v>
      </c>
      <c r="J1229" s="22"/>
      <c r="K1229" s="25"/>
      <c r="L1229" s="25"/>
      <c r="M1229" s="22"/>
    </row>
    <row r="1230" spans="1:13">
      <c r="A1230" s="14">
        <v>2229</v>
      </c>
      <c r="B1230" s="67">
        <v>45237</v>
      </c>
      <c r="C1230" s="15">
        <f t="shared" si="41"/>
        <v>45237</v>
      </c>
      <c r="D1230" s="16"/>
      <c r="E1230" s="72"/>
      <c r="F1230" s="91">
        <v>7.88</v>
      </c>
      <c r="G1230" s="90"/>
      <c r="H1230" s="26">
        <f t="shared" si="42"/>
        <v>1787826.9400000006</v>
      </c>
      <c r="I1230" s="25" t="s">
        <v>264</v>
      </c>
      <c r="J1230" s="22"/>
      <c r="K1230" s="25"/>
      <c r="L1230" s="25"/>
      <c r="M1230" s="22"/>
    </row>
    <row r="1231" spans="1:13">
      <c r="A1231" s="14">
        <v>2230</v>
      </c>
      <c r="B1231" s="67">
        <v>45237</v>
      </c>
      <c r="C1231" s="15">
        <f t="shared" si="41"/>
        <v>45237</v>
      </c>
      <c r="D1231" s="16"/>
      <c r="E1231" s="71"/>
      <c r="F1231" s="91">
        <v>60</v>
      </c>
      <c r="G1231" s="90"/>
      <c r="H1231" s="26">
        <f t="shared" si="42"/>
        <v>1787766.9400000006</v>
      </c>
      <c r="I1231" s="25" t="s">
        <v>264</v>
      </c>
      <c r="J1231" s="22"/>
      <c r="K1231" s="25"/>
      <c r="L1231" s="25"/>
      <c r="M1231" s="22"/>
    </row>
    <row r="1232" spans="1:13">
      <c r="A1232" s="14">
        <v>2231</v>
      </c>
      <c r="B1232" s="67">
        <v>45237</v>
      </c>
      <c r="C1232" s="15">
        <f t="shared" si="41"/>
        <v>45237</v>
      </c>
      <c r="D1232" s="16"/>
      <c r="E1232" s="72"/>
      <c r="F1232" s="91">
        <v>4.5</v>
      </c>
      <c r="G1232" s="90"/>
      <c r="H1232" s="26">
        <f t="shared" si="42"/>
        <v>1787762.4400000006</v>
      </c>
      <c r="I1232" s="25" t="s">
        <v>264</v>
      </c>
      <c r="J1232" s="22"/>
      <c r="K1232" s="25"/>
      <c r="L1232" s="25"/>
      <c r="M1232" s="22"/>
    </row>
    <row r="1233" spans="1:13">
      <c r="A1233" s="14">
        <v>2232</v>
      </c>
      <c r="B1233" s="67">
        <v>45237</v>
      </c>
      <c r="C1233" s="15">
        <f t="shared" si="41"/>
        <v>45237</v>
      </c>
      <c r="D1233" s="16"/>
      <c r="E1233" s="71"/>
      <c r="F1233" s="91">
        <v>20000</v>
      </c>
      <c r="G1233" s="90"/>
      <c r="H1233" s="26">
        <f t="shared" si="42"/>
        <v>1767762.4400000006</v>
      </c>
      <c r="I1233" s="25" t="s">
        <v>280</v>
      </c>
      <c r="J1233" s="22"/>
      <c r="K1233" s="25"/>
      <c r="L1233" s="25"/>
      <c r="M1233" s="22"/>
    </row>
    <row r="1234" spans="1:13">
      <c r="A1234" s="14">
        <v>2233</v>
      </c>
      <c r="B1234" s="67">
        <v>45237</v>
      </c>
      <c r="C1234" s="15">
        <f t="shared" si="41"/>
        <v>45237</v>
      </c>
      <c r="D1234" s="16"/>
      <c r="E1234" s="72"/>
      <c r="F1234" s="91">
        <v>25</v>
      </c>
      <c r="G1234" s="90"/>
      <c r="H1234" s="26">
        <f t="shared" si="42"/>
        <v>1767737.4400000006</v>
      </c>
      <c r="I1234" s="25" t="s">
        <v>264</v>
      </c>
      <c r="J1234" s="22"/>
      <c r="K1234" s="25"/>
      <c r="L1234" s="25"/>
      <c r="M1234" s="22"/>
    </row>
    <row r="1235" spans="1:13">
      <c r="A1235" s="14">
        <v>2234</v>
      </c>
      <c r="B1235" s="67">
        <v>45237</v>
      </c>
      <c r="C1235" s="15">
        <f t="shared" si="41"/>
        <v>45237</v>
      </c>
      <c r="D1235" s="16"/>
      <c r="E1235" s="71"/>
      <c r="F1235" s="91">
        <v>1.87</v>
      </c>
      <c r="G1235" s="90"/>
      <c r="H1235" s="26">
        <f t="shared" si="42"/>
        <v>1767735.5700000005</v>
      </c>
      <c r="I1235" s="25" t="s">
        <v>264</v>
      </c>
      <c r="J1235" s="22"/>
      <c r="K1235" s="25"/>
      <c r="L1235" s="25"/>
      <c r="M1235" s="22"/>
    </row>
    <row r="1236" spans="1:13">
      <c r="A1236" s="14">
        <v>2235</v>
      </c>
      <c r="B1236" s="67">
        <v>45237</v>
      </c>
      <c r="C1236" s="15">
        <f t="shared" si="41"/>
        <v>45237</v>
      </c>
      <c r="D1236" s="16"/>
      <c r="E1236" s="72"/>
      <c r="F1236" s="91">
        <v>20000</v>
      </c>
      <c r="G1236" s="90"/>
      <c r="H1236" s="26">
        <f t="shared" si="42"/>
        <v>1747735.5700000005</v>
      </c>
      <c r="I1236" s="25" t="s">
        <v>280</v>
      </c>
      <c r="J1236" s="22"/>
      <c r="K1236" s="25"/>
      <c r="L1236" s="25"/>
      <c r="M1236" s="22"/>
    </row>
    <row r="1237" spans="1:13">
      <c r="A1237" s="14">
        <v>2236</v>
      </c>
      <c r="B1237" s="67">
        <v>45237</v>
      </c>
      <c r="C1237" s="15">
        <f t="shared" si="41"/>
        <v>45237</v>
      </c>
      <c r="D1237" s="16"/>
      <c r="E1237" s="71"/>
      <c r="F1237" s="91">
        <v>25</v>
      </c>
      <c r="G1237" s="90"/>
      <c r="H1237" s="26">
        <f t="shared" si="42"/>
        <v>1747710.5700000005</v>
      </c>
      <c r="I1237" s="25" t="s">
        <v>264</v>
      </c>
      <c r="J1237" s="22"/>
      <c r="K1237" s="25"/>
      <c r="L1237" s="25"/>
      <c r="M1237" s="22"/>
    </row>
    <row r="1238" spans="1:13">
      <c r="A1238" s="14">
        <v>2237</v>
      </c>
      <c r="B1238" s="67">
        <v>45237</v>
      </c>
      <c r="C1238" s="15">
        <f t="shared" si="41"/>
        <v>45237</v>
      </c>
      <c r="D1238" s="16"/>
      <c r="E1238" s="72"/>
      <c r="F1238" s="91">
        <v>1.87</v>
      </c>
      <c r="G1238" s="90"/>
      <c r="H1238" s="26">
        <f t="shared" si="42"/>
        <v>1747708.7000000004</v>
      </c>
      <c r="I1238" s="25" t="s">
        <v>264</v>
      </c>
      <c r="J1238" s="22"/>
      <c r="K1238" s="25"/>
      <c r="L1238" s="25"/>
      <c r="M1238" s="22"/>
    </row>
    <row r="1239" spans="1:13">
      <c r="A1239" s="14">
        <v>2238</v>
      </c>
      <c r="B1239" s="67">
        <v>45237</v>
      </c>
      <c r="C1239" s="15">
        <f t="shared" ref="C1239:C1302" si="43">B1239</f>
        <v>45237</v>
      </c>
      <c r="D1239" s="16"/>
      <c r="E1239" s="71"/>
      <c r="F1239" s="91">
        <v>30</v>
      </c>
      <c r="G1239" s="90"/>
      <c r="H1239" s="26">
        <f t="shared" si="42"/>
        <v>1747678.7000000004</v>
      </c>
      <c r="I1239" s="25" t="s">
        <v>264</v>
      </c>
      <c r="J1239" s="22"/>
      <c r="K1239" s="25"/>
      <c r="L1239" s="25"/>
      <c r="M1239" s="22"/>
    </row>
    <row r="1240" spans="1:13">
      <c r="A1240" s="14">
        <v>2239</v>
      </c>
      <c r="B1240" s="67">
        <v>45237</v>
      </c>
      <c r="C1240" s="15">
        <f t="shared" si="43"/>
        <v>45237</v>
      </c>
      <c r="D1240" s="16"/>
      <c r="E1240" s="72"/>
      <c r="F1240" s="91">
        <v>2.25</v>
      </c>
      <c r="G1240" s="95"/>
      <c r="H1240" s="26">
        <f t="shared" si="42"/>
        <v>1747676.4500000004</v>
      </c>
      <c r="I1240" s="25" t="s">
        <v>264</v>
      </c>
      <c r="J1240" s="22"/>
      <c r="K1240" s="25"/>
      <c r="L1240" s="25"/>
      <c r="M1240" s="22"/>
    </row>
    <row r="1241" spans="1:13">
      <c r="A1241" s="14">
        <v>2240</v>
      </c>
      <c r="B1241" s="67">
        <v>45237</v>
      </c>
      <c r="C1241" s="15">
        <f t="shared" si="43"/>
        <v>45237</v>
      </c>
      <c r="D1241" s="16"/>
      <c r="E1241" s="71"/>
      <c r="F1241" s="96">
        <v>144000</v>
      </c>
      <c r="G1241" s="94"/>
      <c r="H1241" s="26">
        <f t="shared" si="42"/>
        <v>1603676.4500000004</v>
      </c>
      <c r="I1241" s="25" t="s">
        <v>285</v>
      </c>
      <c r="J1241" s="22"/>
      <c r="K1241" s="25"/>
      <c r="L1241" s="25"/>
      <c r="M1241" s="22"/>
    </row>
    <row r="1242" spans="1:13">
      <c r="A1242" s="14">
        <v>2241</v>
      </c>
      <c r="B1242" s="67">
        <v>45237</v>
      </c>
      <c r="C1242" s="15">
        <f t="shared" si="43"/>
        <v>45237</v>
      </c>
      <c r="D1242" s="16"/>
      <c r="E1242" s="72"/>
      <c r="F1242" s="91">
        <v>50</v>
      </c>
      <c r="G1242" s="90"/>
      <c r="H1242" s="26">
        <f t="shared" si="42"/>
        <v>1603626.4500000004</v>
      </c>
      <c r="I1242" s="25" t="s">
        <v>264</v>
      </c>
      <c r="J1242" s="22"/>
      <c r="K1242" s="25"/>
      <c r="L1242" s="25"/>
      <c r="M1242" s="22"/>
    </row>
    <row r="1243" spans="1:13">
      <c r="A1243" s="14">
        <v>2242</v>
      </c>
      <c r="B1243" s="67">
        <v>45237</v>
      </c>
      <c r="C1243" s="15">
        <f t="shared" si="43"/>
        <v>45237</v>
      </c>
      <c r="D1243" s="16"/>
      <c r="E1243" s="71"/>
      <c r="F1243" s="91">
        <v>3.75</v>
      </c>
      <c r="G1243" s="90"/>
      <c r="H1243" s="26">
        <f t="shared" si="42"/>
        <v>1603622.7000000004</v>
      </c>
      <c r="I1243" s="25" t="s">
        <v>264</v>
      </c>
      <c r="J1243" s="22"/>
      <c r="K1243" s="25"/>
      <c r="L1243" s="25"/>
      <c r="M1243" s="22"/>
    </row>
    <row r="1244" spans="1:13">
      <c r="A1244" s="14">
        <v>2243</v>
      </c>
      <c r="B1244" s="67">
        <v>45237</v>
      </c>
      <c r="C1244" s="15">
        <f t="shared" si="43"/>
        <v>45237</v>
      </c>
      <c r="D1244" s="16"/>
      <c r="E1244" s="72"/>
      <c r="F1244" s="91">
        <v>50000</v>
      </c>
      <c r="G1244" s="90"/>
      <c r="H1244" s="26">
        <f t="shared" si="42"/>
        <v>1553622.7000000004</v>
      </c>
      <c r="I1244" s="25" t="s">
        <v>310</v>
      </c>
      <c r="J1244" s="22"/>
      <c r="K1244" s="25"/>
      <c r="L1244" s="25"/>
      <c r="M1244" s="22"/>
    </row>
    <row r="1245" spans="1:13">
      <c r="A1245" s="14">
        <v>2244</v>
      </c>
      <c r="B1245" s="67">
        <v>45237</v>
      </c>
      <c r="C1245" s="15">
        <f t="shared" si="43"/>
        <v>45237</v>
      </c>
      <c r="D1245" s="16"/>
      <c r="E1245" s="71"/>
      <c r="F1245" s="91">
        <v>25</v>
      </c>
      <c r="G1245" s="90"/>
      <c r="H1245" s="26">
        <f t="shared" si="42"/>
        <v>1553597.7000000004</v>
      </c>
      <c r="I1245" s="25" t="s">
        <v>264</v>
      </c>
      <c r="J1245" s="22"/>
      <c r="K1245" s="25"/>
      <c r="L1245" s="25"/>
      <c r="M1245" s="22"/>
    </row>
    <row r="1246" spans="1:13">
      <c r="A1246" s="14">
        <v>2245</v>
      </c>
      <c r="B1246" s="67">
        <v>45237</v>
      </c>
      <c r="C1246" s="15">
        <f t="shared" si="43"/>
        <v>45237</v>
      </c>
      <c r="D1246" s="16"/>
      <c r="E1246" s="72"/>
      <c r="F1246" s="91">
        <v>1.87</v>
      </c>
      <c r="G1246" s="90"/>
      <c r="H1246" s="26">
        <f t="shared" si="42"/>
        <v>1553595.8300000003</v>
      </c>
      <c r="I1246" s="25" t="s">
        <v>264</v>
      </c>
      <c r="J1246" s="22"/>
      <c r="K1246" s="25"/>
      <c r="L1246" s="25"/>
      <c r="M1246" s="22"/>
    </row>
    <row r="1247" spans="1:13">
      <c r="A1247" s="14">
        <v>2246</v>
      </c>
      <c r="B1247" s="67">
        <v>45237</v>
      </c>
      <c r="C1247" s="15">
        <f t="shared" si="43"/>
        <v>45237</v>
      </c>
      <c r="D1247" s="16"/>
      <c r="E1247" s="71"/>
      <c r="F1247" s="91">
        <v>75000</v>
      </c>
      <c r="G1247" s="90"/>
      <c r="H1247" s="26">
        <f t="shared" si="42"/>
        <v>1478595.8300000003</v>
      </c>
      <c r="I1247" s="25" t="s">
        <v>292</v>
      </c>
      <c r="J1247" s="22"/>
      <c r="K1247" s="25"/>
      <c r="L1247" s="25"/>
      <c r="M1247" s="22"/>
    </row>
    <row r="1248" spans="1:13">
      <c r="A1248" s="14">
        <v>2247</v>
      </c>
      <c r="B1248" s="67">
        <v>45237</v>
      </c>
      <c r="C1248" s="15">
        <f t="shared" si="43"/>
        <v>45237</v>
      </c>
      <c r="D1248" s="16"/>
      <c r="E1248" s="72"/>
      <c r="F1248" s="91">
        <v>45000</v>
      </c>
      <c r="G1248" s="90"/>
      <c r="H1248" s="26">
        <f t="shared" si="42"/>
        <v>1433595.8300000003</v>
      </c>
      <c r="I1248" s="25" t="s">
        <v>292</v>
      </c>
      <c r="J1248" s="22"/>
      <c r="K1248" s="25"/>
      <c r="L1248" s="25"/>
      <c r="M1248" s="22"/>
    </row>
    <row r="1249" spans="1:13">
      <c r="A1249" s="14">
        <v>2248</v>
      </c>
      <c r="B1249" s="67">
        <v>45237</v>
      </c>
      <c r="C1249" s="15">
        <f t="shared" si="43"/>
        <v>45237</v>
      </c>
      <c r="D1249" s="16"/>
      <c r="E1249" s="71"/>
      <c r="F1249" s="96">
        <v>3500</v>
      </c>
      <c r="G1249" s="94"/>
      <c r="H1249" s="26">
        <f t="shared" si="42"/>
        <v>1430095.8300000003</v>
      </c>
      <c r="I1249" s="25" t="s">
        <v>271</v>
      </c>
      <c r="J1249" s="22"/>
      <c r="K1249" s="25"/>
      <c r="L1249" s="25"/>
      <c r="M1249" s="22"/>
    </row>
    <row r="1250" spans="1:13">
      <c r="A1250" s="14">
        <v>2249</v>
      </c>
      <c r="B1250" s="67">
        <v>45237</v>
      </c>
      <c r="C1250" s="15">
        <f t="shared" si="43"/>
        <v>45237</v>
      </c>
      <c r="D1250" s="16"/>
      <c r="E1250" s="72"/>
      <c r="F1250" s="91">
        <v>10</v>
      </c>
      <c r="G1250" s="90"/>
      <c r="H1250" s="26">
        <f t="shared" si="42"/>
        <v>1430085.8300000003</v>
      </c>
      <c r="I1250" s="25" t="s">
        <v>264</v>
      </c>
      <c r="J1250" s="22"/>
      <c r="K1250" s="25"/>
      <c r="L1250" s="25"/>
      <c r="M1250" s="22"/>
    </row>
    <row r="1251" spans="1:13">
      <c r="A1251" s="14">
        <v>2250</v>
      </c>
      <c r="B1251" s="67">
        <v>45237</v>
      </c>
      <c r="C1251" s="15">
        <f t="shared" si="43"/>
        <v>45237</v>
      </c>
      <c r="D1251" s="16"/>
      <c r="E1251" s="71"/>
      <c r="F1251" s="91">
        <v>0.75</v>
      </c>
      <c r="G1251" s="90"/>
      <c r="H1251" s="26">
        <f t="shared" si="42"/>
        <v>1430085.0800000003</v>
      </c>
      <c r="I1251" s="25" t="s">
        <v>264</v>
      </c>
      <c r="J1251" s="22"/>
      <c r="K1251" s="25"/>
      <c r="L1251" s="25"/>
      <c r="M1251" s="22"/>
    </row>
    <row r="1252" spans="1:13">
      <c r="A1252" s="14">
        <v>2251</v>
      </c>
      <c r="B1252" s="67">
        <v>45238</v>
      </c>
      <c r="C1252" s="15">
        <f t="shared" si="43"/>
        <v>45238</v>
      </c>
      <c r="D1252" s="16"/>
      <c r="E1252" s="72"/>
      <c r="F1252" s="90"/>
      <c r="G1252" s="91">
        <v>1300000</v>
      </c>
      <c r="H1252" s="26">
        <f t="shared" si="42"/>
        <v>2730085.08</v>
      </c>
      <c r="I1252" s="25" t="s">
        <v>300</v>
      </c>
      <c r="J1252" s="22"/>
      <c r="K1252" s="25"/>
      <c r="L1252" s="25"/>
      <c r="M1252" s="22"/>
    </row>
    <row r="1253" spans="1:13">
      <c r="A1253" s="14">
        <v>2252</v>
      </c>
      <c r="B1253" s="67">
        <v>45238</v>
      </c>
      <c r="C1253" s="15">
        <f t="shared" si="43"/>
        <v>45238</v>
      </c>
      <c r="D1253" s="16"/>
      <c r="E1253" s="71"/>
      <c r="F1253" s="91">
        <v>50</v>
      </c>
      <c r="G1253" s="95"/>
      <c r="H1253" s="26">
        <f t="shared" si="42"/>
        <v>2730035.08</v>
      </c>
      <c r="I1253" s="25" t="s">
        <v>264</v>
      </c>
      <c r="J1253" s="22"/>
      <c r="K1253" s="25"/>
      <c r="L1253" s="25"/>
      <c r="M1253" s="22"/>
    </row>
    <row r="1254" spans="1:13">
      <c r="A1254" s="14">
        <v>2253</v>
      </c>
      <c r="B1254" s="67">
        <v>45243</v>
      </c>
      <c r="C1254" s="15">
        <f t="shared" si="43"/>
        <v>45243</v>
      </c>
      <c r="D1254" s="16"/>
      <c r="E1254" s="72"/>
      <c r="F1254" s="91">
        <v>60000</v>
      </c>
      <c r="G1254" s="90"/>
      <c r="H1254" s="26">
        <f t="shared" si="42"/>
        <v>2670035.08</v>
      </c>
      <c r="I1254" s="25" t="s">
        <v>271</v>
      </c>
      <c r="J1254" s="22"/>
      <c r="K1254" s="25"/>
      <c r="L1254" s="25"/>
      <c r="M1254" s="22"/>
    </row>
    <row r="1255" spans="1:13">
      <c r="A1255" s="14">
        <v>2254</v>
      </c>
      <c r="B1255" s="67">
        <v>45243</v>
      </c>
      <c r="C1255" s="15">
        <f t="shared" si="43"/>
        <v>45243</v>
      </c>
      <c r="D1255" s="16"/>
      <c r="E1255" s="71"/>
      <c r="F1255" s="91">
        <v>50</v>
      </c>
      <c r="G1255" s="90"/>
      <c r="H1255" s="26">
        <f t="shared" si="42"/>
        <v>2669985.08</v>
      </c>
      <c r="I1255" s="25" t="s">
        <v>264</v>
      </c>
      <c r="J1255" s="22"/>
      <c r="K1255" s="25"/>
      <c r="L1255" s="25"/>
      <c r="M1255" s="22"/>
    </row>
    <row r="1256" spans="1:13">
      <c r="A1256" s="14">
        <v>2255</v>
      </c>
      <c r="B1256" s="67">
        <v>45243</v>
      </c>
      <c r="C1256" s="15">
        <f t="shared" si="43"/>
        <v>45243</v>
      </c>
      <c r="D1256" s="16"/>
      <c r="E1256" s="72"/>
      <c r="F1256" s="96">
        <v>3.75</v>
      </c>
      <c r="G1256" s="94"/>
      <c r="H1256" s="26">
        <f t="shared" si="42"/>
        <v>2669981.33</v>
      </c>
      <c r="I1256" s="25" t="s">
        <v>264</v>
      </c>
      <c r="J1256" s="22"/>
      <c r="K1256" s="25"/>
      <c r="L1256" s="25"/>
      <c r="M1256" s="22"/>
    </row>
    <row r="1257" spans="1:13">
      <c r="A1257" s="14">
        <v>2256</v>
      </c>
      <c r="B1257" s="67">
        <v>45243</v>
      </c>
      <c r="C1257" s="15">
        <f t="shared" si="43"/>
        <v>45243</v>
      </c>
      <c r="D1257" s="16"/>
      <c r="E1257" s="71"/>
      <c r="F1257" s="91">
        <v>152000</v>
      </c>
      <c r="G1257" s="90"/>
      <c r="H1257" s="26">
        <f t="shared" si="42"/>
        <v>2517981.33</v>
      </c>
      <c r="I1257" s="25" t="s">
        <v>271</v>
      </c>
      <c r="J1257" s="22"/>
      <c r="K1257" s="25"/>
      <c r="L1257" s="25"/>
      <c r="M1257" s="22"/>
    </row>
    <row r="1258" spans="1:13">
      <c r="A1258" s="14">
        <v>2257</v>
      </c>
      <c r="B1258" s="67">
        <v>45243</v>
      </c>
      <c r="C1258" s="15">
        <f t="shared" si="43"/>
        <v>45243</v>
      </c>
      <c r="D1258" s="16"/>
      <c r="E1258" s="72"/>
      <c r="F1258" s="91">
        <v>50</v>
      </c>
      <c r="G1258" s="90"/>
      <c r="H1258" s="26">
        <f t="shared" si="42"/>
        <v>2517931.33</v>
      </c>
      <c r="I1258" s="25" t="s">
        <v>264</v>
      </c>
      <c r="J1258" s="22"/>
      <c r="K1258" s="25"/>
      <c r="L1258" s="25"/>
      <c r="M1258" s="22"/>
    </row>
    <row r="1259" spans="1:13">
      <c r="A1259" s="14">
        <v>2258</v>
      </c>
      <c r="B1259" s="67">
        <v>45243</v>
      </c>
      <c r="C1259" s="15">
        <f t="shared" si="43"/>
        <v>45243</v>
      </c>
      <c r="D1259" s="16"/>
      <c r="E1259" s="71"/>
      <c r="F1259" s="91">
        <v>3.75</v>
      </c>
      <c r="G1259" s="90"/>
      <c r="H1259" s="26">
        <f t="shared" si="42"/>
        <v>2517927.58</v>
      </c>
      <c r="I1259" s="25" t="s">
        <v>264</v>
      </c>
      <c r="J1259" s="22"/>
      <c r="K1259" s="25"/>
      <c r="L1259" s="25"/>
      <c r="M1259" s="22"/>
    </row>
    <row r="1260" spans="1:13">
      <c r="A1260" s="14">
        <v>2259</v>
      </c>
      <c r="B1260" s="67">
        <v>45243</v>
      </c>
      <c r="C1260" s="15">
        <f t="shared" si="43"/>
        <v>45243</v>
      </c>
      <c r="D1260" s="16"/>
      <c r="E1260" s="72"/>
      <c r="F1260" s="91">
        <v>30000</v>
      </c>
      <c r="G1260" s="90"/>
      <c r="H1260" s="26">
        <f t="shared" ref="H1260:H1323" si="44">IFERROR(H1259-F1260+G1260,"")</f>
        <v>2487927.58</v>
      </c>
      <c r="I1260" s="25" t="s">
        <v>271</v>
      </c>
      <c r="J1260" s="22"/>
      <c r="K1260" s="25"/>
      <c r="L1260" s="25"/>
      <c r="M1260" s="22"/>
    </row>
    <row r="1261" spans="1:13">
      <c r="A1261" s="14">
        <v>2260</v>
      </c>
      <c r="B1261" s="67">
        <v>45243</v>
      </c>
      <c r="C1261" s="15">
        <f t="shared" si="43"/>
        <v>45243</v>
      </c>
      <c r="D1261" s="16"/>
      <c r="E1261" s="71"/>
      <c r="F1261" s="91">
        <v>25</v>
      </c>
      <c r="G1261" s="90"/>
      <c r="H1261" s="26">
        <f t="shared" si="44"/>
        <v>2487902.58</v>
      </c>
      <c r="I1261" s="25" t="s">
        <v>264</v>
      </c>
      <c r="J1261" s="22"/>
      <c r="K1261" s="25"/>
      <c r="L1261" s="25"/>
      <c r="M1261" s="22"/>
    </row>
    <row r="1262" spans="1:13">
      <c r="A1262" s="14">
        <v>2261</v>
      </c>
      <c r="B1262" s="67">
        <v>45243</v>
      </c>
      <c r="C1262" s="15">
        <f t="shared" si="43"/>
        <v>45243</v>
      </c>
      <c r="D1262" s="16"/>
      <c r="E1262" s="72"/>
      <c r="F1262" s="91">
        <v>1.87</v>
      </c>
      <c r="G1262" s="95"/>
      <c r="H1262" s="26">
        <f t="shared" si="44"/>
        <v>2487900.71</v>
      </c>
      <c r="I1262" s="25" t="s">
        <v>264</v>
      </c>
      <c r="J1262" s="22"/>
      <c r="K1262" s="25"/>
      <c r="L1262" s="25"/>
      <c r="M1262" s="22"/>
    </row>
    <row r="1263" spans="1:13">
      <c r="A1263" s="14">
        <v>2262</v>
      </c>
      <c r="B1263" s="67">
        <v>45245</v>
      </c>
      <c r="C1263" s="15">
        <f t="shared" si="43"/>
        <v>45245</v>
      </c>
      <c r="D1263" s="16"/>
      <c r="E1263" s="71"/>
      <c r="F1263" s="96">
        <v>144000</v>
      </c>
      <c r="G1263" s="94"/>
      <c r="H1263" s="26">
        <f t="shared" si="44"/>
        <v>2343900.71</v>
      </c>
      <c r="I1263" s="25" t="s">
        <v>285</v>
      </c>
      <c r="J1263" s="22"/>
      <c r="K1263" s="25"/>
      <c r="L1263" s="25"/>
      <c r="M1263" s="22"/>
    </row>
    <row r="1264" spans="1:13">
      <c r="A1264" s="14">
        <v>2263</v>
      </c>
      <c r="B1264" s="67">
        <v>45245</v>
      </c>
      <c r="C1264" s="15">
        <f t="shared" si="43"/>
        <v>45245</v>
      </c>
      <c r="D1264" s="16"/>
      <c r="E1264" s="72"/>
      <c r="F1264" s="91">
        <v>50</v>
      </c>
      <c r="G1264" s="90"/>
      <c r="H1264" s="26">
        <f t="shared" si="44"/>
        <v>2343850.71</v>
      </c>
      <c r="I1264" s="25" t="s">
        <v>264</v>
      </c>
      <c r="J1264" s="22"/>
      <c r="K1264" s="25"/>
      <c r="L1264" s="25"/>
      <c r="M1264" s="22"/>
    </row>
    <row r="1265" spans="1:13">
      <c r="A1265" s="14">
        <v>2264</v>
      </c>
      <c r="B1265" s="67">
        <v>45245</v>
      </c>
      <c r="C1265" s="15">
        <f t="shared" si="43"/>
        <v>45245</v>
      </c>
      <c r="D1265" s="16"/>
      <c r="E1265" s="71"/>
      <c r="F1265" s="91">
        <v>3.75</v>
      </c>
      <c r="G1265" s="90"/>
      <c r="H1265" s="26">
        <f t="shared" si="44"/>
        <v>2343846.96</v>
      </c>
      <c r="I1265" s="25" t="s">
        <v>264</v>
      </c>
      <c r="J1265" s="22"/>
      <c r="K1265" s="25"/>
      <c r="L1265" s="25"/>
      <c r="M1265" s="22"/>
    </row>
    <row r="1266" spans="1:13">
      <c r="A1266" s="14">
        <v>2265</v>
      </c>
      <c r="B1266" s="67">
        <v>45245</v>
      </c>
      <c r="C1266" s="15">
        <f t="shared" si="43"/>
        <v>45245</v>
      </c>
      <c r="D1266" s="16"/>
      <c r="E1266" s="72"/>
      <c r="F1266" s="91">
        <v>150400</v>
      </c>
      <c r="G1266" s="90"/>
      <c r="H1266" s="26">
        <f t="shared" si="44"/>
        <v>2193446.96</v>
      </c>
      <c r="I1266" s="25" t="s">
        <v>275</v>
      </c>
      <c r="J1266" s="22"/>
      <c r="K1266" s="25"/>
      <c r="L1266" s="25"/>
      <c r="M1266" s="22"/>
    </row>
    <row r="1267" spans="1:13">
      <c r="A1267" s="14">
        <v>2266</v>
      </c>
      <c r="B1267" s="67">
        <v>45245</v>
      </c>
      <c r="C1267" s="15">
        <f t="shared" si="43"/>
        <v>45245</v>
      </c>
      <c r="D1267" s="16"/>
      <c r="E1267" s="71"/>
      <c r="F1267" s="91">
        <v>50</v>
      </c>
      <c r="G1267" s="90"/>
      <c r="H1267" s="26">
        <f t="shared" si="44"/>
        <v>2193396.96</v>
      </c>
      <c r="I1267" s="25" t="s">
        <v>264</v>
      </c>
      <c r="J1267" s="22"/>
      <c r="K1267" s="25"/>
      <c r="L1267" s="25"/>
      <c r="M1267" s="22"/>
    </row>
    <row r="1268" spans="1:13">
      <c r="A1268" s="14">
        <v>2267</v>
      </c>
      <c r="B1268" s="67">
        <v>45245</v>
      </c>
      <c r="C1268" s="15">
        <f t="shared" si="43"/>
        <v>45245</v>
      </c>
      <c r="D1268" s="16"/>
      <c r="E1268" s="72"/>
      <c r="F1268" s="91">
        <v>3.75</v>
      </c>
      <c r="G1268" s="90"/>
      <c r="H1268" s="26">
        <f t="shared" si="44"/>
        <v>2193393.21</v>
      </c>
      <c r="I1268" s="25" t="s">
        <v>264</v>
      </c>
      <c r="J1268" s="22"/>
      <c r="K1268" s="25"/>
      <c r="L1268" s="25"/>
      <c r="M1268" s="22"/>
    </row>
    <row r="1269" spans="1:13">
      <c r="A1269" s="14">
        <v>2268</v>
      </c>
      <c r="B1269" s="67">
        <v>45245</v>
      </c>
      <c r="C1269" s="15">
        <f t="shared" si="43"/>
        <v>45245</v>
      </c>
      <c r="D1269" s="16"/>
      <c r="E1269" s="71"/>
      <c r="F1269" s="96">
        <v>48000</v>
      </c>
      <c r="G1269" s="94"/>
      <c r="H1269" s="26">
        <f t="shared" si="44"/>
        <v>2145393.21</v>
      </c>
      <c r="I1269" s="25" t="s">
        <v>285</v>
      </c>
      <c r="J1269" s="22"/>
      <c r="K1269" s="25"/>
      <c r="L1269" s="25"/>
      <c r="M1269" s="22"/>
    </row>
    <row r="1270" spans="1:13">
      <c r="A1270" s="14">
        <v>2269</v>
      </c>
      <c r="B1270" s="67">
        <v>45245</v>
      </c>
      <c r="C1270" s="15">
        <f t="shared" si="43"/>
        <v>45245</v>
      </c>
      <c r="D1270" s="16"/>
      <c r="E1270" s="72"/>
      <c r="F1270" s="91">
        <v>25</v>
      </c>
      <c r="G1270" s="90"/>
      <c r="H1270" s="26">
        <f t="shared" si="44"/>
        <v>2145368.21</v>
      </c>
      <c r="I1270" s="25" t="s">
        <v>264</v>
      </c>
      <c r="J1270" s="22"/>
      <c r="K1270" s="25"/>
      <c r="L1270" s="25"/>
      <c r="M1270" s="22"/>
    </row>
    <row r="1271" spans="1:13">
      <c r="A1271" s="14">
        <v>2270</v>
      </c>
      <c r="B1271" s="67">
        <v>45245</v>
      </c>
      <c r="C1271" s="15">
        <f t="shared" si="43"/>
        <v>45245</v>
      </c>
      <c r="D1271" s="16"/>
      <c r="E1271" s="71"/>
      <c r="F1271" s="91">
        <v>1.87</v>
      </c>
      <c r="G1271" s="90"/>
      <c r="H1271" s="26">
        <f t="shared" si="44"/>
        <v>2145366.34</v>
      </c>
      <c r="I1271" s="25" t="s">
        <v>264</v>
      </c>
      <c r="J1271" s="22"/>
      <c r="K1271" s="25"/>
      <c r="L1271" s="25"/>
      <c r="M1271" s="22"/>
    </row>
    <row r="1272" spans="1:13">
      <c r="A1272" s="14">
        <v>2271</v>
      </c>
      <c r="B1272" s="67">
        <v>45245</v>
      </c>
      <c r="C1272" s="15">
        <f t="shared" si="43"/>
        <v>45245</v>
      </c>
      <c r="D1272" s="16"/>
      <c r="E1272" s="72"/>
      <c r="F1272" s="91">
        <v>50000</v>
      </c>
      <c r="G1272" s="90"/>
      <c r="H1272" s="26">
        <f t="shared" si="44"/>
        <v>2095366.3399999999</v>
      </c>
      <c r="I1272" s="25" t="s">
        <v>310</v>
      </c>
      <c r="J1272" s="22"/>
      <c r="K1272" s="25"/>
      <c r="L1272" s="25"/>
      <c r="M1272" s="22"/>
    </row>
    <row r="1273" spans="1:13">
      <c r="A1273" s="14">
        <v>2272</v>
      </c>
      <c r="B1273" s="67">
        <v>45245</v>
      </c>
      <c r="C1273" s="15">
        <f t="shared" si="43"/>
        <v>45245</v>
      </c>
      <c r="D1273" s="16"/>
      <c r="E1273" s="71"/>
      <c r="F1273" s="91">
        <v>25</v>
      </c>
      <c r="G1273" s="90"/>
      <c r="H1273" s="26">
        <f t="shared" si="44"/>
        <v>2095341.3399999999</v>
      </c>
      <c r="I1273" s="25" t="s">
        <v>264</v>
      </c>
      <c r="J1273" s="22"/>
      <c r="K1273" s="25"/>
      <c r="L1273" s="25"/>
      <c r="M1273" s="22"/>
    </row>
    <row r="1274" spans="1:13">
      <c r="A1274" s="14">
        <v>2273</v>
      </c>
      <c r="B1274" s="67">
        <v>45245</v>
      </c>
      <c r="C1274" s="15">
        <f t="shared" si="43"/>
        <v>45245</v>
      </c>
      <c r="D1274" s="16"/>
      <c r="E1274" s="72"/>
      <c r="F1274" s="91">
        <v>1.87</v>
      </c>
      <c r="G1274" s="90"/>
      <c r="H1274" s="26">
        <f t="shared" si="44"/>
        <v>2095339.4699999997</v>
      </c>
      <c r="I1274" s="25" t="s">
        <v>264</v>
      </c>
      <c r="J1274" s="22"/>
      <c r="K1274" s="25"/>
      <c r="L1274" s="25"/>
      <c r="M1274" s="22"/>
    </row>
    <row r="1275" spans="1:13">
      <c r="A1275" s="14">
        <v>2274</v>
      </c>
      <c r="B1275" s="67">
        <v>45245</v>
      </c>
      <c r="C1275" s="15">
        <f t="shared" si="43"/>
        <v>45245</v>
      </c>
      <c r="D1275" s="16"/>
      <c r="E1275" s="71"/>
      <c r="F1275" s="91">
        <v>27000</v>
      </c>
      <c r="G1275" s="90"/>
      <c r="H1275" s="26">
        <f t="shared" si="44"/>
        <v>2068339.4699999997</v>
      </c>
      <c r="I1275" s="25" t="s">
        <v>286</v>
      </c>
      <c r="J1275" s="22"/>
      <c r="K1275" s="25"/>
      <c r="L1275" s="25"/>
      <c r="M1275" s="22"/>
    </row>
    <row r="1276" spans="1:13">
      <c r="A1276" s="14">
        <v>2275</v>
      </c>
      <c r="B1276" s="67">
        <v>45245</v>
      </c>
      <c r="C1276" s="15">
        <f t="shared" si="43"/>
        <v>45245</v>
      </c>
      <c r="D1276" s="16"/>
      <c r="E1276" s="72"/>
      <c r="F1276" s="91">
        <v>25</v>
      </c>
      <c r="G1276" s="90"/>
      <c r="H1276" s="26">
        <f t="shared" si="44"/>
        <v>2068314.4699999997</v>
      </c>
      <c r="I1276" s="25" t="s">
        <v>264</v>
      </c>
      <c r="J1276" s="22"/>
      <c r="K1276" s="25"/>
      <c r="L1276" s="25"/>
      <c r="M1276" s="22"/>
    </row>
    <row r="1277" spans="1:13">
      <c r="A1277" s="14">
        <v>2276</v>
      </c>
      <c r="B1277" s="67">
        <v>45245</v>
      </c>
      <c r="C1277" s="15">
        <f t="shared" si="43"/>
        <v>45245</v>
      </c>
      <c r="D1277" s="16"/>
      <c r="E1277" s="71"/>
      <c r="F1277" s="91">
        <v>1.87</v>
      </c>
      <c r="G1277" s="90"/>
      <c r="H1277" s="26">
        <f t="shared" si="44"/>
        <v>2068312.5999999996</v>
      </c>
      <c r="I1277" s="25" t="s">
        <v>264</v>
      </c>
      <c r="J1277" s="22"/>
      <c r="K1277" s="25"/>
      <c r="L1277" s="25"/>
      <c r="M1277" s="22"/>
    </row>
    <row r="1278" spans="1:13">
      <c r="A1278" s="14">
        <v>2277</v>
      </c>
      <c r="B1278" s="67">
        <v>45245</v>
      </c>
      <c r="C1278" s="15">
        <f t="shared" si="43"/>
        <v>45245</v>
      </c>
      <c r="D1278" s="16"/>
      <c r="E1278" s="72"/>
      <c r="F1278" s="91">
        <v>38100</v>
      </c>
      <c r="G1278" s="90"/>
      <c r="H1278" s="26">
        <f t="shared" si="44"/>
        <v>2030212.5999999996</v>
      </c>
      <c r="I1278" s="25" t="s">
        <v>295</v>
      </c>
      <c r="J1278" s="22"/>
      <c r="K1278" s="25"/>
      <c r="L1278" s="25"/>
      <c r="M1278" s="22"/>
    </row>
    <row r="1279" spans="1:13">
      <c r="A1279" s="14">
        <v>2278</v>
      </c>
      <c r="B1279" s="67">
        <v>45245</v>
      </c>
      <c r="C1279" s="15">
        <f t="shared" si="43"/>
        <v>45245</v>
      </c>
      <c r="D1279" s="16"/>
      <c r="E1279" s="71"/>
      <c r="F1279" s="91">
        <v>25</v>
      </c>
      <c r="G1279" s="90"/>
      <c r="H1279" s="26">
        <f t="shared" si="44"/>
        <v>2030187.5999999996</v>
      </c>
      <c r="I1279" s="25" t="s">
        <v>264</v>
      </c>
      <c r="J1279" s="22"/>
      <c r="K1279" s="25"/>
      <c r="L1279" s="25"/>
      <c r="M1279" s="22"/>
    </row>
    <row r="1280" spans="1:13">
      <c r="A1280" s="14">
        <v>2279</v>
      </c>
      <c r="B1280" s="67">
        <v>45245</v>
      </c>
      <c r="C1280" s="15">
        <f t="shared" si="43"/>
        <v>45245</v>
      </c>
      <c r="D1280" s="16"/>
      <c r="E1280" s="72"/>
      <c r="F1280" s="91">
        <v>1.87</v>
      </c>
      <c r="G1280" s="90"/>
      <c r="H1280" s="26">
        <f t="shared" si="44"/>
        <v>2030185.7299999995</v>
      </c>
      <c r="I1280" s="25" t="s">
        <v>264</v>
      </c>
      <c r="J1280" s="22"/>
      <c r="K1280" s="25"/>
      <c r="L1280" s="25"/>
      <c r="M1280" s="22"/>
    </row>
    <row r="1281" spans="1:13">
      <c r="A1281" s="14">
        <v>2280</v>
      </c>
      <c r="B1281" s="67">
        <v>45245</v>
      </c>
      <c r="C1281" s="15">
        <f t="shared" si="43"/>
        <v>45245</v>
      </c>
      <c r="D1281" s="16"/>
      <c r="E1281" s="71"/>
      <c r="F1281" s="91">
        <v>7970</v>
      </c>
      <c r="G1281" s="90"/>
      <c r="H1281" s="26">
        <f t="shared" si="44"/>
        <v>2022215.7299999995</v>
      </c>
      <c r="I1281" s="25" t="s">
        <v>318</v>
      </c>
      <c r="J1281" s="22"/>
      <c r="K1281" s="25"/>
      <c r="L1281" s="25"/>
      <c r="M1281" s="22"/>
    </row>
    <row r="1282" spans="1:13">
      <c r="A1282" s="14">
        <v>2281</v>
      </c>
      <c r="B1282" s="67">
        <v>45245</v>
      </c>
      <c r="C1282" s="15">
        <f t="shared" si="43"/>
        <v>45245</v>
      </c>
      <c r="D1282" s="16"/>
      <c r="E1282" s="72"/>
      <c r="F1282" s="91">
        <v>25</v>
      </c>
      <c r="G1282" s="90"/>
      <c r="H1282" s="26">
        <f t="shared" si="44"/>
        <v>2022190.7299999995</v>
      </c>
      <c r="I1282" s="25" t="s">
        <v>264</v>
      </c>
      <c r="J1282" s="22"/>
      <c r="K1282" s="25"/>
      <c r="L1282" s="25"/>
      <c r="M1282" s="22"/>
    </row>
    <row r="1283" spans="1:13">
      <c r="A1283" s="14">
        <v>2282</v>
      </c>
      <c r="B1283" s="67">
        <v>45245</v>
      </c>
      <c r="C1283" s="15">
        <f t="shared" si="43"/>
        <v>45245</v>
      </c>
      <c r="D1283" s="16"/>
      <c r="E1283" s="71"/>
      <c r="F1283" s="91">
        <v>1.87</v>
      </c>
      <c r="G1283" s="90"/>
      <c r="H1283" s="26">
        <f t="shared" si="44"/>
        <v>2022188.8599999994</v>
      </c>
      <c r="I1283" s="25" t="s">
        <v>264</v>
      </c>
      <c r="J1283" s="22"/>
      <c r="K1283" s="25"/>
      <c r="L1283" s="25"/>
      <c r="M1283" s="22"/>
    </row>
    <row r="1284" spans="1:13">
      <c r="A1284" s="14">
        <v>2283</v>
      </c>
      <c r="B1284" s="67">
        <v>45245</v>
      </c>
      <c r="C1284" s="15">
        <f t="shared" si="43"/>
        <v>45245</v>
      </c>
      <c r="D1284" s="16"/>
      <c r="E1284" s="72"/>
      <c r="F1284" s="91">
        <v>3500</v>
      </c>
      <c r="G1284" s="90"/>
      <c r="H1284" s="26">
        <f t="shared" si="44"/>
        <v>2018688.8599999994</v>
      </c>
      <c r="I1284" s="25" t="s">
        <v>295</v>
      </c>
      <c r="J1284" s="22"/>
      <c r="K1284" s="25"/>
      <c r="L1284" s="25"/>
      <c r="M1284" s="22"/>
    </row>
    <row r="1285" spans="1:13">
      <c r="A1285" s="14">
        <v>2284</v>
      </c>
      <c r="B1285" s="67">
        <v>45253</v>
      </c>
      <c r="C1285" s="15">
        <f t="shared" si="43"/>
        <v>45253</v>
      </c>
      <c r="D1285" s="16"/>
      <c r="E1285" s="71"/>
      <c r="F1285" s="91">
        <v>15600</v>
      </c>
      <c r="G1285" s="90"/>
      <c r="H1285" s="26">
        <f t="shared" si="44"/>
        <v>2003088.8599999994</v>
      </c>
      <c r="I1285" s="25" t="s">
        <v>285</v>
      </c>
      <c r="J1285" s="22"/>
      <c r="K1285" s="25"/>
      <c r="L1285" s="25"/>
      <c r="M1285" s="22"/>
    </row>
    <row r="1286" spans="1:13">
      <c r="A1286" s="14">
        <v>2285</v>
      </c>
      <c r="B1286" s="67">
        <v>45253</v>
      </c>
      <c r="C1286" s="15">
        <f t="shared" si="43"/>
        <v>45253</v>
      </c>
      <c r="D1286" s="16"/>
      <c r="E1286" s="72"/>
      <c r="F1286" s="91">
        <v>2560</v>
      </c>
      <c r="G1286" s="90"/>
      <c r="H1286" s="26">
        <f t="shared" si="44"/>
        <v>2000528.8599999994</v>
      </c>
      <c r="I1286" s="25" t="s">
        <v>292</v>
      </c>
      <c r="J1286" s="22"/>
      <c r="K1286" s="25"/>
      <c r="L1286" s="25"/>
      <c r="M1286" s="22"/>
    </row>
    <row r="1287" spans="1:13">
      <c r="A1287" s="14">
        <v>2286</v>
      </c>
      <c r="B1287" s="67">
        <v>45253</v>
      </c>
      <c r="C1287" s="15">
        <f t="shared" si="43"/>
        <v>45253</v>
      </c>
      <c r="D1287" s="16"/>
      <c r="E1287" s="71"/>
      <c r="F1287" s="91">
        <v>50000</v>
      </c>
      <c r="G1287" s="90"/>
      <c r="H1287" s="26">
        <f t="shared" si="44"/>
        <v>1950528.8599999994</v>
      </c>
      <c r="I1287" s="25" t="s">
        <v>276</v>
      </c>
      <c r="J1287" s="22"/>
      <c r="K1287" s="25"/>
      <c r="L1287" s="25"/>
      <c r="M1287" s="22"/>
    </row>
    <row r="1288" spans="1:13">
      <c r="A1288" s="14">
        <v>2287</v>
      </c>
      <c r="B1288" s="67">
        <v>45253</v>
      </c>
      <c r="C1288" s="15">
        <f t="shared" si="43"/>
        <v>45253</v>
      </c>
      <c r="D1288" s="16"/>
      <c r="E1288" s="72"/>
      <c r="F1288" s="91">
        <v>50</v>
      </c>
      <c r="G1288" s="90"/>
      <c r="H1288" s="26">
        <f t="shared" si="44"/>
        <v>1950478.8599999994</v>
      </c>
      <c r="I1288" s="25" t="s">
        <v>264</v>
      </c>
      <c r="J1288" s="22"/>
      <c r="K1288" s="25"/>
      <c r="L1288" s="25"/>
      <c r="M1288" s="22"/>
    </row>
    <row r="1289" spans="1:13">
      <c r="A1289" s="14">
        <v>2288</v>
      </c>
      <c r="B1289" s="67">
        <v>45253</v>
      </c>
      <c r="C1289" s="15">
        <f t="shared" si="43"/>
        <v>45253</v>
      </c>
      <c r="D1289" s="16"/>
      <c r="E1289" s="71"/>
      <c r="F1289" s="91">
        <v>50000</v>
      </c>
      <c r="G1289" s="95"/>
      <c r="H1289" s="26">
        <f t="shared" si="44"/>
        <v>1900478.8599999994</v>
      </c>
      <c r="I1289" s="25" t="s">
        <v>276</v>
      </c>
      <c r="J1289" s="22"/>
      <c r="K1289" s="25"/>
      <c r="L1289" s="25"/>
      <c r="M1289" s="22"/>
    </row>
    <row r="1290" spans="1:13">
      <c r="A1290" s="14">
        <v>2289</v>
      </c>
      <c r="B1290" s="67">
        <v>45253</v>
      </c>
      <c r="C1290" s="15">
        <f t="shared" si="43"/>
        <v>45253</v>
      </c>
      <c r="D1290" s="16"/>
      <c r="E1290" s="72"/>
      <c r="F1290" s="96">
        <v>50</v>
      </c>
      <c r="G1290" s="94"/>
      <c r="H1290" s="26">
        <f t="shared" si="44"/>
        <v>1900428.8599999994</v>
      </c>
      <c r="I1290" s="25" t="s">
        <v>264</v>
      </c>
      <c r="J1290" s="22"/>
      <c r="K1290" s="25"/>
      <c r="L1290" s="25"/>
      <c r="M1290" s="22"/>
    </row>
    <row r="1291" spans="1:13">
      <c r="A1291" s="14">
        <v>2290</v>
      </c>
      <c r="B1291" s="67">
        <v>45253</v>
      </c>
      <c r="C1291" s="15">
        <f t="shared" si="43"/>
        <v>45253</v>
      </c>
      <c r="D1291" s="16"/>
      <c r="E1291" s="71"/>
      <c r="F1291" s="91">
        <v>1200000</v>
      </c>
      <c r="G1291" s="90"/>
      <c r="H1291" s="26">
        <f t="shared" si="44"/>
        <v>700428.8599999994</v>
      </c>
      <c r="I1291" s="25" t="s">
        <v>276</v>
      </c>
      <c r="J1291" s="22"/>
      <c r="K1291" s="25"/>
      <c r="L1291" s="25"/>
      <c r="M1291" s="22"/>
    </row>
    <row r="1292" spans="1:13">
      <c r="A1292" s="14">
        <v>2291</v>
      </c>
      <c r="B1292" s="67">
        <v>45253</v>
      </c>
      <c r="C1292" s="15">
        <f t="shared" si="43"/>
        <v>45253</v>
      </c>
      <c r="D1292" s="16"/>
      <c r="E1292" s="72"/>
      <c r="F1292" s="91">
        <v>50</v>
      </c>
      <c r="G1292" s="90"/>
      <c r="H1292" s="26">
        <f t="shared" si="44"/>
        <v>700378.8599999994</v>
      </c>
      <c r="I1292" s="25" t="s">
        <v>264</v>
      </c>
      <c r="J1292" s="22"/>
      <c r="K1292" s="25"/>
      <c r="L1292" s="25"/>
      <c r="M1292" s="22"/>
    </row>
    <row r="1293" spans="1:13">
      <c r="A1293" s="14">
        <v>2292</v>
      </c>
      <c r="B1293" s="67">
        <v>45253</v>
      </c>
      <c r="C1293" s="15">
        <f t="shared" si="43"/>
        <v>45253</v>
      </c>
      <c r="D1293" s="16"/>
      <c r="E1293" s="71"/>
      <c r="F1293" s="91">
        <v>219220.15</v>
      </c>
      <c r="G1293" s="90"/>
      <c r="H1293" s="26">
        <f t="shared" si="44"/>
        <v>481158.70999999938</v>
      </c>
      <c r="I1293" s="25" t="s">
        <v>312</v>
      </c>
      <c r="J1293" s="22"/>
      <c r="K1293" s="25"/>
      <c r="L1293" s="25"/>
      <c r="M1293" s="22"/>
    </row>
    <row r="1294" spans="1:13">
      <c r="A1294" s="14">
        <v>2293</v>
      </c>
      <c r="B1294" s="67">
        <v>45253</v>
      </c>
      <c r="C1294" s="15">
        <f t="shared" si="43"/>
        <v>45253</v>
      </c>
      <c r="D1294" s="16"/>
      <c r="E1294" s="72"/>
      <c r="F1294" s="91">
        <v>100</v>
      </c>
      <c r="G1294" s="90"/>
      <c r="H1294" s="26">
        <f t="shared" si="44"/>
        <v>481058.70999999938</v>
      </c>
      <c r="I1294" s="25" t="s">
        <v>264</v>
      </c>
      <c r="J1294" s="22"/>
      <c r="K1294" s="25"/>
      <c r="L1294" s="25"/>
      <c r="M1294" s="22"/>
    </row>
    <row r="1295" spans="1:13">
      <c r="A1295" s="14">
        <v>2294</v>
      </c>
      <c r="B1295" s="67">
        <v>45253</v>
      </c>
      <c r="C1295" s="15">
        <f t="shared" si="43"/>
        <v>45253</v>
      </c>
      <c r="D1295" s="16"/>
      <c r="E1295" s="71"/>
      <c r="F1295" s="90"/>
      <c r="G1295" s="91">
        <v>219220.15</v>
      </c>
      <c r="H1295" s="26">
        <f t="shared" si="44"/>
        <v>700278.8599999994</v>
      </c>
      <c r="I1295" s="25" t="s">
        <v>300</v>
      </c>
      <c r="J1295" s="22"/>
      <c r="K1295" s="25"/>
      <c r="L1295" s="25"/>
      <c r="M1295" s="22"/>
    </row>
    <row r="1296" spans="1:13">
      <c r="A1296" s="14">
        <v>2295</v>
      </c>
      <c r="B1296" s="67">
        <v>45253</v>
      </c>
      <c r="C1296" s="15">
        <f t="shared" si="43"/>
        <v>45253</v>
      </c>
      <c r="D1296" s="16"/>
      <c r="E1296" s="72"/>
      <c r="F1296" s="91">
        <v>50</v>
      </c>
      <c r="G1296" s="95"/>
      <c r="H1296" s="26">
        <f t="shared" si="44"/>
        <v>700228.8599999994</v>
      </c>
      <c r="I1296" s="25" t="s">
        <v>264</v>
      </c>
      <c r="J1296" s="22"/>
      <c r="K1296" s="25"/>
      <c r="L1296" s="25"/>
      <c r="M1296" s="22"/>
    </row>
    <row r="1297" spans="1:13">
      <c r="A1297" s="14">
        <v>2296</v>
      </c>
      <c r="B1297" s="67">
        <v>45257</v>
      </c>
      <c r="C1297" s="15">
        <f t="shared" si="43"/>
        <v>45257</v>
      </c>
      <c r="D1297" s="16"/>
      <c r="E1297" s="71"/>
      <c r="F1297" s="91">
        <v>120000</v>
      </c>
      <c r="G1297" s="90"/>
      <c r="H1297" s="26">
        <f t="shared" si="44"/>
        <v>580228.8599999994</v>
      </c>
      <c r="I1297" s="25" t="s">
        <v>285</v>
      </c>
      <c r="J1297" s="22"/>
      <c r="K1297" s="25"/>
      <c r="L1297" s="25"/>
      <c r="M1297" s="22"/>
    </row>
    <row r="1298" spans="1:13">
      <c r="A1298" s="14">
        <v>2297</v>
      </c>
      <c r="B1298" s="67">
        <v>45257</v>
      </c>
      <c r="C1298" s="15">
        <f t="shared" si="43"/>
        <v>45257</v>
      </c>
      <c r="D1298" s="16"/>
      <c r="E1298" s="72"/>
      <c r="F1298" s="91">
        <v>50</v>
      </c>
      <c r="G1298" s="90"/>
      <c r="H1298" s="26">
        <f t="shared" si="44"/>
        <v>580178.8599999994</v>
      </c>
      <c r="I1298" s="25" t="s">
        <v>264</v>
      </c>
      <c r="J1298" s="22"/>
      <c r="K1298" s="25"/>
      <c r="L1298" s="25"/>
      <c r="M1298" s="22"/>
    </row>
    <row r="1299" spans="1:13">
      <c r="A1299" s="14">
        <v>2298</v>
      </c>
      <c r="B1299" s="67">
        <v>45257</v>
      </c>
      <c r="C1299" s="15">
        <f t="shared" si="43"/>
        <v>45257</v>
      </c>
      <c r="D1299" s="16"/>
      <c r="E1299" s="71"/>
      <c r="F1299" s="91">
        <v>3.75</v>
      </c>
      <c r="G1299" s="90"/>
      <c r="H1299" s="26">
        <f t="shared" si="44"/>
        <v>580175.1099999994</v>
      </c>
      <c r="I1299" s="25" t="s">
        <v>264</v>
      </c>
      <c r="J1299" s="22"/>
      <c r="K1299" s="25"/>
      <c r="L1299" s="25"/>
      <c r="M1299" s="22"/>
    </row>
    <row r="1300" spans="1:13">
      <c r="A1300" s="14">
        <v>2299</v>
      </c>
      <c r="B1300" s="67">
        <v>45257</v>
      </c>
      <c r="C1300" s="15">
        <f t="shared" si="43"/>
        <v>45257</v>
      </c>
      <c r="D1300" s="16"/>
      <c r="E1300" s="72"/>
      <c r="F1300" s="91">
        <v>50000</v>
      </c>
      <c r="G1300" s="90"/>
      <c r="H1300" s="26">
        <f t="shared" si="44"/>
        <v>530175.1099999994</v>
      </c>
      <c r="I1300" s="25" t="s">
        <v>289</v>
      </c>
      <c r="J1300" s="22"/>
      <c r="K1300" s="25"/>
      <c r="L1300" s="25"/>
      <c r="M1300" s="22"/>
    </row>
    <row r="1301" spans="1:13">
      <c r="A1301" s="14">
        <v>2300</v>
      </c>
      <c r="B1301" s="67">
        <v>45257</v>
      </c>
      <c r="C1301" s="15">
        <f t="shared" si="43"/>
        <v>45257</v>
      </c>
      <c r="D1301" s="16"/>
      <c r="E1301" s="71"/>
      <c r="F1301" s="91">
        <v>25</v>
      </c>
      <c r="G1301" s="90"/>
      <c r="H1301" s="26">
        <f t="shared" si="44"/>
        <v>530150.1099999994</v>
      </c>
      <c r="I1301" s="25" t="s">
        <v>264</v>
      </c>
      <c r="J1301" s="22"/>
      <c r="K1301" s="25"/>
      <c r="L1301" s="25"/>
      <c r="M1301" s="22"/>
    </row>
    <row r="1302" spans="1:13">
      <c r="A1302" s="14">
        <v>2301</v>
      </c>
      <c r="B1302" s="67">
        <v>45257</v>
      </c>
      <c r="C1302" s="15">
        <f t="shared" si="43"/>
        <v>45257</v>
      </c>
      <c r="D1302" s="16"/>
      <c r="E1302" s="72"/>
      <c r="F1302" s="91">
        <v>1.87</v>
      </c>
      <c r="G1302" s="90"/>
      <c r="H1302" s="26">
        <f t="shared" si="44"/>
        <v>530148.23999999941</v>
      </c>
      <c r="I1302" s="25" t="s">
        <v>264</v>
      </c>
      <c r="J1302" s="22"/>
      <c r="K1302" s="25"/>
      <c r="L1302" s="25"/>
      <c r="M1302" s="22"/>
    </row>
    <row r="1303" spans="1:13">
      <c r="A1303" s="14">
        <v>2302</v>
      </c>
      <c r="B1303" s="67">
        <v>45260</v>
      </c>
      <c r="C1303" s="15">
        <f t="shared" ref="C1303:C1365" si="45">B1303</f>
        <v>45260</v>
      </c>
      <c r="D1303" s="16"/>
      <c r="E1303" s="71"/>
      <c r="F1303" s="91">
        <v>428</v>
      </c>
      <c r="G1303" s="95"/>
      <c r="H1303" s="26">
        <f t="shared" si="44"/>
        <v>529720.23999999941</v>
      </c>
      <c r="I1303" s="25" t="s">
        <v>264</v>
      </c>
      <c r="J1303" s="22"/>
      <c r="K1303" s="25"/>
      <c r="L1303" s="25"/>
      <c r="M1303" s="22"/>
    </row>
    <row r="1304" spans="1:13">
      <c r="A1304" s="14">
        <v>2303</v>
      </c>
      <c r="B1304" s="67">
        <v>45260</v>
      </c>
      <c r="C1304" s="15">
        <f t="shared" si="45"/>
        <v>45260</v>
      </c>
      <c r="D1304" s="16"/>
      <c r="E1304" s="72"/>
      <c r="F1304" s="91">
        <v>32.1</v>
      </c>
      <c r="G1304" s="95"/>
      <c r="H1304" s="26">
        <f t="shared" si="44"/>
        <v>529688.13999999943</v>
      </c>
      <c r="I1304" s="25" t="s">
        <v>264</v>
      </c>
      <c r="J1304" s="22"/>
      <c r="K1304" s="25"/>
      <c r="L1304" s="25"/>
      <c r="M1304" s="22"/>
    </row>
    <row r="1305" spans="1:13">
      <c r="A1305" s="14">
        <v>2304</v>
      </c>
      <c r="B1305" s="67">
        <v>45260</v>
      </c>
      <c r="C1305" s="15">
        <f t="shared" si="45"/>
        <v>45260</v>
      </c>
      <c r="D1305" s="16"/>
      <c r="E1305" s="71"/>
      <c r="F1305" s="91">
        <v>3649.95</v>
      </c>
      <c r="G1305" s="95"/>
      <c r="H1305" s="26">
        <f t="shared" si="44"/>
        <v>526038.18999999948</v>
      </c>
      <c r="I1305" s="25" t="s">
        <v>264</v>
      </c>
      <c r="J1305" s="22"/>
      <c r="K1305" s="25"/>
      <c r="L1305" s="25"/>
      <c r="M1305" s="22"/>
    </row>
    <row r="1306" spans="1:13">
      <c r="A1306" s="14">
        <v>2305</v>
      </c>
      <c r="B1306" s="67">
        <v>45260</v>
      </c>
      <c r="C1306" s="15">
        <f t="shared" si="45"/>
        <v>45260</v>
      </c>
      <c r="D1306" s="16"/>
      <c r="E1306" s="72"/>
      <c r="F1306" s="91">
        <v>273.75</v>
      </c>
      <c r="G1306" s="95"/>
      <c r="H1306" s="26">
        <f t="shared" si="44"/>
        <v>525764.43999999948</v>
      </c>
      <c r="I1306" s="25" t="s">
        <v>264</v>
      </c>
      <c r="J1306" s="22"/>
      <c r="K1306" s="25"/>
      <c r="L1306" s="25"/>
      <c r="M1306" s="22"/>
    </row>
    <row r="1307" spans="1:13">
      <c r="A1307" s="14">
        <v>2306</v>
      </c>
      <c r="B1307" s="67">
        <v>45261</v>
      </c>
      <c r="C1307" s="15">
        <f t="shared" si="45"/>
        <v>45261</v>
      </c>
      <c r="D1307" s="16"/>
      <c r="E1307" s="71"/>
      <c r="F1307" s="91">
        <v>63694.06</v>
      </c>
      <c r="G1307" s="90"/>
      <c r="H1307" s="26">
        <f t="shared" si="44"/>
        <v>462070.37999999948</v>
      </c>
      <c r="I1307" s="25" t="s">
        <v>271</v>
      </c>
      <c r="J1307" s="22"/>
      <c r="K1307" s="25"/>
      <c r="L1307" s="25"/>
      <c r="M1307" s="22"/>
    </row>
    <row r="1308" spans="1:13">
      <c r="A1308" s="14">
        <v>2307</v>
      </c>
      <c r="B1308" s="67">
        <v>45261</v>
      </c>
      <c r="C1308" s="15">
        <f t="shared" si="45"/>
        <v>45261</v>
      </c>
      <c r="D1308" s="16"/>
      <c r="E1308" s="72"/>
      <c r="F1308" s="91">
        <v>50</v>
      </c>
      <c r="G1308" s="90"/>
      <c r="H1308" s="26">
        <f t="shared" si="44"/>
        <v>462020.37999999948</v>
      </c>
      <c r="I1308" s="25" t="s">
        <v>264</v>
      </c>
      <c r="J1308" s="22"/>
      <c r="K1308" s="25"/>
      <c r="L1308" s="25"/>
      <c r="M1308" s="22"/>
    </row>
    <row r="1309" spans="1:13">
      <c r="A1309" s="14">
        <v>2308</v>
      </c>
      <c r="B1309" s="67">
        <v>45261</v>
      </c>
      <c r="C1309" s="15">
        <f t="shared" si="45"/>
        <v>45261</v>
      </c>
      <c r="D1309" s="16"/>
      <c r="E1309" s="71"/>
      <c r="F1309" s="91">
        <v>3.75</v>
      </c>
      <c r="G1309" s="90"/>
      <c r="H1309" s="26">
        <f t="shared" si="44"/>
        <v>462016.62999999948</v>
      </c>
      <c r="I1309" s="25" t="s">
        <v>264</v>
      </c>
      <c r="J1309" s="22"/>
      <c r="K1309" s="25"/>
      <c r="L1309" s="25"/>
      <c r="M1309" s="22"/>
    </row>
    <row r="1310" spans="1:13">
      <c r="A1310" s="14">
        <v>2309</v>
      </c>
      <c r="B1310" s="67">
        <v>45261</v>
      </c>
      <c r="C1310" s="15">
        <f t="shared" si="45"/>
        <v>45261</v>
      </c>
      <c r="D1310" s="16"/>
      <c r="E1310" s="72"/>
      <c r="F1310" s="91">
        <v>53612.07</v>
      </c>
      <c r="G1310" s="90"/>
      <c r="H1310" s="26">
        <f t="shared" si="44"/>
        <v>408404.55999999947</v>
      </c>
      <c r="I1310" s="25" t="s">
        <v>271</v>
      </c>
      <c r="J1310" s="22"/>
      <c r="K1310" s="25"/>
      <c r="L1310" s="25"/>
      <c r="M1310" s="22"/>
    </row>
    <row r="1311" spans="1:13">
      <c r="A1311" s="14">
        <v>2310</v>
      </c>
      <c r="B1311" s="67">
        <v>45261</v>
      </c>
      <c r="C1311" s="15">
        <f t="shared" si="45"/>
        <v>45261</v>
      </c>
      <c r="D1311" s="16"/>
      <c r="E1311" s="71"/>
      <c r="F1311" s="91">
        <v>50</v>
      </c>
      <c r="G1311" s="90"/>
      <c r="H1311" s="26">
        <f t="shared" si="44"/>
        <v>408354.55999999947</v>
      </c>
      <c r="I1311" s="25" t="s">
        <v>264</v>
      </c>
      <c r="J1311" s="22"/>
      <c r="K1311" s="25"/>
      <c r="L1311" s="25"/>
      <c r="M1311" s="22"/>
    </row>
    <row r="1312" spans="1:13">
      <c r="A1312" s="14">
        <v>2311</v>
      </c>
      <c r="B1312" s="67">
        <v>45261</v>
      </c>
      <c r="C1312" s="15">
        <f t="shared" si="45"/>
        <v>45261</v>
      </c>
      <c r="D1312" s="16"/>
      <c r="E1312" s="72"/>
      <c r="F1312" s="91">
        <v>3.75</v>
      </c>
      <c r="G1312" s="90"/>
      <c r="H1312" s="26">
        <f t="shared" si="44"/>
        <v>408350.80999999947</v>
      </c>
      <c r="I1312" s="25" t="s">
        <v>264</v>
      </c>
      <c r="J1312" s="22"/>
      <c r="K1312" s="25"/>
      <c r="L1312" s="25"/>
      <c r="M1312" s="22"/>
    </row>
    <row r="1313" spans="1:13">
      <c r="A1313" s="14">
        <v>2313</v>
      </c>
      <c r="B1313" s="67">
        <v>45261</v>
      </c>
      <c r="C1313" s="15">
        <f t="shared" si="45"/>
        <v>45261</v>
      </c>
      <c r="D1313" s="16"/>
      <c r="E1313" s="72"/>
      <c r="F1313" s="91">
        <v>97090.67</v>
      </c>
      <c r="G1313" s="90"/>
      <c r="H1313" s="26">
        <f t="shared" si="44"/>
        <v>311260.13999999949</v>
      </c>
      <c r="I1313" s="25" t="s">
        <v>271</v>
      </c>
      <c r="J1313" s="22"/>
      <c r="K1313" s="25"/>
      <c r="L1313" s="25"/>
      <c r="M1313" s="22"/>
    </row>
    <row r="1314" spans="1:13">
      <c r="A1314" s="14">
        <v>2314</v>
      </c>
      <c r="B1314" s="67">
        <v>45261</v>
      </c>
      <c r="C1314" s="15">
        <f t="shared" si="45"/>
        <v>45261</v>
      </c>
      <c r="D1314" s="16"/>
      <c r="E1314" s="71"/>
      <c r="F1314" s="91">
        <v>50</v>
      </c>
      <c r="G1314" s="90"/>
      <c r="H1314" s="26">
        <f t="shared" si="44"/>
        <v>311210.13999999949</v>
      </c>
      <c r="I1314" s="25" t="s">
        <v>264</v>
      </c>
      <c r="J1314" s="22"/>
      <c r="K1314" s="25"/>
      <c r="L1314" s="25"/>
      <c r="M1314" s="22"/>
    </row>
    <row r="1315" spans="1:13">
      <c r="A1315" s="14">
        <v>2315</v>
      </c>
      <c r="B1315" s="67">
        <v>45261</v>
      </c>
      <c r="C1315" s="15">
        <f t="shared" si="45"/>
        <v>45261</v>
      </c>
      <c r="D1315" s="16"/>
      <c r="E1315" s="72"/>
      <c r="F1315" s="91">
        <v>3.75</v>
      </c>
      <c r="G1315" s="90"/>
      <c r="H1315" s="26">
        <f t="shared" si="44"/>
        <v>311206.38999999949</v>
      </c>
      <c r="I1315" s="25" t="s">
        <v>264</v>
      </c>
      <c r="J1315" s="22"/>
      <c r="K1315" s="25"/>
      <c r="L1315" s="25"/>
      <c r="M1315" s="22"/>
    </row>
    <row r="1316" spans="1:13">
      <c r="A1316" s="14">
        <v>2316</v>
      </c>
      <c r="B1316" s="67">
        <v>45261</v>
      </c>
      <c r="C1316" s="15">
        <f t="shared" si="45"/>
        <v>45261</v>
      </c>
      <c r="D1316" s="16"/>
      <c r="E1316" s="71"/>
      <c r="F1316" s="91">
        <v>12727.27</v>
      </c>
      <c r="G1316" s="90"/>
      <c r="H1316" s="26">
        <f t="shared" si="44"/>
        <v>298479.11999999947</v>
      </c>
      <c r="I1316" s="25" t="s">
        <v>280</v>
      </c>
      <c r="J1316" s="22"/>
      <c r="K1316" s="25"/>
      <c r="L1316" s="25"/>
      <c r="M1316" s="22"/>
    </row>
    <row r="1317" spans="1:13">
      <c r="A1317" s="14">
        <v>2317</v>
      </c>
      <c r="B1317" s="67">
        <v>45261</v>
      </c>
      <c r="C1317" s="15">
        <f t="shared" si="45"/>
        <v>45261</v>
      </c>
      <c r="D1317" s="16"/>
      <c r="E1317" s="72"/>
      <c r="F1317" s="91">
        <v>25</v>
      </c>
      <c r="G1317" s="90"/>
      <c r="H1317" s="26">
        <f t="shared" si="44"/>
        <v>298454.11999999947</v>
      </c>
      <c r="I1317" s="25" t="s">
        <v>264</v>
      </c>
      <c r="J1317" s="22"/>
      <c r="K1317" s="25"/>
      <c r="L1317" s="25"/>
      <c r="M1317" s="22"/>
    </row>
    <row r="1318" spans="1:13">
      <c r="A1318" s="14">
        <v>2318</v>
      </c>
      <c r="B1318" s="67">
        <v>45261</v>
      </c>
      <c r="C1318" s="15">
        <f t="shared" si="45"/>
        <v>45261</v>
      </c>
      <c r="D1318" s="16"/>
      <c r="E1318" s="71"/>
      <c r="F1318" s="91">
        <v>1.87</v>
      </c>
      <c r="G1318" s="90"/>
      <c r="H1318" s="26">
        <f t="shared" si="44"/>
        <v>298452.24999999948</v>
      </c>
      <c r="I1318" s="25" t="s">
        <v>264</v>
      </c>
      <c r="J1318" s="22"/>
      <c r="K1318" s="25"/>
      <c r="L1318" s="25"/>
      <c r="M1318" s="22"/>
    </row>
    <row r="1319" spans="1:13">
      <c r="A1319" s="14">
        <v>2319</v>
      </c>
      <c r="B1319" s="67">
        <v>45261</v>
      </c>
      <c r="C1319" s="15">
        <f t="shared" si="45"/>
        <v>45261</v>
      </c>
      <c r="D1319" s="16"/>
      <c r="E1319" s="72"/>
      <c r="F1319" s="91">
        <v>12727.27</v>
      </c>
      <c r="G1319" s="90"/>
      <c r="H1319" s="26">
        <f t="shared" si="44"/>
        <v>285724.97999999946</v>
      </c>
      <c r="I1319" s="25" t="s">
        <v>280</v>
      </c>
      <c r="J1319" s="22"/>
      <c r="K1319" s="25"/>
      <c r="L1319" s="25"/>
      <c r="M1319" s="22"/>
    </row>
    <row r="1320" spans="1:13">
      <c r="A1320" s="14">
        <v>2320</v>
      </c>
      <c r="B1320" s="67">
        <v>45261</v>
      </c>
      <c r="C1320" s="15">
        <f t="shared" si="45"/>
        <v>45261</v>
      </c>
      <c r="D1320" s="16"/>
      <c r="E1320" s="71"/>
      <c r="F1320" s="96">
        <v>25</v>
      </c>
      <c r="G1320" s="94"/>
      <c r="H1320" s="26">
        <f t="shared" si="44"/>
        <v>285699.97999999946</v>
      </c>
      <c r="I1320" s="25" t="s">
        <v>264</v>
      </c>
      <c r="J1320" s="22"/>
      <c r="K1320" s="25"/>
      <c r="L1320" s="25"/>
      <c r="M1320" s="22"/>
    </row>
    <row r="1321" spans="1:13">
      <c r="A1321" s="14">
        <v>2321</v>
      </c>
      <c r="B1321" s="67">
        <v>45261</v>
      </c>
      <c r="C1321" s="15">
        <f t="shared" si="45"/>
        <v>45261</v>
      </c>
      <c r="D1321" s="16"/>
      <c r="E1321" s="72"/>
      <c r="F1321" s="91">
        <v>1.87</v>
      </c>
      <c r="G1321" s="90"/>
      <c r="H1321" s="26">
        <f t="shared" si="44"/>
        <v>285698.10999999946</v>
      </c>
      <c r="I1321" s="25" t="s">
        <v>264</v>
      </c>
      <c r="J1321" s="22"/>
      <c r="K1321" s="25"/>
      <c r="L1321" s="25"/>
      <c r="M1321" s="22"/>
    </row>
    <row r="1322" spans="1:13">
      <c r="A1322" s="14">
        <v>2322</v>
      </c>
      <c r="B1322" s="67">
        <v>45261</v>
      </c>
      <c r="C1322" s="15">
        <f t="shared" si="45"/>
        <v>45261</v>
      </c>
      <c r="D1322" s="16"/>
      <c r="E1322" s="71"/>
      <c r="F1322" s="91">
        <v>20000</v>
      </c>
      <c r="G1322" s="90"/>
      <c r="H1322" s="26">
        <f t="shared" si="44"/>
        <v>265698.10999999946</v>
      </c>
      <c r="I1322" s="25" t="s">
        <v>280</v>
      </c>
      <c r="J1322" s="22"/>
      <c r="K1322" s="25"/>
      <c r="L1322" s="25"/>
      <c r="M1322" s="22"/>
    </row>
    <row r="1323" spans="1:13">
      <c r="A1323" s="14">
        <v>2323</v>
      </c>
      <c r="B1323" s="67">
        <v>45261</v>
      </c>
      <c r="C1323" s="15">
        <f t="shared" si="45"/>
        <v>45261</v>
      </c>
      <c r="D1323" s="16"/>
      <c r="E1323" s="72"/>
      <c r="F1323" s="91">
        <v>25</v>
      </c>
      <c r="G1323" s="90"/>
      <c r="H1323" s="26">
        <f t="shared" si="44"/>
        <v>265673.10999999946</v>
      </c>
      <c r="I1323" s="25" t="s">
        <v>264</v>
      </c>
      <c r="J1323" s="22"/>
      <c r="K1323" s="25"/>
      <c r="L1323" s="25"/>
      <c r="M1323" s="22"/>
    </row>
    <row r="1324" spans="1:13">
      <c r="A1324" s="14">
        <v>2324</v>
      </c>
      <c r="B1324" s="67">
        <v>45261</v>
      </c>
      <c r="C1324" s="15">
        <f t="shared" si="45"/>
        <v>45261</v>
      </c>
      <c r="D1324" s="16"/>
      <c r="E1324" s="71"/>
      <c r="F1324" s="91">
        <v>1.87</v>
      </c>
      <c r="G1324" s="90"/>
      <c r="H1324" s="26">
        <f t="shared" ref="H1324:H1387" si="46">IFERROR(H1323-F1324+G1324,"")</f>
        <v>265671.23999999947</v>
      </c>
      <c r="I1324" s="25" t="s">
        <v>264</v>
      </c>
      <c r="J1324" s="22"/>
      <c r="K1324" s="25"/>
      <c r="L1324" s="25"/>
      <c r="M1324" s="22"/>
    </row>
    <row r="1325" spans="1:13">
      <c r="A1325" s="14">
        <v>2325</v>
      </c>
      <c r="B1325" s="67">
        <v>45261</v>
      </c>
      <c r="C1325" s="15">
        <f t="shared" si="45"/>
        <v>45261</v>
      </c>
      <c r="D1325" s="16"/>
      <c r="E1325" s="72"/>
      <c r="F1325" s="91">
        <v>20000</v>
      </c>
      <c r="G1325" s="90"/>
      <c r="H1325" s="26">
        <f t="shared" si="46"/>
        <v>245671.23999999947</v>
      </c>
      <c r="I1325" s="25" t="s">
        <v>280</v>
      </c>
      <c r="J1325" s="22"/>
      <c r="K1325" s="25"/>
      <c r="L1325" s="25"/>
      <c r="M1325" s="22"/>
    </row>
    <row r="1326" spans="1:13">
      <c r="A1326" s="14">
        <v>2326</v>
      </c>
      <c r="B1326" s="67">
        <v>45261</v>
      </c>
      <c r="C1326" s="15">
        <f t="shared" si="45"/>
        <v>45261</v>
      </c>
      <c r="D1326" s="16"/>
      <c r="E1326" s="71"/>
      <c r="F1326" s="91">
        <v>25</v>
      </c>
      <c r="G1326" s="95"/>
      <c r="H1326" s="26">
        <f t="shared" si="46"/>
        <v>245646.23999999947</v>
      </c>
      <c r="I1326" s="25" t="s">
        <v>264</v>
      </c>
      <c r="J1326" s="22"/>
      <c r="K1326" s="25"/>
      <c r="L1326" s="25"/>
      <c r="M1326" s="22"/>
    </row>
    <row r="1327" spans="1:13">
      <c r="A1327" s="14">
        <v>2327</v>
      </c>
      <c r="B1327" s="67">
        <v>45261</v>
      </c>
      <c r="C1327" s="15">
        <f t="shared" si="45"/>
        <v>45261</v>
      </c>
      <c r="D1327" s="16"/>
      <c r="E1327" s="72"/>
      <c r="F1327" s="96">
        <v>1.87</v>
      </c>
      <c r="G1327" s="94"/>
      <c r="H1327" s="26">
        <f t="shared" si="46"/>
        <v>245644.36999999947</v>
      </c>
      <c r="I1327" s="25" t="s">
        <v>264</v>
      </c>
      <c r="J1327" s="22"/>
      <c r="K1327" s="25"/>
      <c r="L1327" s="25"/>
      <c r="M1327" s="22"/>
    </row>
    <row r="1328" spans="1:13">
      <c r="A1328" s="14">
        <v>2328</v>
      </c>
      <c r="B1328" s="67">
        <v>45261</v>
      </c>
      <c r="C1328" s="15">
        <f t="shared" si="45"/>
        <v>45261</v>
      </c>
      <c r="D1328" s="16"/>
      <c r="E1328" s="71"/>
      <c r="F1328" s="91">
        <v>130867.38</v>
      </c>
      <c r="G1328" s="90"/>
      <c r="H1328" s="26">
        <f t="shared" si="46"/>
        <v>114776.98999999947</v>
      </c>
      <c r="I1328" s="25" t="s">
        <v>271</v>
      </c>
      <c r="J1328" s="22"/>
      <c r="K1328" s="25"/>
      <c r="L1328" s="25"/>
      <c r="M1328" s="22"/>
    </row>
    <row r="1329" spans="1:13">
      <c r="A1329" s="14">
        <v>2329</v>
      </c>
      <c r="B1329" s="67">
        <v>45261</v>
      </c>
      <c r="C1329" s="15">
        <f t="shared" si="45"/>
        <v>45261</v>
      </c>
      <c r="D1329" s="16"/>
      <c r="E1329" s="72"/>
      <c r="F1329" s="91">
        <v>50</v>
      </c>
      <c r="G1329" s="90"/>
      <c r="H1329" s="26">
        <f t="shared" si="46"/>
        <v>114726.98999999947</v>
      </c>
      <c r="I1329" s="25" t="s">
        <v>264</v>
      </c>
      <c r="J1329" s="22"/>
      <c r="K1329" s="25"/>
      <c r="L1329" s="25"/>
      <c r="M1329" s="22"/>
    </row>
    <row r="1330" spans="1:13">
      <c r="A1330" s="14">
        <v>2330</v>
      </c>
      <c r="B1330" s="67">
        <v>45261</v>
      </c>
      <c r="C1330" s="15">
        <f t="shared" si="45"/>
        <v>45261</v>
      </c>
      <c r="D1330" s="16"/>
      <c r="E1330" s="71"/>
      <c r="F1330" s="91">
        <v>3.75</v>
      </c>
      <c r="G1330" s="90"/>
      <c r="H1330" s="26">
        <f t="shared" si="46"/>
        <v>114723.23999999947</v>
      </c>
      <c r="I1330" s="25" t="s">
        <v>264</v>
      </c>
      <c r="J1330" s="22"/>
      <c r="K1330" s="25"/>
      <c r="L1330" s="25"/>
      <c r="M1330" s="22"/>
    </row>
    <row r="1331" spans="1:13">
      <c r="A1331" s="14">
        <v>2331</v>
      </c>
      <c r="B1331" s="67">
        <v>45261</v>
      </c>
      <c r="C1331" s="15">
        <f t="shared" si="45"/>
        <v>45261</v>
      </c>
      <c r="D1331" s="16"/>
      <c r="E1331" s="72"/>
      <c r="F1331" s="91">
        <v>99378.23</v>
      </c>
      <c r="G1331" s="90"/>
      <c r="H1331" s="26">
        <f t="shared" si="46"/>
        <v>15345.009999999471</v>
      </c>
      <c r="I1331" s="25" t="s">
        <v>271</v>
      </c>
      <c r="J1331" s="22"/>
      <c r="K1331" s="25"/>
      <c r="L1331" s="25"/>
      <c r="M1331" s="22"/>
    </row>
    <row r="1332" spans="1:13">
      <c r="A1332" s="14">
        <v>2332</v>
      </c>
      <c r="B1332" s="67">
        <v>45261</v>
      </c>
      <c r="C1332" s="15">
        <f t="shared" si="45"/>
        <v>45261</v>
      </c>
      <c r="D1332" s="16"/>
      <c r="E1332" s="71"/>
      <c r="F1332" s="91">
        <v>50</v>
      </c>
      <c r="G1332" s="90"/>
      <c r="H1332" s="26">
        <f t="shared" si="46"/>
        <v>15295.009999999471</v>
      </c>
      <c r="I1332" s="25" t="s">
        <v>264</v>
      </c>
      <c r="J1332" s="22"/>
      <c r="K1332" s="25"/>
      <c r="L1332" s="25"/>
      <c r="M1332" s="22"/>
    </row>
    <row r="1333" spans="1:13">
      <c r="A1333" s="14">
        <v>2333</v>
      </c>
      <c r="B1333" s="67">
        <v>45261</v>
      </c>
      <c r="C1333" s="15">
        <f t="shared" si="45"/>
        <v>45261</v>
      </c>
      <c r="D1333" s="16"/>
      <c r="E1333" s="72"/>
      <c r="F1333" s="91">
        <v>3.75</v>
      </c>
      <c r="G1333" s="95"/>
      <c r="H1333" s="26">
        <f t="shared" si="46"/>
        <v>15291.259999999471</v>
      </c>
      <c r="I1333" s="25" t="s">
        <v>264</v>
      </c>
      <c r="J1333" s="22"/>
      <c r="K1333" s="25"/>
      <c r="L1333" s="25"/>
      <c r="M1333" s="22"/>
    </row>
    <row r="1334" spans="1:13">
      <c r="A1334" s="14">
        <v>2334</v>
      </c>
      <c r="B1334" s="67">
        <v>45261</v>
      </c>
      <c r="C1334" s="15">
        <f t="shared" si="45"/>
        <v>45261</v>
      </c>
      <c r="D1334" s="16"/>
      <c r="E1334" s="71"/>
      <c r="F1334" s="96">
        <v>20000</v>
      </c>
      <c r="G1334" s="94"/>
      <c r="H1334" s="26">
        <f t="shared" si="46"/>
        <v>-4708.7400000005291</v>
      </c>
      <c r="I1334" s="25" t="s">
        <v>280</v>
      </c>
      <c r="J1334" s="22"/>
      <c r="K1334" s="25"/>
      <c r="L1334" s="25"/>
      <c r="M1334" s="22"/>
    </row>
    <row r="1335" spans="1:13">
      <c r="A1335" s="14">
        <v>2335</v>
      </c>
      <c r="B1335" s="67">
        <v>45261</v>
      </c>
      <c r="C1335" s="15">
        <f t="shared" si="45"/>
        <v>45261</v>
      </c>
      <c r="D1335" s="16"/>
      <c r="E1335" s="72"/>
      <c r="F1335" s="91">
        <v>25</v>
      </c>
      <c r="G1335" s="90"/>
      <c r="H1335" s="26">
        <f t="shared" si="46"/>
        <v>-4733.7400000005291</v>
      </c>
      <c r="I1335" s="25" t="s">
        <v>264</v>
      </c>
      <c r="J1335" s="22"/>
      <c r="K1335" s="25"/>
      <c r="L1335" s="25"/>
      <c r="M1335" s="22"/>
    </row>
    <row r="1336" spans="1:13">
      <c r="A1336" s="14">
        <v>2336</v>
      </c>
      <c r="B1336" s="67">
        <v>45261</v>
      </c>
      <c r="C1336" s="15">
        <f t="shared" si="45"/>
        <v>45261</v>
      </c>
      <c r="D1336" s="16"/>
      <c r="E1336" s="71"/>
      <c r="F1336" s="91">
        <v>1.87</v>
      </c>
      <c r="G1336" s="90"/>
      <c r="H1336" s="26">
        <f t="shared" si="46"/>
        <v>-4735.610000000529</v>
      </c>
      <c r="I1336" s="25" t="s">
        <v>264</v>
      </c>
      <c r="J1336" s="22"/>
      <c r="K1336" s="25"/>
      <c r="L1336" s="25"/>
      <c r="M1336" s="22"/>
    </row>
    <row r="1337" spans="1:13">
      <c r="A1337" s="14">
        <v>2337</v>
      </c>
      <c r="B1337" s="67">
        <v>45261</v>
      </c>
      <c r="C1337" s="15">
        <f t="shared" si="45"/>
        <v>45261</v>
      </c>
      <c r="D1337" s="16"/>
      <c r="E1337" s="72"/>
      <c r="F1337" s="91">
        <v>30000</v>
      </c>
      <c r="G1337" s="90"/>
      <c r="H1337" s="26">
        <f t="shared" si="46"/>
        <v>-34735.610000000532</v>
      </c>
      <c r="I1337" s="25" t="s">
        <v>271</v>
      </c>
      <c r="J1337" s="22"/>
      <c r="K1337" s="25"/>
      <c r="L1337" s="25"/>
      <c r="M1337" s="22"/>
    </row>
    <row r="1338" spans="1:13">
      <c r="A1338" s="14">
        <v>2338</v>
      </c>
      <c r="B1338" s="67">
        <v>45261</v>
      </c>
      <c r="C1338" s="15">
        <f t="shared" si="45"/>
        <v>45261</v>
      </c>
      <c r="D1338" s="16"/>
      <c r="E1338" s="71"/>
      <c r="F1338" s="91">
        <v>25</v>
      </c>
      <c r="G1338" s="90"/>
      <c r="H1338" s="26">
        <f t="shared" si="46"/>
        <v>-34760.610000000532</v>
      </c>
      <c r="I1338" s="25" t="s">
        <v>264</v>
      </c>
      <c r="J1338" s="22"/>
      <c r="K1338" s="25"/>
      <c r="L1338" s="25"/>
      <c r="M1338" s="22"/>
    </row>
    <row r="1339" spans="1:13">
      <c r="A1339" s="14">
        <v>2339</v>
      </c>
      <c r="B1339" s="67">
        <v>45261</v>
      </c>
      <c r="C1339" s="15">
        <f t="shared" si="45"/>
        <v>45261</v>
      </c>
      <c r="D1339" s="16"/>
      <c r="E1339" s="72"/>
      <c r="F1339" s="91">
        <v>1.87</v>
      </c>
      <c r="G1339" s="90"/>
      <c r="H1339" s="26">
        <f t="shared" si="46"/>
        <v>-34762.480000000534</v>
      </c>
      <c r="I1339" s="25" t="s">
        <v>264</v>
      </c>
      <c r="J1339" s="22"/>
      <c r="K1339" s="25"/>
      <c r="L1339" s="25"/>
      <c r="M1339" s="22"/>
    </row>
    <row r="1340" spans="1:13">
      <c r="A1340" s="14">
        <v>2340</v>
      </c>
      <c r="B1340" s="67">
        <v>45261</v>
      </c>
      <c r="C1340" s="15">
        <f t="shared" si="45"/>
        <v>45261</v>
      </c>
      <c r="D1340" s="16"/>
      <c r="E1340" s="71"/>
      <c r="F1340" s="91">
        <v>152000</v>
      </c>
      <c r="G1340" s="90"/>
      <c r="H1340" s="26">
        <f t="shared" si="46"/>
        <v>-186762.48000000053</v>
      </c>
      <c r="I1340" s="25" t="s">
        <v>271</v>
      </c>
      <c r="J1340" s="22"/>
      <c r="K1340" s="25"/>
      <c r="L1340" s="25"/>
      <c r="M1340" s="22"/>
    </row>
    <row r="1341" spans="1:13">
      <c r="A1341" s="14">
        <v>2341</v>
      </c>
      <c r="B1341" s="67">
        <v>45261</v>
      </c>
      <c r="C1341" s="15">
        <f t="shared" si="45"/>
        <v>45261</v>
      </c>
      <c r="D1341" s="16"/>
      <c r="E1341" s="72"/>
      <c r="F1341" s="91">
        <v>50</v>
      </c>
      <c r="G1341" s="90"/>
      <c r="H1341" s="26">
        <f t="shared" si="46"/>
        <v>-186812.48000000053</v>
      </c>
      <c r="I1341" s="25" t="s">
        <v>264</v>
      </c>
      <c r="J1341" s="22"/>
      <c r="K1341" s="25"/>
      <c r="L1341" s="25"/>
      <c r="M1341" s="22"/>
    </row>
    <row r="1342" spans="1:13">
      <c r="A1342" s="14">
        <v>2342</v>
      </c>
      <c r="B1342" s="67">
        <v>45261</v>
      </c>
      <c r="C1342" s="15">
        <f t="shared" si="45"/>
        <v>45261</v>
      </c>
      <c r="D1342" s="16"/>
      <c r="E1342" s="71"/>
      <c r="F1342" s="91">
        <v>3.75</v>
      </c>
      <c r="G1342" s="90"/>
      <c r="H1342" s="26">
        <f t="shared" si="46"/>
        <v>-186816.23000000053</v>
      </c>
      <c r="I1342" s="25" t="s">
        <v>264</v>
      </c>
      <c r="J1342" s="22"/>
      <c r="K1342" s="25"/>
      <c r="L1342" s="25"/>
      <c r="M1342" s="22"/>
    </row>
    <row r="1343" spans="1:13">
      <c r="A1343" s="14">
        <v>2343</v>
      </c>
      <c r="B1343" s="67">
        <v>45261</v>
      </c>
      <c r="C1343" s="15">
        <f t="shared" si="45"/>
        <v>45261</v>
      </c>
      <c r="D1343" s="16"/>
      <c r="E1343" s="72"/>
      <c r="F1343" s="91">
        <v>49502.91</v>
      </c>
      <c r="G1343" s="90"/>
      <c r="H1343" s="26">
        <f t="shared" si="46"/>
        <v>-236319.14000000054</v>
      </c>
      <c r="I1343" s="25" t="s">
        <v>271</v>
      </c>
      <c r="J1343" s="22"/>
      <c r="K1343" s="25"/>
      <c r="L1343" s="25"/>
      <c r="M1343" s="22"/>
    </row>
    <row r="1344" spans="1:13">
      <c r="A1344" s="14">
        <v>2344</v>
      </c>
      <c r="B1344" s="67">
        <v>45261</v>
      </c>
      <c r="C1344" s="15">
        <f t="shared" si="45"/>
        <v>45261</v>
      </c>
      <c r="D1344" s="16"/>
      <c r="E1344" s="71"/>
      <c r="F1344" s="91">
        <v>168523.14</v>
      </c>
      <c r="G1344" s="90"/>
      <c r="H1344" s="26">
        <f t="shared" si="46"/>
        <v>-404842.28000000055</v>
      </c>
      <c r="I1344" s="25" t="s">
        <v>271</v>
      </c>
      <c r="J1344" s="22"/>
      <c r="K1344" s="25"/>
      <c r="L1344" s="25"/>
      <c r="M1344" s="22"/>
    </row>
    <row r="1345" spans="1:13">
      <c r="A1345" s="14">
        <v>2345</v>
      </c>
      <c r="B1345" s="67">
        <v>45261</v>
      </c>
      <c r="C1345" s="15">
        <f t="shared" si="45"/>
        <v>45261</v>
      </c>
      <c r="D1345" s="16"/>
      <c r="E1345" s="72"/>
      <c r="F1345" s="91">
        <v>45134.15</v>
      </c>
      <c r="G1345" s="90"/>
      <c r="H1345" s="26">
        <f t="shared" si="46"/>
        <v>-449976.43000000058</v>
      </c>
      <c r="I1345" s="25" t="s">
        <v>271</v>
      </c>
      <c r="J1345" s="22"/>
      <c r="K1345" s="25"/>
      <c r="L1345" s="25"/>
      <c r="M1345" s="22"/>
    </row>
    <row r="1346" spans="1:13">
      <c r="A1346" s="14">
        <v>2346</v>
      </c>
      <c r="B1346" s="67">
        <v>45261</v>
      </c>
      <c r="C1346" s="15">
        <f t="shared" si="45"/>
        <v>45261</v>
      </c>
      <c r="D1346" s="16"/>
      <c r="E1346" s="71"/>
      <c r="F1346" s="91">
        <v>159963.42000000001</v>
      </c>
      <c r="G1346" s="90"/>
      <c r="H1346" s="26">
        <f t="shared" si="46"/>
        <v>-609939.85000000056</v>
      </c>
      <c r="I1346" s="25" t="s">
        <v>271</v>
      </c>
      <c r="J1346" s="22"/>
      <c r="K1346" s="25"/>
      <c r="L1346" s="25"/>
      <c r="M1346" s="22"/>
    </row>
    <row r="1347" spans="1:13">
      <c r="A1347" s="14">
        <v>2347</v>
      </c>
      <c r="B1347" s="67">
        <v>45261</v>
      </c>
      <c r="C1347" s="15">
        <f t="shared" si="45"/>
        <v>45261</v>
      </c>
      <c r="D1347" s="16"/>
      <c r="E1347" s="72"/>
      <c r="F1347" s="91">
        <v>249561.58</v>
      </c>
      <c r="G1347" s="95"/>
      <c r="H1347" s="26">
        <f t="shared" si="46"/>
        <v>-859501.43000000052</v>
      </c>
      <c r="I1347" s="25" t="s">
        <v>271</v>
      </c>
      <c r="J1347" s="22"/>
      <c r="K1347" s="25"/>
      <c r="L1347" s="25"/>
      <c r="M1347" s="22"/>
    </row>
    <row r="1348" spans="1:13">
      <c r="A1348" s="14">
        <v>2348</v>
      </c>
      <c r="B1348" s="67">
        <v>45261</v>
      </c>
      <c r="C1348" s="15">
        <f t="shared" si="45"/>
        <v>45261</v>
      </c>
      <c r="D1348" s="16"/>
      <c r="E1348" s="71"/>
      <c r="F1348" s="91">
        <v>120</v>
      </c>
      <c r="G1348" s="90"/>
      <c r="H1348" s="26">
        <f t="shared" si="46"/>
        <v>-859621.43000000052</v>
      </c>
      <c r="I1348" s="25" t="s">
        <v>264</v>
      </c>
      <c r="J1348" s="22"/>
      <c r="K1348" s="25"/>
      <c r="L1348" s="25"/>
      <c r="M1348" s="22"/>
    </row>
    <row r="1349" spans="1:13">
      <c r="A1349" s="14">
        <v>2349</v>
      </c>
      <c r="B1349" s="67">
        <v>45261</v>
      </c>
      <c r="C1349" s="15">
        <f t="shared" si="45"/>
        <v>45261</v>
      </c>
      <c r="D1349" s="16"/>
      <c r="E1349" s="72"/>
      <c r="F1349" s="91">
        <v>9</v>
      </c>
      <c r="G1349" s="90"/>
      <c r="H1349" s="26">
        <f t="shared" si="46"/>
        <v>-859630.43000000052</v>
      </c>
      <c r="I1349" s="25" t="s">
        <v>264</v>
      </c>
      <c r="J1349" s="22"/>
      <c r="K1349" s="25"/>
      <c r="L1349" s="25"/>
      <c r="M1349" s="22"/>
    </row>
    <row r="1350" spans="1:13">
      <c r="A1350" s="14">
        <v>2350</v>
      </c>
      <c r="B1350" s="67">
        <v>45261</v>
      </c>
      <c r="C1350" s="15">
        <f t="shared" si="45"/>
        <v>45261</v>
      </c>
      <c r="D1350" s="16"/>
      <c r="E1350" s="71"/>
      <c r="F1350" s="91">
        <v>60000</v>
      </c>
      <c r="G1350" s="90"/>
      <c r="H1350" s="26">
        <f t="shared" si="46"/>
        <v>-919630.43000000052</v>
      </c>
      <c r="I1350" s="25" t="s">
        <v>271</v>
      </c>
      <c r="J1350" s="22"/>
      <c r="K1350" s="25"/>
      <c r="L1350" s="25"/>
      <c r="M1350" s="22"/>
    </row>
    <row r="1351" spans="1:13">
      <c r="A1351" s="14">
        <v>2351</v>
      </c>
      <c r="B1351" s="67">
        <v>45261</v>
      </c>
      <c r="C1351" s="15">
        <f t="shared" si="45"/>
        <v>45261</v>
      </c>
      <c r="D1351" s="16"/>
      <c r="E1351" s="72"/>
      <c r="F1351" s="91">
        <v>50</v>
      </c>
      <c r="G1351" s="90"/>
      <c r="H1351" s="26">
        <f t="shared" si="46"/>
        <v>-919680.43000000052</v>
      </c>
      <c r="I1351" s="25" t="s">
        <v>264</v>
      </c>
      <c r="J1351" s="22"/>
      <c r="K1351" s="25"/>
      <c r="L1351" s="25"/>
      <c r="M1351" s="22"/>
    </row>
    <row r="1352" spans="1:13">
      <c r="A1352" s="14">
        <v>2352</v>
      </c>
      <c r="B1352" s="67">
        <v>45261</v>
      </c>
      <c r="C1352" s="15">
        <f t="shared" si="45"/>
        <v>45261</v>
      </c>
      <c r="D1352" s="16"/>
      <c r="E1352" s="71"/>
      <c r="F1352" s="91">
        <v>3.75</v>
      </c>
      <c r="G1352" s="90"/>
      <c r="H1352" s="26">
        <f t="shared" si="46"/>
        <v>-919684.18000000052</v>
      </c>
      <c r="I1352" s="25" t="s">
        <v>264</v>
      </c>
      <c r="J1352" s="22"/>
      <c r="K1352" s="25"/>
      <c r="L1352" s="25"/>
      <c r="M1352" s="22"/>
    </row>
    <row r="1353" spans="1:13">
      <c r="A1353" s="14">
        <v>2353</v>
      </c>
      <c r="B1353" s="67">
        <v>45261</v>
      </c>
      <c r="C1353" s="15">
        <f t="shared" si="45"/>
        <v>45261</v>
      </c>
      <c r="D1353" s="16"/>
      <c r="E1353" s="72"/>
      <c r="F1353" s="91">
        <v>20000</v>
      </c>
      <c r="G1353" s="90"/>
      <c r="H1353" s="26">
        <f t="shared" si="46"/>
        <v>-939684.18000000052</v>
      </c>
      <c r="I1353" s="25" t="s">
        <v>280</v>
      </c>
      <c r="J1353" s="22"/>
      <c r="K1353" s="25"/>
      <c r="L1353" s="25"/>
      <c r="M1353" s="22"/>
    </row>
    <row r="1354" spans="1:13">
      <c r="A1354" s="14">
        <v>2354</v>
      </c>
      <c r="B1354" s="67">
        <v>45261</v>
      </c>
      <c r="C1354" s="15">
        <f t="shared" si="45"/>
        <v>45261</v>
      </c>
      <c r="D1354" s="16"/>
      <c r="E1354" s="71"/>
      <c r="F1354" s="91">
        <v>20000</v>
      </c>
      <c r="G1354" s="90"/>
      <c r="H1354" s="26">
        <f t="shared" si="46"/>
        <v>-959684.18000000052</v>
      </c>
      <c r="I1354" s="25" t="s">
        <v>280</v>
      </c>
      <c r="J1354" s="22"/>
      <c r="K1354" s="25"/>
      <c r="L1354" s="25"/>
      <c r="M1354" s="22"/>
    </row>
    <row r="1355" spans="1:13">
      <c r="A1355" s="14">
        <v>2355</v>
      </c>
      <c r="B1355" s="67">
        <v>45261</v>
      </c>
      <c r="C1355" s="15">
        <f t="shared" si="45"/>
        <v>45261</v>
      </c>
      <c r="D1355" s="16"/>
      <c r="E1355" s="72"/>
      <c r="F1355" s="96">
        <v>20000</v>
      </c>
      <c r="G1355" s="94"/>
      <c r="H1355" s="26">
        <f t="shared" si="46"/>
        <v>-979684.18000000052</v>
      </c>
      <c r="I1355" s="25" t="s">
        <v>280</v>
      </c>
      <c r="J1355" s="22"/>
      <c r="K1355" s="25"/>
      <c r="L1355" s="25"/>
      <c r="M1355" s="22"/>
    </row>
    <row r="1356" spans="1:13">
      <c r="A1356" s="14">
        <v>2356</v>
      </c>
      <c r="B1356" s="67">
        <v>45261</v>
      </c>
      <c r="C1356" s="15">
        <f t="shared" si="45"/>
        <v>45261</v>
      </c>
      <c r="D1356" s="16"/>
      <c r="E1356" s="71"/>
      <c r="F1356" s="91">
        <v>20000</v>
      </c>
      <c r="G1356" s="90"/>
      <c r="H1356" s="26">
        <f t="shared" si="46"/>
        <v>-999684.18000000052</v>
      </c>
      <c r="I1356" s="25" t="s">
        <v>280</v>
      </c>
      <c r="J1356" s="22"/>
      <c r="K1356" s="25"/>
      <c r="L1356" s="25"/>
      <c r="M1356" s="22"/>
    </row>
    <row r="1357" spans="1:13">
      <c r="A1357" s="14">
        <v>2357</v>
      </c>
      <c r="B1357" s="67">
        <v>45261</v>
      </c>
      <c r="C1357" s="15">
        <f t="shared" si="45"/>
        <v>45261</v>
      </c>
      <c r="D1357" s="16"/>
      <c r="E1357" s="72"/>
      <c r="F1357" s="91">
        <v>120</v>
      </c>
      <c r="G1357" s="90"/>
      <c r="H1357" s="26">
        <f t="shared" si="46"/>
        <v>-999804.18000000052</v>
      </c>
      <c r="I1357" s="25" t="s">
        <v>264</v>
      </c>
      <c r="J1357" s="22"/>
      <c r="K1357" s="25"/>
      <c r="L1357" s="25"/>
      <c r="M1357" s="22"/>
    </row>
    <row r="1358" spans="1:13">
      <c r="A1358" s="14">
        <v>2358</v>
      </c>
      <c r="B1358" s="67">
        <v>45261</v>
      </c>
      <c r="C1358" s="15">
        <f t="shared" si="45"/>
        <v>45261</v>
      </c>
      <c r="D1358" s="16"/>
      <c r="E1358" s="71"/>
      <c r="F1358" s="91">
        <v>9</v>
      </c>
      <c r="G1358" s="90"/>
      <c r="H1358" s="26">
        <f t="shared" si="46"/>
        <v>-999813.18000000052</v>
      </c>
      <c r="I1358" s="25" t="s">
        <v>264</v>
      </c>
      <c r="J1358" s="22"/>
      <c r="K1358" s="25"/>
      <c r="L1358" s="25"/>
      <c r="M1358" s="22"/>
    </row>
    <row r="1359" spans="1:13">
      <c r="A1359" s="14">
        <v>2359</v>
      </c>
      <c r="B1359" s="67">
        <v>45261</v>
      </c>
      <c r="C1359" s="15">
        <f t="shared" si="45"/>
        <v>45261</v>
      </c>
      <c r="D1359" s="16"/>
      <c r="E1359" s="72"/>
      <c r="F1359" s="91">
        <v>50000</v>
      </c>
      <c r="G1359" s="90"/>
      <c r="H1359" s="26">
        <f t="shared" si="46"/>
        <v>-1049813.1800000006</v>
      </c>
      <c r="I1359" s="25" t="s">
        <v>276</v>
      </c>
      <c r="J1359" s="22"/>
      <c r="K1359" s="25"/>
      <c r="L1359" s="25"/>
      <c r="M1359" s="22"/>
    </row>
    <row r="1360" spans="1:13">
      <c r="A1360" s="14">
        <v>2360</v>
      </c>
      <c r="B1360" s="67">
        <v>45261</v>
      </c>
      <c r="C1360" s="15">
        <f t="shared" si="45"/>
        <v>45261</v>
      </c>
      <c r="D1360" s="16"/>
      <c r="E1360" s="71"/>
      <c r="F1360" s="91">
        <v>50</v>
      </c>
      <c r="G1360" s="90"/>
      <c r="H1360" s="26">
        <f t="shared" si="46"/>
        <v>-1049863.1800000006</v>
      </c>
      <c r="I1360" s="25" t="s">
        <v>264</v>
      </c>
      <c r="J1360" s="22"/>
      <c r="K1360" s="25"/>
      <c r="L1360" s="25"/>
      <c r="M1360" s="22"/>
    </row>
    <row r="1361" spans="1:13">
      <c r="A1361" s="14">
        <v>2361</v>
      </c>
      <c r="B1361" s="67">
        <v>45261</v>
      </c>
      <c r="C1361" s="15">
        <f t="shared" si="45"/>
        <v>45261</v>
      </c>
      <c r="D1361" s="16"/>
      <c r="E1361" s="72"/>
      <c r="F1361" s="91">
        <v>50000</v>
      </c>
      <c r="G1361" s="90"/>
      <c r="H1361" s="26">
        <f t="shared" si="46"/>
        <v>-1099863.1800000006</v>
      </c>
      <c r="I1361" s="25" t="s">
        <v>276</v>
      </c>
      <c r="J1361" s="22"/>
      <c r="K1361" s="25"/>
      <c r="L1361" s="25"/>
      <c r="M1361" s="22"/>
    </row>
    <row r="1362" spans="1:13">
      <c r="A1362" s="14">
        <v>2362</v>
      </c>
      <c r="B1362" s="67">
        <v>45261</v>
      </c>
      <c r="C1362" s="15">
        <f t="shared" si="45"/>
        <v>45261</v>
      </c>
      <c r="D1362" s="16"/>
      <c r="E1362" s="71"/>
      <c r="F1362" s="91">
        <v>50</v>
      </c>
      <c r="G1362" s="95"/>
      <c r="H1362" s="26">
        <f t="shared" si="46"/>
        <v>-1099913.1800000006</v>
      </c>
      <c r="I1362" s="25" t="s">
        <v>264</v>
      </c>
      <c r="J1362" s="22"/>
      <c r="K1362" s="25"/>
      <c r="L1362" s="25"/>
      <c r="M1362" s="22"/>
    </row>
    <row r="1363" spans="1:13">
      <c r="A1363" s="14">
        <v>2363</v>
      </c>
      <c r="B1363" s="67">
        <v>45261</v>
      </c>
      <c r="C1363" s="15">
        <f t="shared" si="45"/>
        <v>45261</v>
      </c>
      <c r="D1363" s="16"/>
      <c r="E1363" s="72"/>
      <c r="F1363" s="96">
        <v>1200000</v>
      </c>
      <c r="G1363" s="94"/>
      <c r="H1363" s="26">
        <f t="shared" si="46"/>
        <v>-2299913.1800000006</v>
      </c>
      <c r="I1363" s="25" t="s">
        <v>276</v>
      </c>
      <c r="J1363" s="22"/>
      <c r="K1363" s="25"/>
      <c r="L1363" s="25"/>
      <c r="M1363" s="22"/>
    </row>
    <row r="1364" spans="1:13">
      <c r="A1364" s="14">
        <v>2364</v>
      </c>
      <c r="B1364" s="67">
        <v>45261</v>
      </c>
      <c r="C1364" s="15">
        <f t="shared" si="45"/>
        <v>45261</v>
      </c>
      <c r="D1364" s="16"/>
      <c r="E1364" s="71"/>
      <c r="F1364" s="91">
        <v>50</v>
      </c>
      <c r="G1364" s="90"/>
      <c r="H1364" s="26">
        <f t="shared" si="46"/>
        <v>-2299963.1800000006</v>
      </c>
      <c r="I1364" s="25" t="s">
        <v>264</v>
      </c>
      <c r="J1364" s="22"/>
      <c r="K1364" s="25"/>
      <c r="L1364" s="25"/>
      <c r="M1364" s="22"/>
    </row>
    <row r="1365" spans="1:13">
      <c r="A1365" s="14">
        <v>2365</v>
      </c>
      <c r="B1365" s="67">
        <v>45261</v>
      </c>
      <c r="C1365" s="15">
        <f t="shared" si="45"/>
        <v>45261</v>
      </c>
      <c r="D1365" s="16"/>
      <c r="E1365" s="72"/>
      <c r="F1365" s="91">
        <v>27000</v>
      </c>
      <c r="G1365" s="90"/>
      <c r="H1365" s="26">
        <f t="shared" si="46"/>
        <v>-2326963.1800000006</v>
      </c>
      <c r="I1365" s="25" t="s">
        <v>286</v>
      </c>
      <c r="J1365" s="22"/>
      <c r="K1365" s="25"/>
      <c r="L1365" s="25"/>
      <c r="M1365" s="22"/>
    </row>
    <row r="1366" spans="1:13">
      <c r="A1366" s="14">
        <v>2366</v>
      </c>
      <c r="B1366" s="67">
        <v>45261</v>
      </c>
      <c r="C1366" s="15">
        <f t="shared" ref="C1366:C1428" si="47">B1366</f>
        <v>45261</v>
      </c>
      <c r="D1366" s="16"/>
      <c r="E1366" s="71"/>
      <c r="F1366" s="91">
        <v>25</v>
      </c>
      <c r="G1366" s="90"/>
      <c r="H1366" s="26">
        <f t="shared" si="46"/>
        <v>-2326988.1800000006</v>
      </c>
      <c r="I1366" s="25" t="s">
        <v>264</v>
      </c>
      <c r="J1366" s="22"/>
      <c r="K1366" s="25"/>
      <c r="L1366" s="25"/>
      <c r="M1366" s="22"/>
    </row>
    <row r="1367" spans="1:13">
      <c r="A1367" s="14">
        <v>2367</v>
      </c>
      <c r="B1367" s="67">
        <v>45261</v>
      </c>
      <c r="C1367" s="15">
        <f t="shared" si="47"/>
        <v>45261</v>
      </c>
      <c r="D1367" s="16"/>
      <c r="E1367" s="72"/>
      <c r="F1367" s="91">
        <v>1.87</v>
      </c>
      <c r="G1367" s="90"/>
      <c r="H1367" s="26">
        <f t="shared" si="46"/>
        <v>-2326990.0500000007</v>
      </c>
      <c r="I1367" s="25" t="s">
        <v>264</v>
      </c>
      <c r="J1367" s="22"/>
      <c r="K1367" s="25"/>
      <c r="L1367" s="25"/>
      <c r="M1367" s="22"/>
    </row>
    <row r="1368" spans="1:13">
      <c r="A1368" s="14">
        <v>2368</v>
      </c>
      <c r="B1368" s="67">
        <v>45261</v>
      </c>
      <c r="C1368" s="15">
        <f t="shared" si="47"/>
        <v>45261</v>
      </c>
      <c r="D1368" s="16"/>
      <c r="E1368" s="71"/>
      <c r="F1368" s="91">
        <v>30</v>
      </c>
      <c r="G1368" s="90"/>
      <c r="H1368" s="26">
        <f t="shared" si="46"/>
        <v>-2327020.0500000007</v>
      </c>
      <c r="I1368" s="25" t="s">
        <v>264</v>
      </c>
      <c r="J1368" s="22"/>
      <c r="K1368" s="25"/>
      <c r="L1368" s="25"/>
      <c r="M1368" s="22"/>
    </row>
    <row r="1369" spans="1:13">
      <c r="A1369" s="14">
        <v>2369</v>
      </c>
      <c r="B1369" s="67">
        <v>45261</v>
      </c>
      <c r="C1369" s="15">
        <f t="shared" si="47"/>
        <v>45261</v>
      </c>
      <c r="D1369" s="16"/>
      <c r="E1369" s="72"/>
      <c r="F1369" s="91">
        <v>2.25</v>
      </c>
      <c r="G1369" s="90"/>
      <c r="H1369" s="26">
        <f t="shared" si="46"/>
        <v>-2327022.3000000007</v>
      </c>
      <c r="I1369" s="25" t="s">
        <v>264</v>
      </c>
      <c r="J1369" s="22"/>
      <c r="K1369" s="25"/>
      <c r="L1369" s="25"/>
      <c r="M1369" s="22"/>
    </row>
    <row r="1370" spans="1:13">
      <c r="A1370" s="14">
        <v>2370</v>
      </c>
      <c r="B1370" s="67">
        <v>45261</v>
      </c>
      <c r="C1370" s="15">
        <f t="shared" si="47"/>
        <v>45261</v>
      </c>
      <c r="D1370" s="16"/>
      <c r="E1370" s="71"/>
      <c r="F1370" s="91">
        <v>15</v>
      </c>
      <c r="G1370" s="90"/>
      <c r="H1370" s="26">
        <f t="shared" si="46"/>
        <v>-2327037.3000000007</v>
      </c>
      <c r="I1370" s="25" t="s">
        <v>264</v>
      </c>
      <c r="J1370" s="22"/>
      <c r="K1370" s="25"/>
      <c r="L1370" s="25"/>
      <c r="M1370" s="22"/>
    </row>
    <row r="1371" spans="1:13">
      <c r="A1371" s="14">
        <v>2371</v>
      </c>
      <c r="B1371" s="67">
        <v>45261</v>
      </c>
      <c r="C1371" s="15">
        <f t="shared" si="47"/>
        <v>45261</v>
      </c>
      <c r="D1371" s="16"/>
      <c r="E1371" s="72"/>
      <c r="F1371" s="91">
        <v>1.1299999999999999</v>
      </c>
      <c r="G1371" s="90"/>
      <c r="H1371" s="26">
        <f t="shared" si="46"/>
        <v>-2327038.4300000006</v>
      </c>
      <c r="I1371" s="25" t="s">
        <v>264</v>
      </c>
      <c r="J1371" s="22"/>
      <c r="K1371" s="25"/>
      <c r="L1371" s="25"/>
      <c r="M1371" s="22"/>
    </row>
    <row r="1372" spans="1:13">
      <c r="A1372" s="14">
        <v>2372</v>
      </c>
      <c r="B1372" s="67">
        <v>45268</v>
      </c>
      <c r="C1372" s="15">
        <f t="shared" si="47"/>
        <v>45268</v>
      </c>
      <c r="D1372" s="16"/>
      <c r="E1372" s="71"/>
      <c r="F1372" s="91">
        <v>27000</v>
      </c>
      <c r="G1372" s="90"/>
      <c r="H1372" s="26">
        <f t="shared" si="46"/>
        <v>-2354038.4300000006</v>
      </c>
      <c r="I1372" s="25" t="s">
        <v>286</v>
      </c>
      <c r="J1372" s="22"/>
      <c r="K1372" s="25"/>
      <c r="L1372" s="25"/>
      <c r="M1372" s="22"/>
    </row>
    <row r="1373" spans="1:13">
      <c r="A1373" s="14">
        <v>2373</v>
      </c>
      <c r="B1373" s="67">
        <v>45268</v>
      </c>
      <c r="C1373" s="15">
        <f t="shared" si="47"/>
        <v>45268</v>
      </c>
      <c r="D1373" s="16"/>
      <c r="E1373" s="72"/>
      <c r="F1373" s="91">
        <v>25</v>
      </c>
      <c r="G1373" s="90"/>
      <c r="H1373" s="26">
        <f t="shared" si="46"/>
        <v>-2354063.4300000006</v>
      </c>
      <c r="I1373" s="25" t="s">
        <v>264</v>
      </c>
      <c r="J1373" s="22"/>
      <c r="K1373" s="25"/>
      <c r="L1373" s="25"/>
      <c r="M1373" s="22"/>
    </row>
    <row r="1374" spans="1:13">
      <c r="A1374" s="14">
        <v>2374</v>
      </c>
      <c r="B1374" s="67">
        <v>45268</v>
      </c>
      <c r="C1374" s="15">
        <f t="shared" si="47"/>
        <v>45268</v>
      </c>
      <c r="D1374" s="16"/>
      <c r="E1374" s="71"/>
      <c r="F1374" s="91">
        <v>1.87</v>
      </c>
      <c r="G1374" s="90"/>
      <c r="H1374" s="26">
        <f t="shared" si="46"/>
        <v>-2354065.3000000007</v>
      </c>
      <c r="I1374" s="25" t="s">
        <v>264</v>
      </c>
      <c r="J1374" s="22"/>
      <c r="K1374" s="25"/>
      <c r="L1374" s="25"/>
      <c r="M1374" s="22"/>
    </row>
    <row r="1375" spans="1:13">
      <c r="A1375" s="14">
        <v>2375</v>
      </c>
      <c r="B1375" s="67">
        <v>45268</v>
      </c>
      <c r="C1375" s="15">
        <f t="shared" si="47"/>
        <v>45268</v>
      </c>
      <c r="D1375" s="16"/>
      <c r="E1375" s="72"/>
      <c r="F1375" s="91">
        <v>8200</v>
      </c>
      <c r="G1375" s="90"/>
      <c r="H1375" s="26">
        <f t="shared" si="46"/>
        <v>-2362265.3000000007</v>
      </c>
      <c r="I1375" s="25" t="s">
        <v>284</v>
      </c>
      <c r="J1375" s="22"/>
      <c r="K1375" s="25"/>
      <c r="L1375" s="25"/>
      <c r="M1375" s="22"/>
    </row>
    <row r="1376" spans="1:13">
      <c r="A1376" s="14">
        <v>2376</v>
      </c>
      <c r="B1376" s="67">
        <v>45268</v>
      </c>
      <c r="C1376" s="15">
        <f t="shared" si="47"/>
        <v>45268</v>
      </c>
      <c r="D1376" s="16"/>
      <c r="E1376" s="71"/>
      <c r="F1376" s="91">
        <v>25</v>
      </c>
      <c r="G1376" s="90"/>
      <c r="H1376" s="26">
        <f t="shared" si="46"/>
        <v>-2362290.3000000007</v>
      </c>
      <c r="I1376" s="25" t="s">
        <v>264</v>
      </c>
      <c r="J1376" s="22"/>
      <c r="K1376" s="25"/>
      <c r="L1376" s="25"/>
      <c r="M1376" s="22"/>
    </row>
    <row r="1377" spans="1:13">
      <c r="A1377" s="14">
        <v>2377</v>
      </c>
      <c r="B1377" s="67">
        <v>45268</v>
      </c>
      <c r="C1377" s="15">
        <f t="shared" si="47"/>
        <v>45268</v>
      </c>
      <c r="D1377" s="16"/>
      <c r="E1377" s="72"/>
      <c r="F1377" s="91">
        <v>1.87</v>
      </c>
      <c r="G1377" s="90"/>
      <c r="H1377" s="26">
        <f t="shared" si="46"/>
        <v>-2362292.1700000009</v>
      </c>
      <c r="I1377" s="25" t="s">
        <v>264</v>
      </c>
      <c r="J1377" s="22"/>
      <c r="K1377" s="25"/>
      <c r="L1377" s="25"/>
      <c r="M1377" s="22"/>
    </row>
    <row r="1378" spans="1:13">
      <c r="A1378" s="14">
        <v>2378</v>
      </c>
      <c r="B1378" s="67">
        <v>45268</v>
      </c>
      <c r="C1378" s="15">
        <f t="shared" si="47"/>
        <v>45268</v>
      </c>
      <c r="D1378" s="16"/>
      <c r="E1378" s="71"/>
      <c r="F1378" s="91">
        <v>120000</v>
      </c>
      <c r="G1378" s="90"/>
      <c r="H1378" s="26">
        <f t="shared" si="46"/>
        <v>-2482292.1700000009</v>
      </c>
      <c r="I1378" s="25" t="s">
        <v>285</v>
      </c>
      <c r="J1378" s="22"/>
      <c r="K1378" s="25"/>
      <c r="L1378" s="25"/>
      <c r="M1378" s="22"/>
    </row>
    <row r="1379" spans="1:13">
      <c r="A1379" s="14">
        <v>2379</v>
      </c>
      <c r="B1379" s="67">
        <v>45268</v>
      </c>
      <c r="C1379" s="15">
        <f t="shared" si="47"/>
        <v>45268</v>
      </c>
      <c r="D1379" s="16"/>
      <c r="E1379" s="72"/>
      <c r="F1379" s="91">
        <v>50</v>
      </c>
      <c r="G1379" s="90"/>
      <c r="H1379" s="26">
        <f t="shared" si="46"/>
        <v>-2482342.1700000009</v>
      </c>
      <c r="I1379" s="25" t="s">
        <v>264</v>
      </c>
      <c r="J1379" s="22"/>
      <c r="K1379" s="25"/>
      <c r="L1379" s="25"/>
      <c r="M1379" s="22"/>
    </row>
    <row r="1380" spans="1:13">
      <c r="A1380" s="14">
        <v>2380</v>
      </c>
      <c r="B1380" s="67">
        <v>45268</v>
      </c>
      <c r="C1380" s="15">
        <f t="shared" si="47"/>
        <v>45268</v>
      </c>
      <c r="D1380" s="16"/>
      <c r="E1380" s="71"/>
      <c r="F1380" s="91">
        <v>3.75</v>
      </c>
      <c r="G1380" s="90"/>
      <c r="H1380" s="26">
        <f t="shared" si="46"/>
        <v>-2482345.9200000009</v>
      </c>
      <c r="I1380" s="25" t="s">
        <v>264</v>
      </c>
      <c r="J1380" s="22"/>
      <c r="K1380" s="25"/>
      <c r="L1380" s="25"/>
      <c r="M1380" s="22"/>
    </row>
    <row r="1381" spans="1:13">
      <c r="A1381" s="14">
        <v>2381</v>
      </c>
      <c r="B1381" s="67">
        <v>45268</v>
      </c>
      <c r="C1381" s="15">
        <f t="shared" si="47"/>
        <v>45268</v>
      </c>
      <c r="D1381" s="16"/>
      <c r="E1381" s="72"/>
      <c r="F1381" s="91">
        <v>50000</v>
      </c>
      <c r="G1381" s="90"/>
      <c r="H1381" s="26">
        <f t="shared" si="46"/>
        <v>-2532345.9200000009</v>
      </c>
      <c r="I1381" s="25" t="s">
        <v>310</v>
      </c>
      <c r="J1381" s="22"/>
      <c r="K1381" s="25"/>
      <c r="L1381" s="25"/>
      <c r="M1381" s="22"/>
    </row>
    <row r="1382" spans="1:13">
      <c r="A1382" s="14">
        <v>2382</v>
      </c>
      <c r="B1382" s="67">
        <v>45268</v>
      </c>
      <c r="C1382" s="15">
        <f t="shared" si="47"/>
        <v>45268</v>
      </c>
      <c r="D1382" s="16"/>
      <c r="E1382" s="71"/>
      <c r="F1382" s="91">
        <v>25</v>
      </c>
      <c r="G1382" s="90"/>
      <c r="H1382" s="26">
        <f t="shared" si="46"/>
        <v>-2532370.9200000009</v>
      </c>
      <c r="I1382" s="25" t="s">
        <v>264</v>
      </c>
      <c r="J1382" s="22"/>
      <c r="K1382" s="25"/>
      <c r="L1382" s="25"/>
      <c r="M1382" s="22"/>
    </row>
    <row r="1383" spans="1:13">
      <c r="A1383" s="14">
        <v>2383</v>
      </c>
      <c r="B1383" s="67">
        <v>45268</v>
      </c>
      <c r="C1383" s="15">
        <f t="shared" si="47"/>
        <v>45268</v>
      </c>
      <c r="D1383" s="16"/>
      <c r="E1383" s="72"/>
      <c r="F1383" s="91">
        <v>1.87</v>
      </c>
      <c r="G1383" s="90"/>
      <c r="H1383" s="26">
        <f t="shared" si="46"/>
        <v>-2532372.790000001</v>
      </c>
      <c r="I1383" s="25" t="s">
        <v>264</v>
      </c>
      <c r="J1383" s="22"/>
      <c r="K1383" s="25"/>
      <c r="L1383" s="25"/>
      <c r="M1383" s="22"/>
    </row>
    <row r="1384" spans="1:13">
      <c r="A1384" s="14">
        <v>2384</v>
      </c>
      <c r="B1384" s="67">
        <v>45273</v>
      </c>
      <c r="C1384" s="15">
        <f t="shared" si="47"/>
        <v>45273</v>
      </c>
      <c r="D1384" s="16"/>
      <c r="E1384" s="71"/>
      <c r="F1384" s="90"/>
      <c r="G1384" s="91">
        <v>21690000</v>
      </c>
      <c r="H1384" s="26">
        <f t="shared" si="46"/>
        <v>19157627.210000001</v>
      </c>
      <c r="I1384" s="25" t="s">
        <v>300</v>
      </c>
      <c r="J1384" s="22"/>
      <c r="K1384" s="25"/>
      <c r="L1384" s="25"/>
      <c r="M1384" s="22"/>
    </row>
    <row r="1385" spans="1:13">
      <c r="A1385" s="14">
        <v>2385</v>
      </c>
      <c r="B1385" s="67">
        <v>45273</v>
      </c>
      <c r="C1385" s="15">
        <f t="shared" si="47"/>
        <v>45273</v>
      </c>
      <c r="D1385" s="16"/>
      <c r="E1385" s="72"/>
      <c r="F1385" s="91">
        <v>50</v>
      </c>
      <c r="G1385" s="95"/>
      <c r="H1385" s="26">
        <f t="shared" si="46"/>
        <v>19157577.210000001</v>
      </c>
      <c r="I1385" s="25" t="s">
        <v>264</v>
      </c>
      <c r="J1385" s="22"/>
      <c r="K1385" s="25"/>
      <c r="L1385" s="25"/>
      <c r="M1385" s="22"/>
    </row>
    <row r="1386" spans="1:13">
      <c r="A1386" s="14">
        <v>2386</v>
      </c>
      <c r="B1386" s="67">
        <v>45274</v>
      </c>
      <c r="C1386" s="15">
        <f t="shared" si="47"/>
        <v>45274</v>
      </c>
      <c r="D1386" s="16"/>
      <c r="E1386" s="71"/>
      <c r="F1386" s="91">
        <v>500</v>
      </c>
      <c r="G1386" s="90"/>
      <c r="H1386" s="26">
        <f t="shared" si="46"/>
        <v>19157077.210000001</v>
      </c>
      <c r="I1386" s="25" t="s">
        <v>275</v>
      </c>
      <c r="J1386" s="22"/>
      <c r="K1386" s="25"/>
      <c r="L1386" s="25"/>
      <c r="M1386" s="22"/>
    </row>
    <row r="1387" spans="1:13">
      <c r="A1387" s="14">
        <v>2387</v>
      </c>
      <c r="B1387" s="67">
        <v>45274</v>
      </c>
      <c r="C1387" s="15">
        <f t="shared" si="47"/>
        <v>45274</v>
      </c>
      <c r="D1387" s="16"/>
      <c r="E1387" s="72"/>
      <c r="F1387" s="91">
        <v>120000</v>
      </c>
      <c r="G1387" s="90"/>
      <c r="H1387" s="26">
        <f t="shared" si="46"/>
        <v>19037077.210000001</v>
      </c>
      <c r="I1387" s="25" t="s">
        <v>285</v>
      </c>
      <c r="J1387" s="22"/>
      <c r="K1387" s="25"/>
      <c r="L1387" s="25"/>
      <c r="M1387" s="22"/>
    </row>
    <row r="1388" spans="1:13">
      <c r="A1388" s="14">
        <v>2388</v>
      </c>
      <c r="B1388" s="67">
        <v>45274</v>
      </c>
      <c r="C1388" s="15">
        <f t="shared" si="47"/>
        <v>45274</v>
      </c>
      <c r="D1388" s="16"/>
      <c r="E1388" s="71"/>
      <c r="F1388" s="91">
        <v>50</v>
      </c>
      <c r="G1388" s="90"/>
      <c r="H1388" s="26">
        <f t="shared" ref="H1388:H1451" si="48">IFERROR(H1387-F1388+G1388,"")</f>
        <v>19037027.210000001</v>
      </c>
      <c r="I1388" s="25" t="s">
        <v>264</v>
      </c>
      <c r="J1388" s="22"/>
      <c r="K1388" s="25"/>
      <c r="L1388" s="25"/>
      <c r="M1388" s="22"/>
    </row>
    <row r="1389" spans="1:13">
      <c r="A1389" s="14">
        <v>2389</v>
      </c>
      <c r="B1389" s="67">
        <v>45274</v>
      </c>
      <c r="C1389" s="15">
        <f t="shared" si="47"/>
        <v>45274</v>
      </c>
      <c r="D1389" s="16"/>
      <c r="E1389" s="72"/>
      <c r="F1389" s="91">
        <v>3.75</v>
      </c>
      <c r="G1389" s="90"/>
      <c r="H1389" s="26">
        <f t="shared" si="48"/>
        <v>19037023.460000001</v>
      </c>
      <c r="I1389" s="25" t="s">
        <v>264</v>
      </c>
      <c r="J1389" s="22"/>
      <c r="K1389" s="25"/>
      <c r="L1389" s="25"/>
      <c r="M1389" s="22"/>
    </row>
    <row r="1390" spans="1:13">
      <c r="A1390" s="14">
        <v>2390</v>
      </c>
      <c r="B1390" s="67">
        <v>45274</v>
      </c>
      <c r="C1390" s="15">
        <f t="shared" si="47"/>
        <v>45274</v>
      </c>
      <c r="D1390" s="16"/>
      <c r="E1390" s="71"/>
      <c r="F1390" s="91">
        <v>110400</v>
      </c>
      <c r="G1390" s="90"/>
      <c r="H1390" s="26">
        <f t="shared" si="48"/>
        <v>18926623.460000001</v>
      </c>
      <c r="I1390" s="25" t="s">
        <v>275</v>
      </c>
      <c r="J1390" s="22"/>
      <c r="K1390" s="25"/>
      <c r="L1390" s="25"/>
      <c r="M1390" s="22"/>
    </row>
    <row r="1391" spans="1:13">
      <c r="A1391" s="14">
        <v>2391</v>
      </c>
      <c r="B1391" s="67">
        <v>45274</v>
      </c>
      <c r="C1391" s="15">
        <f t="shared" si="47"/>
        <v>45274</v>
      </c>
      <c r="D1391" s="16"/>
      <c r="E1391" s="72"/>
      <c r="F1391" s="91">
        <v>50</v>
      </c>
      <c r="G1391" s="90"/>
      <c r="H1391" s="26">
        <f t="shared" si="48"/>
        <v>18926573.460000001</v>
      </c>
      <c r="I1391" s="25" t="s">
        <v>264</v>
      </c>
      <c r="J1391" s="22"/>
      <c r="K1391" s="25"/>
      <c r="L1391" s="25"/>
      <c r="M1391" s="22"/>
    </row>
    <row r="1392" spans="1:13">
      <c r="A1392" s="14">
        <v>2392</v>
      </c>
      <c r="B1392" s="67">
        <v>45274</v>
      </c>
      <c r="C1392" s="15">
        <f t="shared" si="47"/>
        <v>45274</v>
      </c>
      <c r="D1392" s="16"/>
      <c r="E1392" s="71"/>
      <c r="F1392" s="91">
        <v>3.75</v>
      </c>
      <c r="G1392" s="90"/>
      <c r="H1392" s="26">
        <f t="shared" si="48"/>
        <v>18926569.710000001</v>
      </c>
      <c r="I1392" s="25" t="s">
        <v>264</v>
      </c>
      <c r="J1392" s="22"/>
      <c r="K1392" s="25"/>
      <c r="L1392" s="25"/>
      <c r="M1392" s="22"/>
    </row>
    <row r="1393" spans="1:13">
      <c r="A1393" s="14">
        <v>2393</v>
      </c>
      <c r="B1393" s="67">
        <v>45274</v>
      </c>
      <c r="C1393" s="15">
        <f t="shared" si="47"/>
        <v>45274</v>
      </c>
      <c r="D1393" s="16"/>
      <c r="E1393" s="72"/>
      <c r="F1393" s="91">
        <v>32000</v>
      </c>
      <c r="G1393" s="90"/>
      <c r="H1393" s="26">
        <f t="shared" si="48"/>
        <v>18894569.710000001</v>
      </c>
      <c r="I1393" s="25" t="s">
        <v>269</v>
      </c>
      <c r="J1393" s="22"/>
      <c r="K1393" s="25"/>
      <c r="L1393" s="25"/>
      <c r="M1393" s="22"/>
    </row>
    <row r="1394" spans="1:13">
      <c r="A1394" s="14">
        <v>2394</v>
      </c>
      <c r="B1394" s="67">
        <v>45274</v>
      </c>
      <c r="C1394" s="15">
        <f t="shared" si="47"/>
        <v>45274</v>
      </c>
      <c r="D1394" s="16"/>
      <c r="E1394" s="71"/>
      <c r="F1394" s="91">
        <v>4000</v>
      </c>
      <c r="G1394" s="90"/>
      <c r="H1394" s="26">
        <f t="shared" si="48"/>
        <v>18890569.710000001</v>
      </c>
      <c r="I1394" s="25" t="s">
        <v>295</v>
      </c>
      <c r="J1394" s="22"/>
      <c r="K1394" s="25"/>
      <c r="L1394" s="25"/>
      <c r="M1394" s="22"/>
    </row>
    <row r="1395" spans="1:13">
      <c r="A1395" s="14">
        <v>2395</v>
      </c>
      <c r="B1395" s="67">
        <v>45274</v>
      </c>
      <c r="C1395" s="15">
        <f t="shared" si="47"/>
        <v>45274</v>
      </c>
      <c r="D1395" s="16"/>
      <c r="E1395" s="72"/>
      <c r="F1395" s="91">
        <v>29000</v>
      </c>
      <c r="G1395" s="90"/>
      <c r="H1395" s="26">
        <f t="shared" si="48"/>
        <v>18861569.710000001</v>
      </c>
      <c r="I1395" s="25" t="s">
        <v>295</v>
      </c>
      <c r="J1395" s="22"/>
      <c r="K1395" s="25"/>
      <c r="L1395" s="25"/>
      <c r="M1395" s="22"/>
    </row>
    <row r="1396" spans="1:13">
      <c r="A1396" s="14">
        <v>2396</v>
      </c>
      <c r="B1396" s="67">
        <v>45274</v>
      </c>
      <c r="C1396" s="15">
        <f t="shared" si="47"/>
        <v>45274</v>
      </c>
      <c r="D1396" s="16"/>
      <c r="E1396" s="71"/>
      <c r="F1396" s="91">
        <v>25</v>
      </c>
      <c r="G1396" s="90"/>
      <c r="H1396" s="26">
        <f t="shared" si="48"/>
        <v>18861544.710000001</v>
      </c>
      <c r="I1396" s="25" t="s">
        <v>264</v>
      </c>
      <c r="J1396" s="22"/>
      <c r="K1396" s="25"/>
      <c r="L1396" s="25"/>
      <c r="M1396" s="22"/>
    </row>
    <row r="1397" spans="1:13">
      <c r="A1397" s="14">
        <v>2397</v>
      </c>
      <c r="B1397" s="67">
        <v>45274</v>
      </c>
      <c r="C1397" s="15">
        <f t="shared" si="47"/>
        <v>45274</v>
      </c>
      <c r="D1397" s="16"/>
      <c r="E1397" s="72"/>
      <c r="F1397" s="91">
        <v>1.87</v>
      </c>
      <c r="G1397" s="90"/>
      <c r="H1397" s="26">
        <f t="shared" si="48"/>
        <v>18861542.84</v>
      </c>
      <c r="I1397" s="25" t="s">
        <v>264</v>
      </c>
      <c r="J1397" s="22"/>
      <c r="K1397" s="25"/>
      <c r="L1397" s="25"/>
      <c r="M1397" s="22"/>
    </row>
    <row r="1398" spans="1:13">
      <c r="A1398" s="14">
        <v>2398</v>
      </c>
      <c r="B1398" s="67">
        <v>45274</v>
      </c>
      <c r="C1398" s="15">
        <f t="shared" si="47"/>
        <v>45274</v>
      </c>
      <c r="D1398" s="16"/>
      <c r="E1398" s="71"/>
      <c r="F1398" s="91">
        <v>1000</v>
      </c>
      <c r="G1398" s="90"/>
      <c r="H1398" s="26">
        <f t="shared" si="48"/>
        <v>18860542.84</v>
      </c>
      <c r="I1398" s="25" t="s">
        <v>275</v>
      </c>
      <c r="J1398" s="22"/>
      <c r="K1398" s="25"/>
      <c r="L1398" s="25"/>
      <c r="M1398" s="22"/>
    </row>
    <row r="1399" spans="1:13">
      <c r="A1399" s="14">
        <v>2399</v>
      </c>
      <c r="B1399" s="67">
        <v>45274</v>
      </c>
      <c r="C1399" s="15">
        <f t="shared" si="47"/>
        <v>45274</v>
      </c>
      <c r="D1399" s="16"/>
      <c r="E1399" s="72"/>
      <c r="F1399" s="91">
        <v>500</v>
      </c>
      <c r="G1399" s="95"/>
      <c r="H1399" s="26">
        <f t="shared" si="48"/>
        <v>18860042.84</v>
      </c>
      <c r="I1399" s="25" t="s">
        <v>275</v>
      </c>
      <c r="J1399" s="22"/>
      <c r="K1399" s="25"/>
      <c r="L1399" s="25"/>
      <c r="M1399" s="22"/>
    </row>
    <row r="1400" spans="1:13">
      <c r="A1400" s="14">
        <v>2400</v>
      </c>
      <c r="B1400" s="67">
        <v>45274</v>
      </c>
      <c r="C1400" s="15">
        <f t="shared" si="47"/>
        <v>45274</v>
      </c>
      <c r="D1400" s="16"/>
      <c r="E1400" s="71"/>
      <c r="F1400" s="91">
        <v>22590</v>
      </c>
      <c r="G1400" s="90"/>
      <c r="H1400" s="26">
        <f t="shared" si="48"/>
        <v>18837452.84</v>
      </c>
      <c r="I1400" s="25" t="s">
        <v>318</v>
      </c>
      <c r="J1400" s="22"/>
      <c r="K1400" s="25"/>
      <c r="L1400" s="25"/>
      <c r="M1400" s="22"/>
    </row>
    <row r="1401" spans="1:13">
      <c r="A1401" s="14">
        <v>2401</v>
      </c>
      <c r="B1401" s="67">
        <v>45274</v>
      </c>
      <c r="C1401" s="15">
        <f t="shared" si="47"/>
        <v>45274</v>
      </c>
      <c r="D1401" s="16"/>
      <c r="E1401" s="72"/>
      <c r="F1401" s="91">
        <v>25</v>
      </c>
      <c r="G1401" s="90"/>
      <c r="H1401" s="26">
        <f t="shared" si="48"/>
        <v>18837427.84</v>
      </c>
      <c r="I1401" s="25" t="s">
        <v>264</v>
      </c>
      <c r="J1401" s="22"/>
      <c r="K1401" s="25"/>
      <c r="L1401" s="25"/>
      <c r="M1401" s="22"/>
    </row>
    <row r="1402" spans="1:13">
      <c r="A1402" s="14">
        <v>2402</v>
      </c>
      <c r="B1402" s="67">
        <v>45274</v>
      </c>
      <c r="C1402" s="15">
        <f t="shared" si="47"/>
        <v>45274</v>
      </c>
      <c r="D1402" s="16"/>
      <c r="E1402" s="71"/>
      <c r="F1402" s="91">
        <v>1.87</v>
      </c>
      <c r="G1402" s="90"/>
      <c r="H1402" s="26">
        <f t="shared" si="48"/>
        <v>18837425.969999999</v>
      </c>
      <c r="I1402" s="25" t="s">
        <v>264</v>
      </c>
      <c r="J1402" s="22"/>
      <c r="K1402" s="25"/>
      <c r="L1402" s="25"/>
      <c r="M1402" s="22"/>
    </row>
    <row r="1403" spans="1:13">
      <c r="A1403" s="14">
        <v>2403</v>
      </c>
      <c r="B1403" s="67">
        <v>45276</v>
      </c>
      <c r="C1403" s="15">
        <f t="shared" si="47"/>
        <v>45276</v>
      </c>
      <c r="D1403" s="16"/>
      <c r="E1403" s="72"/>
      <c r="F1403" s="91">
        <v>7600</v>
      </c>
      <c r="G1403" s="90"/>
      <c r="H1403" s="26">
        <f t="shared" si="48"/>
        <v>18829825.969999999</v>
      </c>
      <c r="I1403" s="25" t="s">
        <v>319</v>
      </c>
      <c r="J1403" s="22"/>
      <c r="K1403" s="25"/>
      <c r="L1403" s="25"/>
      <c r="M1403" s="22"/>
    </row>
    <row r="1404" spans="1:13">
      <c r="A1404" s="14">
        <v>2404</v>
      </c>
      <c r="B1404" s="67">
        <v>45276</v>
      </c>
      <c r="C1404" s="15">
        <f t="shared" si="47"/>
        <v>45276</v>
      </c>
      <c r="D1404" s="16"/>
      <c r="E1404" s="71"/>
      <c r="F1404" s="91">
        <v>294000</v>
      </c>
      <c r="G1404" s="90"/>
      <c r="H1404" s="26">
        <f t="shared" si="48"/>
        <v>18535825.969999999</v>
      </c>
      <c r="I1404" s="25" t="s">
        <v>275</v>
      </c>
      <c r="J1404" s="22"/>
      <c r="K1404" s="25"/>
      <c r="L1404" s="25"/>
      <c r="M1404" s="22"/>
    </row>
    <row r="1405" spans="1:13">
      <c r="A1405" s="14">
        <v>2405</v>
      </c>
      <c r="B1405" s="67">
        <v>45276</v>
      </c>
      <c r="C1405" s="15">
        <f t="shared" si="47"/>
        <v>45276</v>
      </c>
      <c r="D1405" s="16"/>
      <c r="E1405" s="72"/>
      <c r="F1405" s="91">
        <v>50</v>
      </c>
      <c r="G1405" s="90"/>
      <c r="H1405" s="26">
        <f t="shared" si="48"/>
        <v>18535775.969999999</v>
      </c>
      <c r="I1405" s="25" t="s">
        <v>264</v>
      </c>
      <c r="J1405" s="22"/>
      <c r="K1405" s="25"/>
      <c r="L1405" s="25"/>
      <c r="M1405" s="22"/>
    </row>
    <row r="1406" spans="1:13">
      <c r="A1406" s="14">
        <v>2406</v>
      </c>
      <c r="B1406" s="67">
        <v>45276</v>
      </c>
      <c r="C1406" s="15">
        <f t="shared" si="47"/>
        <v>45276</v>
      </c>
      <c r="D1406" s="16"/>
      <c r="E1406" s="71"/>
      <c r="F1406" s="91">
        <v>3.75</v>
      </c>
      <c r="G1406" s="90"/>
      <c r="H1406" s="26">
        <f t="shared" si="48"/>
        <v>18535772.219999999</v>
      </c>
      <c r="I1406" s="25" t="s">
        <v>264</v>
      </c>
      <c r="J1406" s="22"/>
      <c r="K1406" s="25"/>
      <c r="L1406" s="25"/>
      <c r="M1406" s="22"/>
    </row>
    <row r="1407" spans="1:13">
      <c r="A1407" s="14">
        <v>2407</v>
      </c>
      <c r="B1407" s="67">
        <v>45276</v>
      </c>
      <c r="C1407" s="15">
        <f t="shared" si="47"/>
        <v>45276</v>
      </c>
      <c r="D1407" s="16"/>
      <c r="E1407" s="72"/>
      <c r="F1407" s="96">
        <v>42000</v>
      </c>
      <c r="G1407" s="94"/>
      <c r="H1407" s="26">
        <f t="shared" si="48"/>
        <v>18493772.219999999</v>
      </c>
      <c r="I1407" s="25" t="s">
        <v>285</v>
      </c>
      <c r="J1407" s="22"/>
      <c r="K1407" s="25"/>
      <c r="L1407" s="25"/>
      <c r="M1407" s="22"/>
    </row>
    <row r="1408" spans="1:13">
      <c r="A1408" s="14">
        <v>2408</v>
      </c>
      <c r="B1408" s="67">
        <v>45276</v>
      </c>
      <c r="C1408" s="15">
        <f t="shared" si="47"/>
        <v>45276</v>
      </c>
      <c r="D1408" s="16"/>
      <c r="E1408" s="71"/>
      <c r="F1408" s="91">
        <v>25</v>
      </c>
      <c r="G1408" s="90"/>
      <c r="H1408" s="26">
        <f t="shared" si="48"/>
        <v>18493747.219999999</v>
      </c>
      <c r="I1408" s="25" t="s">
        <v>264</v>
      </c>
      <c r="J1408" s="22"/>
      <c r="K1408" s="25"/>
      <c r="L1408" s="25"/>
      <c r="M1408" s="22"/>
    </row>
    <row r="1409" spans="1:13">
      <c r="A1409" s="14">
        <v>2409</v>
      </c>
      <c r="B1409" s="67">
        <v>45276</v>
      </c>
      <c r="C1409" s="15">
        <f t="shared" si="47"/>
        <v>45276</v>
      </c>
      <c r="D1409" s="16"/>
      <c r="E1409" s="72"/>
      <c r="F1409" s="91">
        <v>1.87</v>
      </c>
      <c r="G1409" s="90"/>
      <c r="H1409" s="26">
        <f t="shared" si="48"/>
        <v>18493745.349999998</v>
      </c>
      <c r="I1409" s="25" t="s">
        <v>264</v>
      </c>
      <c r="J1409" s="22"/>
      <c r="K1409" s="25"/>
      <c r="L1409" s="25"/>
      <c r="M1409" s="22"/>
    </row>
    <row r="1410" spans="1:13">
      <c r="A1410" s="14">
        <v>2410</v>
      </c>
      <c r="B1410" s="67">
        <v>45276</v>
      </c>
      <c r="C1410" s="15">
        <f t="shared" si="47"/>
        <v>45276</v>
      </c>
      <c r="D1410" s="16"/>
      <c r="E1410" s="71"/>
      <c r="F1410" s="91">
        <v>405000</v>
      </c>
      <c r="G1410" s="90"/>
      <c r="H1410" s="26">
        <f t="shared" si="48"/>
        <v>18088745.349999998</v>
      </c>
      <c r="I1410" s="25" t="s">
        <v>275</v>
      </c>
      <c r="J1410" s="22"/>
      <c r="K1410" s="25"/>
      <c r="L1410" s="25"/>
      <c r="M1410" s="22"/>
    </row>
    <row r="1411" spans="1:13">
      <c r="A1411" s="14">
        <v>2411</v>
      </c>
      <c r="B1411" s="67">
        <v>45276</v>
      </c>
      <c r="C1411" s="15">
        <f t="shared" si="47"/>
        <v>45276</v>
      </c>
      <c r="D1411" s="16"/>
      <c r="E1411" s="72"/>
      <c r="F1411" s="91">
        <v>50</v>
      </c>
      <c r="G1411" s="90"/>
      <c r="H1411" s="26">
        <f t="shared" si="48"/>
        <v>18088695.349999998</v>
      </c>
      <c r="I1411" s="25" t="s">
        <v>264</v>
      </c>
      <c r="J1411" s="22"/>
      <c r="K1411" s="25"/>
      <c r="L1411" s="25"/>
      <c r="M1411" s="22"/>
    </row>
    <row r="1412" spans="1:13">
      <c r="A1412" s="14">
        <v>2412</v>
      </c>
      <c r="B1412" s="67">
        <v>45276</v>
      </c>
      <c r="C1412" s="15">
        <f t="shared" si="47"/>
        <v>45276</v>
      </c>
      <c r="D1412" s="16"/>
      <c r="E1412" s="71"/>
      <c r="F1412" s="91">
        <v>3.75</v>
      </c>
      <c r="G1412" s="90"/>
      <c r="H1412" s="26">
        <f t="shared" si="48"/>
        <v>18088691.599999998</v>
      </c>
      <c r="I1412" s="25" t="s">
        <v>264</v>
      </c>
      <c r="J1412" s="22"/>
      <c r="K1412" s="25"/>
      <c r="L1412" s="25"/>
      <c r="M1412" s="22"/>
    </row>
    <row r="1413" spans="1:13">
      <c r="A1413" s="14">
        <v>2413</v>
      </c>
      <c r="B1413" s="67">
        <v>45276</v>
      </c>
      <c r="C1413" s="15">
        <f t="shared" si="47"/>
        <v>45276</v>
      </c>
      <c r="D1413" s="16"/>
      <c r="E1413" s="72"/>
      <c r="F1413" s="91">
        <v>33000</v>
      </c>
      <c r="G1413" s="90"/>
      <c r="H1413" s="26">
        <f t="shared" si="48"/>
        <v>18055691.599999998</v>
      </c>
      <c r="I1413" s="25" t="s">
        <v>275</v>
      </c>
      <c r="J1413" s="22"/>
      <c r="K1413" s="25"/>
      <c r="L1413" s="25"/>
      <c r="M1413" s="22"/>
    </row>
    <row r="1414" spans="1:13">
      <c r="A1414" s="14">
        <v>2414</v>
      </c>
      <c r="B1414" s="67">
        <v>45276</v>
      </c>
      <c r="C1414" s="15">
        <f t="shared" si="47"/>
        <v>45276</v>
      </c>
      <c r="D1414" s="16"/>
      <c r="E1414" s="71"/>
      <c r="F1414" s="91">
        <v>1.87</v>
      </c>
      <c r="G1414" s="90"/>
      <c r="H1414" s="26">
        <f t="shared" si="48"/>
        <v>18055689.729999997</v>
      </c>
      <c r="I1414" s="25" t="s">
        <v>264</v>
      </c>
      <c r="J1414" s="22"/>
      <c r="K1414" s="25"/>
      <c r="L1414" s="25"/>
      <c r="M1414" s="22"/>
    </row>
    <row r="1415" spans="1:13">
      <c r="A1415" s="14">
        <v>2415</v>
      </c>
      <c r="B1415" s="67">
        <v>45276</v>
      </c>
      <c r="C1415" s="15">
        <f t="shared" si="47"/>
        <v>45276</v>
      </c>
      <c r="D1415" s="16"/>
      <c r="E1415" s="72"/>
      <c r="F1415" s="90"/>
      <c r="G1415" s="91">
        <v>96672.66</v>
      </c>
      <c r="H1415" s="26">
        <f t="shared" si="48"/>
        <v>18152362.389999997</v>
      </c>
      <c r="I1415" s="25" t="s">
        <v>317</v>
      </c>
      <c r="J1415" s="22"/>
      <c r="K1415" s="25"/>
      <c r="L1415" s="25"/>
      <c r="M1415" s="22"/>
    </row>
    <row r="1416" spans="1:13">
      <c r="A1416" s="14">
        <v>2416</v>
      </c>
      <c r="B1416" s="67">
        <v>45276</v>
      </c>
      <c r="C1416" s="15">
        <f t="shared" si="47"/>
        <v>45276</v>
      </c>
      <c r="D1416" s="16"/>
      <c r="E1416" s="71"/>
      <c r="F1416" s="91">
        <v>50</v>
      </c>
      <c r="G1416" s="95"/>
      <c r="H1416" s="26">
        <f t="shared" si="48"/>
        <v>18152312.389999997</v>
      </c>
      <c r="I1416" s="25" t="s">
        <v>264</v>
      </c>
      <c r="J1416" s="22"/>
      <c r="K1416" s="25"/>
      <c r="L1416" s="25"/>
      <c r="M1416" s="22"/>
    </row>
    <row r="1417" spans="1:13">
      <c r="A1417" s="14">
        <v>2417</v>
      </c>
      <c r="B1417" s="67">
        <v>45279</v>
      </c>
      <c r="C1417" s="15">
        <f t="shared" si="47"/>
        <v>45279</v>
      </c>
      <c r="D1417" s="16"/>
      <c r="E1417" s="72"/>
      <c r="F1417" s="91">
        <v>32000</v>
      </c>
      <c r="G1417" s="90"/>
      <c r="H1417" s="26">
        <f t="shared" si="48"/>
        <v>18120312.389999997</v>
      </c>
      <c r="I1417" s="25" t="s">
        <v>269</v>
      </c>
      <c r="J1417" s="22"/>
      <c r="K1417" s="25"/>
      <c r="L1417" s="25"/>
      <c r="M1417" s="22"/>
    </row>
    <row r="1418" spans="1:13">
      <c r="A1418" s="14">
        <v>2418</v>
      </c>
      <c r="B1418" s="67">
        <v>45279</v>
      </c>
      <c r="C1418" s="15">
        <f t="shared" si="47"/>
        <v>45279</v>
      </c>
      <c r="D1418" s="16"/>
      <c r="E1418" s="71"/>
      <c r="F1418" s="91">
        <v>40500</v>
      </c>
      <c r="G1418" s="90"/>
      <c r="H1418" s="26">
        <f t="shared" si="48"/>
        <v>18079812.389999997</v>
      </c>
      <c r="I1418" s="25" t="s">
        <v>286</v>
      </c>
      <c r="J1418" s="22"/>
      <c r="K1418" s="25"/>
      <c r="L1418" s="25"/>
      <c r="M1418" s="22"/>
    </row>
    <row r="1419" spans="1:13">
      <c r="A1419" s="14">
        <v>2419</v>
      </c>
      <c r="B1419" s="67">
        <v>45279</v>
      </c>
      <c r="C1419" s="15">
        <f t="shared" si="47"/>
        <v>45279</v>
      </c>
      <c r="D1419" s="16"/>
      <c r="E1419" s="72"/>
      <c r="F1419" s="91">
        <v>25</v>
      </c>
      <c r="G1419" s="90"/>
      <c r="H1419" s="26">
        <f t="shared" si="48"/>
        <v>18079787.389999997</v>
      </c>
      <c r="I1419" s="25" t="s">
        <v>264</v>
      </c>
      <c r="J1419" s="22"/>
      <c r="K1419" s="25"/>
      <c r="L1419" s="25"/>
      <c r="M1419" s="22"/>
    </row>
    <row r="1420" spans="1:13">
      <c r="A1420" s="14">
        <v>2420</v>
      </c>
      <c r="B1420" s="67">
        <v>45279</v>
      </c>
      <c r="C1420" s="15">
        <f t="shared" si="47"/>
        <v>45279</v>
      </c>
      <c r="D1420" s="16"/>
      <c r="E1420" s="71"/>
      <c r="F1420" s="91">
        <v>1.87</v>
      </c>
      <c r="G1420" s="90"/>
      <c r="H1420" s="26">
        <f t="shared" si="48"/>
        <v>18079785.519999996</v>
      </c>
      <c r="I1420" s="25" t="s">
        <v>264</v>
      </c>
      <c r="J1420" s="22"/>
      <c r="K1420" s="25"/>
      <c r="L1420" s="25"/>
      <c r="M1420" s="22"/>
    </row>
    <row r="1421" spans="1:13">
      <c r="A1421" s="14">
        <v>2421</v>
      </c>
      <c r="B1421" s="67">
        <v>45279</v>
      </c>
      <c r="C1421" s="15">
        <f t="shared" si="47"/>
        <v>45279</v>
      </c>
      <c r="D1421" s="16"/>
      <c r="E1421" s="72"/>
      <c r="F1421" s="91">
        <v>50000</v>
      </c>
      <c r="G1421" s="90"/>
      <c r="H1421" s="26">
        <f t="shared" si="48"/>
        <v>18029785.519999996</v>
      </c>
      <c r="I1421" s="25" t="s">
        <v>286</v>
      </c>
      <c r="J1421" s="22"/>
      <c r="K1421" s="25"/>
      <c r="L1421" s="25"/>
      <c r="M1421" s="22"/>
    </row>
    <row r="1422" spans="1:13">
      <c r="A1422" s="14">
        <v>2422</v>
      </c>
      <c r="B1422" s="67">
        <v>45279</v>
      </c>
      <c r="C1422" s="15">
        <f t="shared" si="47"/>
        <v>45279</v>
      </c>
      <c r="D1422" s="16"/>
      <c r="E1422" s="71"/>
      <c r="F1422" s="91">
        <v>25</v>
      </c>
      <c r="G1422" s="90"/>
      <c r="H1422" s="26">
        <f t="shared" si="48"/>
        <v>18029760.519999996</v>
      </c>
      <c r="I1422" s="25" t="s">
        <v>264</v>
      </c>
      <c r="J1422" s="22"/>
      <c r="K1422" s="25"/>
      <c r="L1422" s="25"/>
      <c r="M1422" s="22"/>
    </row>
    <row r="1423" spans="1:13">
      <c r="A1423" s="14">
        <v>2423</v>
      </c>
      <c r="B1423" s="67">
        <v>45279</v>
      </c>
      <c r="C1423" s="15">
        <f t="shared" si="47"/>
        <v>45279</v>
      </c>
      <c r="D1423" s="16"/>
      <c r="E1423" s="72"/>
      <c r="F1423" s="91">
        <v>1.87</v>
      </c>
      <c r="G1423" s="90"/>
      <c r="H1423" s="26">
        <f t="shared" si="48"/>
        <v>18029758.649999995</v>
      </c>
      <c r="I1423" s="25" t="s">
        <v>264</v>
      </c>
      <c r="J1423" s="22"/>
      <c r="K1423" s="25"/>
      <c r="L1423" s="25"/>
      <c r="M1423" s="22"/>
    </row>
    <row r="1424" spans="1:13">
      <c r="A1424" s="14">
        <v>2424</v>
      </c>
      <c r="B1424" s="67">
        <v>45279</v>
      </c>
      <c r="C1424" s="15">
        <f t="shared" si="47"/>
        <v>45279</v>
      </c>
      <c r="D1424" s="16"/>
      <c r="E1424" s="71"/>
      <c r="F1424" s="91">
        <v>50000</v>
      </c>
      <c r="G1424" s="90"/>
      <c r="H1424" s="26">
        <f t="shared" si="48"/>
        <v>17979758.649999995</v>
      </c>
      <c r="I1424" s="25" t="s">
        <v>310</v>
      </c>
      <c r="J1424" s="22"/>
      <c r="K1424" s="25"/>
      <c r="L1424" s="25"/>
      <c r="M1424" s="22"/>
    </row>
    <row r="1425" spans="1:13">
      <c r="A1425" s="14">
        <v>2425</v>
      </c>
      <c r="B1425" s="67">
        <v>45279</v>
      </c>
      <c r="C1425" s="15">
        <f t="shared" si="47"/>
        <v>45279</v>
      </c>
      <c r="D1425" s="16"/>
      <c r="E1425" s="72"/>
      <c r="F1425" s="91">
        <v>25</v>
      </c>
      <c r="G1425" s="90"/>
      <c r="H1425" s="26">
        <f t="shared" si="48"/>
        <v>17979733.649999995</v>
      </c>
      <c r="I1425" s="25" t="s">
        <v>264</v>
      </c>
      <c r="J1425" s="22"/>
      <c r="K1425" s="25"/>
      <c r="L1425" s="25"/>
      <c r="M1425" s="22"/>
    </row>
    <row r="1426" spans="1:13">
      <c r="A1426" s="14">
        <v>2426</v>
      </c>
      <c r="B1426" s="67">
        <v>45279</v>
      </c>
      <c r="C1426" s="15">
        <f t="shared" si="47"/>
        <v>45279</v>
      </c>
      <c r="D1426" s="16"/>
      <c r="E1426" s="71"/>
      <c r="F1426" s="91">
        <v>1.87</v>
      </c>
      <c r="G1426" s="90"/>
      <c r="H1426" s="26">
        <f t="shared" si="48"/>
        <v>17979731.779999994</v>
      </c>
      <c r="I1426" s="25" t="s">
        <v>264</v>
      </c>
      <c r="J1426" s="22"/>
      <c r="K1426" s="25"/>
      <c r="L1426" s="25"/>
      <c r="M1426" s="22"/>
    </row>
    <row r="1427" spans="1:13">
      <c r="A1427" s="14">
        <v>2427</v>
      </c>
      <c r="B1427" s="67">
        <v>45279</v>
      </c>
      <c r="C1427" s="15">
        <f t="shared" si="47"/>
        <v>45279</v>
      </c>
      <c r="D1427" s="16"/>
      <c r="E1427" s="72"/>
      <c r="F1427" s="91">
        <v>120000</v>
      </c>
      <c r="G1427" s="90"/>
      <c r="H1427" s="26">
        <f t="shared" si="48"/>
        <v>17859731.779999994</v>
      </c>
      <c r="I1427" s="25" t="s">
        <v>285</v>
      </c>
      <c r="J1427" s="22"/>
      <c r="K1427" s="25"/>
      <c r="L1427" s="25"/>
      <c r="M1427" s="22"/>
    </row>
    <row r="1428" spans="1:13">
      <c r="A1428" s="14">
        <v>2429</v>
      </c>
      <c r="B1428" s="67">
        <v>45279</v>
      </c>
      <c r="C1428" s="15">
        <f t="shared" si="47"/>
        <v>45279</v>
      </c>
      <c r="D1428" s="16"/>
      <c r="E1428" s="72"/>
      <c r="F1428" s="96">
        <v>50</v>
      </c>
      <c r="G1428" s="94"/>
      <c r="H1428" s="26">
        <f t="shared" si="48"/>
        <v>17859681.779999994</v>
      </c>
      <c r="I1428" s="25" t="s">
        <v>264</v>
      </c>
      <c r="J1428" s="22"/>
      <c r="K1428" s="25"/>
      <c r="L1428" s="25"/>
      <c r="M1428" s="22"/>
    </row>
    <row r="1429" spans="1:13">
      <c r="A1429" s="14">
        <v>2430</v>
      </c>
      <c r="B1429" s="67">
        <v>45279</v>
      </c>
      <c r="C1429" s="15">
        <f t="shared" ref="C1429:C1492" si="49">B1429</f>
        <v>45279</v>
      </c>
      <c r="D1429" s="16"/>
      <c r="E1429" s="71"/>
      <c r="F1429" s="91">
        <v>3.75</v>
      </c>
      <c r="G1429" s="90"/>
      <c r="H1429" s="26">
        <f t="shared" si="48"/>
        <v>17859678.029999994</v>
      </c>
      <c r="I1429" s="25" t="s">
        <v>264</v>
      </c>
      <c r="J1429" s="22"/>
      <c r="K1429" s="25"/>
      <c r="L1429" s="25"/>
      <c r="M1429" s="22"/>
    </row>
    <row r="1430" spans="1:13">
      <c r="A1430" s="14">
        <v>2431</v>
      </c>
      <c r="B1430" s="67">
        <v>45279</v>
      </c>
      <c r="C1430" s="15">
        <f t="shared" si="49"/>
        <v>45279</v>
      </c>
      <c r="D1430" s="16"/>
      <c r="E1430" s="72"/>
      <c r="F1430" s="91">
        <v>7330</v>
      </c>
      <c r="G1430" s="90"/>
      <c r="H1430" s="26">
        <f t="shared" si="48"/>
        <v>17852348.029999994</v>
      </c>
      <c r="I1430" s="25" t="s">
        <v>292</v>
      </c>
      <c r="J1430" s="22"/>
      <c r="K1430" s="25"/>
      <c r="L1430" s="25"/>
      <c r="M1430" s="22"/>
    </row>
    <row r="1431" spans="1:13">
      <c r="A1431" s="14">
        <v>2432</v>
      </c>
      <c r="B1431" s="67">
        <v>45279</v>
      </c>
      <c r="C1431" s="15">
        <f t="shared" si="49"/>
        <v>45279</v>
      </c>
      <c r="D1431" s="16"/>
      <c r="E1431" s="71"/>
      <c r="F1431" s="91">
        <v>24392.12</v>
      </c>
      <c r="G1431" s="90"/>
      <c r="H1431" s="26">
        <f t="shared" si="48"/>
        <v>17827955.909999993</v>
      </c>
      <c r="I1431" s="25" t="s">
        <v>272</v>
      </c>
      <c r="J1431" s="22"/>
      <c r="K1431" s="25"/>
      <c r="L1431" s="25"/>
      <c r="M1431" s="22"/>
    </row>
    <row r="1432" spans="1:13">
      <c r="A1432" s="14">
        <v>2433</v>
      </c>
      <c r="B1432" s="67">
        <v>45279</v>
      </c>
      <c r="C1432" s="15">
        <f t="shared" si="49"/>
        <v>45279</v>
      </c>
      <c r="D1432" s="16"/>
      <c r="E1432" s="72"/>
      <c r="F1432" s="91">
        <v>100</v>
      </c>
      <c r="G1432" s="90"/>
      <c r="H1432" s="26">
        <f t="shared" si="48"/>
        <v>17827855.909999993</v>
      </c>
      <c r="I1432" s="25" t="s">
        <v>264</v>
      </c>
      <c r="J1432" s="22"/>
      <c r="K1432" s="25"/>
      <c r="L1432" s="25"/>
      <c r="M1432" s="22"/>
    </row>
    <row r="1433" spans="1:13">
      <c r="A1433" s="14">
        <v>2434</v>
      </c>
      <c r="B1433" s="67">
        <v>45279</v>
      </c>
      <c r="C1433" s="15">
        <f t="shared" si="49"/>
        <v>45279</v>
      </c>
      <c r="D1433" s="16"/>
      <c r="E1433" s="71"/>
      <c r="F1433" s="91">
        <v>8200</v>
      </c>
      <c r="G1433" s="90"/>
      <c r="H1433" s="26">
        <f t="shared" si="48"/>
        <v>17819655.909999993</v>
      </c>
      <c r="I1433" s="25" t="s">
        <v>284</v>
      </c>
      <c r="J1433" s="22"/>
      <c r="K1433" s="25"/>
      <c r="L1433" s="25"/>
      <c r="M1433" s="22"/>
    </row>
    <row r="1434" spans="1:13">
      <c r="A1434" s="14">
        <v>2435</v>
      </c>
      <c r="B1434" s="67">
        <v>45279</v>
      </c>
      <c r="C1434" s="15">
        <f t="shared" si="49"/>
        <v>45279</v>
      </c>
      <c r="D1434" s="16"/>
      <c r="E1434" s="72"/>
      <c r="F1434" s="91">
        <v>25</v>
      </c>
      <c r="G1434" s="90"/>
      <c r="H1434" s="26">
        <f t="shared" si="48"/>
        <v>17819630.909999993</v>
      </c>
      <c r="I1434" s="25" t="s">
        <v>264</v>
      </c>
      <c r="J1434" s="22"/>
      <c r="K1434" s="25"/>
      <c r="L1434" s="25"/>
      <c r="M1434" s="22"/>
    </row>
    <row r="1435" spans="1:13">
      <c r="A1435" s="14">
        <v>2436</v>
      </c>
      <c r="B1435" s="67">
        <v>45279</v>
      </c>
      <c r="C1435" s="15">
        <f t="shared" si="49"/>
        <v>45279</v>
      </c>
      <c r="D1435" s="16"/>
      <c r="E1435" s="71"/>
      <c r="F1435" s="96">
        <v>1.87</v>
      </c>
      <c r="G1435" s="94"/>
      <c r="H1435" s="26">
        <f t="shared" si="48"/>
        <v>17819629.039999992</v>
      </c>
      <c r="I1435" s="25" t="s">
        <v>264</v>
      </c>
      <c r="J1435" s="22"/>
      <c r="K1435" s="25"/>
      <c r="L1435" s="25"/>
      <c r="M1435" s="22"/>
    </row>
    <row r="1436" spans="1:13">
      <c r="A1436" s="14">
        <v>2437</v>
      </c>
      <c r="B1436" s="67">
        <v>45279</v>
      </c>
      <c r="C1436" s="15">
        <f t="shared" si="49"/>
        <v>45279</v>
      </c>
      <c r="D1436" s="16"/>
      <c r="E1436" s="72"/>
      <c r="F1436" s="91">
        <v>1495673.81</v>
      </c>
      <c r="G1436" s="90"/>
      <c r="H1436" s="26">
        <f t="shared" si="48"/>
        <v>16323955.229999991</v>
      </c>
      <c r="I1436" s="25" t="s">
        <v>272</v>
      </c>
      <c r="J1436" s="22"/>
      <c r="K1436" s="25"/>
      <c r="L1436" s="25"/>
      <c r="M1436" s="22"/>
    </row>
    <row r="1437" spans="1:13">
      <c r="A1437" s="14">
        <v>2438</v>
      </c>
      <c r="B1437" s="67">
        <v>45279</v>
      </c>
      <c r="C1437" s="15">
        <f t="shared" si="49"/>
        <v>45279</v>
      </c>
      <c r="D1437" s="16"/>
      <c r="E1437" s="71"/>
      <c r="F1437" s="91">
        <v>100</v>
      </c>
      <c r="G1437" s="90"/>
      <c r="H1437" s="26">
        <f t="shared" si="48"/>
        <v>16323855.229999991</v>
      </c>
      <c r="I1437" s="25" t="s">
        <v>264</v>
      </c>
      <c r="J1437" s="22"/>
      <c r="K1437" s="25"/>
      <c r="L1437" s="25"/>
      <c r="M1437" s="22"/>
    </row>
    <row r="1438" spans="1:13">
      <c r="A1438" s="14">
        <v>2439</v>
      </c>
      <c r="B1438" s="67">
        <v>45279</v>
      </c>
      <c r="C1438" s="15">
        <f t="shared" si="49"/>
        <v>45279</v>
      </c>
      <c r="D1438" s="16"/>
      <c r="E1438" s="72"/>
      <c r="F1438" s="91">
        <v>1741399.5</v>
      </c>
      <c r="G1438" s="90"/>
      <c r="H1438" s="26">
        <f t="shared" si="48"/>
        <v>14582455.729999991</v>
      </c>
      <c r="I1438" s="25" t="s">
        <v>272</v>
      </c>
      <c r="J1438" s="22"/>
      <c r="K1438" s="25"/>
      <c r="L1438" s="25"/>
      <c r="M1438" s="22"/>
    </row>
    <row r="1439" spans="1:13">
      <c r="A1439" s="14">
        <v>2440</v>
      </c>
      <c r="B1439" s="67">
        <v>45279</v>
      </c>
      <c r="C1439" s="15">
        <f t="shared" si="49"/>
        <v>45279</v>
      </c>
      <c r="D1439" s="16"/>
      <c r="E1439" s="71"/>
      <c r="F1439" s="91">
        <v>100</v>
      </c>
      <c r="G1439" s="90"/>
      <c r="H1439" s="26">
        <f t="shared" si="48"/>
        <v>14582355.729999991</v>
      </c>
      <c r="I1439" s="25" t="s">
        <v>264</v>
      </c>
      <c r="J1439" s="22"/>
      <c r="K1439" s="25"/>
      <c r="L1439" s="25"/>
      <c r="M1439" s="22"/>
    </row>
    <row r="1440" spans="1:13">
      <c r="A1440" s="14">
        <v>2441</v>
      </c>
      <c r="B1440" s="67">
        <v>45279</v>
      </c>
      <c r="C1440" s="15">
        <f t="shared" si="49"/>
        <v>45279</v>
      </c>
      <c r="D1440" s="16"/>
      <c r="E1440" s="72"/>
      <c r="F1440" s="91">
        <v>31378.080000000002</v>
      </c>
      <c r="G1440" s="90"/>
      <c r="H1440" s="26">
        <f t="shared" si="48"/>
        <v>14550977.649999991</v>
      </c>
      <c r="I1440" s="25" t="s">
        <v>272</v>
      </c>
      <c r="J1440" s="22"/>
      <c r="K1440" s="25"/>
      <c r="L1440" s="25"/>
      <c r="M1440" s="22"/>
    </row>
    <row r="1441" spans="1:13">
      <c r="A1441" s="14">
        <v>2442</v>
      </c>
      <c r="B1441" s="67">
        <v>45279</v>
      </c>
      <c r="C1441" s="15">
        <f t="shared" si="49"/>
        <v>45279</v>
      </c>
      <c r="D1441" s="16"/>
      <c r="E1441" s="71"/>
      <c r="F1441" s="91">
        <v>100</v>
      </c>
      <c r="G1441" s="90"/>
      <c r="H1441" s="26">
        <f t="shared" si="48"/>
        <v>14550877.649999991</v>
      </c>
      <c r="I1441" s="25" t="s">
        <v>264</v>
      </c>
      <c r="J1441" s="22"/>
      <c r="K1441" s="25"/>
      <c r="L1441" s="25"/>
      <c r="M1441" s="22"/>
    </row>
    <row r="1442" spans="1:13">
      <c r="A1442" s="14">
        <v>2443</v>
      </c>
      <c r="B1442" s="67">
        <v>45279</v>
      </c>
      <c r="C1442" s="15">
        <f t="shared" si="49"/>
        <v>45279</v>
      </c>
      <c r="D1442" s="16"/>
      <c r="E1442" s="72"/>
      <c r="F1442" s="91">
        <v>24392.12</v>
      </c>
      <c r="G1442" s="90"/>
      <c r="H1442" s="26">
        <f t="shared" si="48"/>
        <v>14526485.529999992</v>
      </c>
      <c r="I1442" s="25" t="s">
        <v>272</v>
      </c>
      <c r="J1442" s="22"/>
      <c r="K1442" s="25"/>
      <c r="L1442" s="25"/>
      <c r="M1442" s="22"/>
    </row>
    <row r="1443" spans="1:13">
      <c r="A1443" s="14">
        <v>2444</v>
      </c>
      <c r="B1443" s="67">
        <v>45279</v>
      </c>
      <c r="C1443" s="15">
        <f t="shared" si="49"/>
        <v>45279</v>
      </c>
      <c r="D1443" s="16"/>
      <c r="E1443" s="71"/>
      <c r="F1443" s="91">
        <v>100</v>
      </c>
      <c r="G1443" s="90"/>
      <c r="H1443" s="26">
        <f t="shared" si="48"/>
        <v>14526385.529999992</v>
      </c>
      <c r="I1443" s="25" t="s">
        <v>264</v>
      </c>
      <c r="J1443" s="22"/>
      <c r="K1443" s="25"/>
      <c r="L1443" s="25"/>
      <c r="M1443" s="22"/>
    </row>
    <row r="1444" spans="1:13">
      <c r="A1444" s="14">
        <v>2445</v>
      </c>
      <c r="B1444" s="67">
        <v>45281</v>
      </c>
      <c r="C1444" s="15">
        <f t="shared" si="49"/>
        <v>45281</v>
      </c>
      <c r="D1444" s="16"/>
      <c r="E1444" s="72"/>
      <c r="F1444" s="90"/>
      <c r="G1444" s="91">
        <v>24392.12</v>
      </c>
      <c r="H1444" s="26">
        <f t="shared" si="48"/>
        <v>14550777.649999991</v>
      </c>
      <c r="I1444" s="25" t="s">
        <v>272</v>
      </c>
      <c r="J1444" s="22"/>
      <c r="K1444" s="25"/>
      <c r="L1444" s="25"/>
      <c r="M1444" s="22"/>
    </row>
    <row r="1445" spans="1:13">
      <c r="A1445" s="14">
        <v>2446</v>
      </c>
      <c r="B1445" s="67">
        <v>45281</v>
      </c>
      <c r="C1445" s="15">
        <f t="shared" si="49"/>
        <v>45281</v>
      </c>
      <c r="D1445" s="16"/>
      <c r="E1445" s="71"/>
      <c r="F1445" s="90"/>
      <c r="G1445" s="91">
        <v>100</v>
      </c>
      <c r="H1445" s="26">
        <f t="shared" si="48"/>
        <v>14550877.649999991</v>
      </c>
      <c r="I1445" s="25" t="s">
        <v>272</v>
      </c>
      <c r="J1445" s="22"/>
      <c r="K1445" s="25"/>
      <c r="L1445" s="25"/>
      <c r="M1445" s="22"/>
    </row>
    <row r="1446" spans="1:13">
      <c r="A1446" s="14">
        <v>2447</v>
      </c>
      <c r="B1446" s="67">
        <v>45284</v>
      </c>
      <c r="C1446" s="15">
        <f t="shared" si="49"/>
        <v>45284</v>
      </c>
      <c r="D1446" s="16"/>
      <c r="E1446" s="72"/>
      <c r="F1446" s="91">
        <v>249561.58</v>
      </c>
      <c r="G1446" s="90"/>
      <c r="H1446" s="26">
        <f t="shared" si="48"/>
        <v>14301316.069999991</v>
      </c>
      <c r="I1446" s="25" t="s">
        <v>271</v>
      </c>
      <c r="J1446" s="22"/>
      <c r="K1446" s="25"/>
      <c r="L1446" s="25"/>
      <c r="M1446" s="22"/>
    </row>
    <row r="1447" spans="1:13">
      <c r="A1447" s="14">
        <v>2448</v>
      </c>
      <c r="B1447" s="67">
        <v>45284</v>
      </c>
      <c r="C1447" s="15">
        <f t="shared" si="49"/>
        <v>45284</v>
      </c>
      <c r="D1447" s="16"/>
      <c r="E1447" s="71"/>
      <c r="F1447" s="91">
        <v>159963.42000000001</v>
      </c>
      <c r="G1447" s="90"/>
      <c r="H1447" s="26">
        <f t="shared" si="48"/>
        <v>14141352.649999991</v>
      </c>
      <c r="I1447" s="25" t="s">
        <v>271</v>
      </c>
      <c r="J1447" s="22"/>
      <c r="K1447" s="25"/>
      <c r="L1447" s="25"/>
      <c r="M1447" s="22"/>
    </row>
    <row r="1448" spans="1:13">
      <c r="A1448" s="14">
        <v>2449</v>
      </c>
      <c r="B1448" s="67">
        <v>45284</v>
      </c>
      <c r="C1448" s="15">
        <f t="shared" si="49"/>
        <v>45284</v>
      </c>
      <c r="D1448" s="16"/>
      <c r="E1448" s="72"/>
      <c r="F1448" s="91">
        <v>118451.56</v>
      </c>
      <c r="G1448" s="90"/>
      <c r="H1448" s="26">
        <f t="shared" si="48"/>
        <v>14022901.089999991</v>
      </c>
      <c r="I1448" s="25" t="s">
        <v>271</v>
      </c>
      <c r="J1448" s="22"/>
      <c r="K1448" s="25"/>
      <c r="L1448" s="25"/>
      <c r="M1448" s="22"/>
    </row>
    <row r="1449" spans="1:13">
      <c r="A1449" s="14">
        <v>2450</v>
      </c>
      <c r="B1449" s="67">
        <v>45284</v>
      </c>
      <c r="C1449" s="15">
        <f t="shared" si="49"/>
        <v>45284</v>
      </c>
      <c r="D1449" s="16"/>
      <c r="E1449" s="71"/>
      <c r="F1449" s="91">
        <v>168523.14</v>
      </c>
      <c r="G1449" s="90"/>
      <c r="H1449" s="26">
        <f t="shared" si="48"/>
        <v>13854377.94999999</v>
      </c>
      <c r="I1449" s="25" t="s">
        <v>271</v>
      </c>
      <c r="J1449" s="22"/>
      <c r="K1449" s="25"/>
      <c r="L1449" s="25"/>
      <c r="M1449" s="22"/>
    </row>
    <row r="1450" spans="1:13">
      <c r="A1450" s="14">
        <v>2451</v>
      </c>
      <c r="B1450" s="67">
        <v>45284</v>
      </c>
      <c r="C1450" s="15">
        <f t="shared" si="49"/>
        <v>45284</v>
      </c>
      <c r="D1450" s="16"/>
      <c r="E1450" s="72"/>
      <c r="F1450" s="91">
        <v>83961.83</v>
      </c>
      <c r="G1450" s="90"/>
      <c r="H1450" s="26">
        <f t="shared" si="48"/>
        <v>13770416.11999999</v>
      </c>
      <c r="I1450" s="25" t="s">
        <v>271</v>
      </c>
      <c r="J1450" s="22"/>
      <c r="K1450" s="25"/>
      <c r="L1450" s="25"/>
      <c r="M1450" s="22"/>
    </row>
    <row r="1451" spans="1:13">
      <c r="A1451" s="14">
        <v>2452</v>
      </c>
      <c r="B1451" s="67">
        <v>45284</v>
      </c>
      <c r="C1451" s="15">
        <f t="shared" si="49"/>
        <v>45284</v>
      </c>
      <c r="D1451" s="16"/>
      <c r="E1451" s="71"/>
      <c r="F1451" s="91">
        <v>50</v>
      </c>
      <c r="G1451" s="90"/>
      <c r="H1451" s="26">
        <f t="shared" si="48"/>
        <v>13770366.11999999</v>
      </c>
      <c r="I1451" s="25" t="s">
        <v>264</v>
      </c>
      <c r="J1451" s="22"/>
      <c r="K1451" s="25"/>
      <c r="L1451" s="25"/>
      <c r="M1451" s="22"/>
    </row>
    <row r="1452" spans="1:13">
      <c r="A1452" s="14">
        <v>2453</v>
      </c>
      <c r="B1452" s="67">
        <v>45284</v>
      </c>
      <c r="C1452" s="15">
        <f t="shared" si="49"/>
        <v>45284</v>
      </c>
      <c r="D1452" s="16"/>
      <c r="E1452" s="72"/>
      <c r="F1452" s="91">
        <v>3.75</v>
      </c>
      <c r="G1452" s="90"/>
      <c r="H1452" s="26">
        <f t="shared" ref="H1452:H1515" si="50">IFERROR(H1451-F1452+G1452,"")</f>
        <v>13770362.36999999</v>
      </c>
      <c r="I1452" s="25" t="s">
        <v>264</v>
      </c>
      <c r="J1452" s="22"/>
      <c r="K1452" s="25"/>
      <c r="L1452" s="25"/>
      <c r="M1452" s="22"/>
    </row>
    <row r="1453" spans="1:13">
      <c r="A1453" s="14">
        <v>2454</v>
      </c>
      <c r="B1453" s="67">
        <v>45284</v>
      </c>
      <c r="C1453" s="15">
        <f t="shared" si="49"/>
        <v>45284</v>
      </c>
      <c r="D1453" s="16"/>
      <c r="E1453" s="71"/>
      <c r="F1453" s="91">
        <v>60</v>
      </c>
      <c r="G1453" s="90"/>
      <c r="H1453" s="26">
        <f t="shared" si="50"/>
        <v>13770302.36999999</v>
      </c>
      <c r="I1453" s="25" t="s">
        <v>264</v>
      </c>
      <c r="J1453" s="22"/>
      <c r="K1453" s="25"/>
      <c r="L1453" s="25"/>
      <c r="M1453" s="22"/>
    </row>
    <row r="1454" spans="1:13">
      <c r="A1454" s="14">
        <v>2455</v>
      </c>
      <c r="B1454" s="67">
        <v>45284</v>
      </c>
      <c r="C1454" s="15">
        <f t="shared" si="49"/>
        <v>45284</v>
      </c>
      <c r="D1454" s="16"/>
      <c r="E1454" s="72"/>
      <c r="F1454" s="91">
        <v>4.5</v>
      </c>
      <c r="G1454" s="90"/>
      <c r="H1454" s="26">
        <f t="shared" si="50"/>
        <v>13770297.86999999</v>
      </c>
      <c r="I1454" s="25" t="s">
        <v>264</v>
      </c>
      <c r="J1454" s="22"/>
      <c r="K1454" s="25"/>
      <c r="L1454" s="25"/>
      <c r="M1454" s="22"/>
    </row>
    <row r="1455" spans="1:13">
      <c r="A1455" s="14">
        <v>2456</v>
      </c>
      <c r="B1455" s="67">
        <v>45284</v>
      </c>
      <c r="C1455" s="15">
        <f t="shared" si="49"/>
        <v>45284</v>
      </c>
      <c r="D1455" s="16"/>
      <c r="E1455" s="71"/>
      <c r="F1455" s="91">
        <v>98090.67</v>
      </c>
      <c r="G1455" s="90"/>
      <c r="H1455" s="26">
        <f t="shared" si="50"/>
        <v>13672207.19999999</v>
      </c>
      <c r="I1455" s="25" t="s">
        <v>271</v>
      </c>
      <c r="J1455" s="22"/>
      <c r="K1455" s="25"/>
      <c r="L1455" s="25"/>
      <c r="M1455" s="22"/>
    </row>
    <row r="1456" spans="1:13">
      <c r="A1456" s="14">
        <v>2457</v>
      </c>
      <c r="B1456" s="67">
        <v>45284</v>
      </c>
      <c r="C1456" s="15">
        <f t="shared" si="49"/>
        <v>45284</v>
      </c>
      <c r="D1456" s="16"/>
      <c r="E1456" s="72"/>
      <c r="F1456" s="91">
        <v>50</v>
      </c>
      <c r="G1456" s="90"/>
      <c r="H1456" s="26">
        <f t="shared" si="50"/>
        <v>13672157.19999999</v>
      </c>
      <c r="I1456" s="25" t="s">
        <v>264</v>
      </c>
      <c r="J1456" s="22"/>
      <c r="K1456" s="25"/>
      <c r="L1456" s="25"/>
      <c r="M1456" s="22"/>
    </row>
    <row r="1457" spans="1:13">
      <c r="A1457" s="14">
        <v>2458</v>
      </c>
      <c r="B1457" s="67">
        <v>45284</v>
      </c>
      <c r="C1457" s="15">
        <f t="shared" si="49"/>
        <v>45284</v>
      </c>
      <c r="D1457" s="16"/>
      <c r="E1457" s="71"/>
      <c r="F1457" s="91">
        <v>3.75</v>
      </c>
      <c r="G1457" s="90"/>
      <c r="H1457" s="26">
        <f t="shared" si="50"/>
        <v>13672153.44999999</v>
      </c>
      <c r="I1457" s="25" t="s">
        <v>264</v>
      </c>
      <c r="J1457" s="22"/>
      <c r="K1457" s="25"/>
      <c r="L1457" s="25"/>
      <c r="M1457" s="22"/>
    </row>
    <row r="1458" spans="1:13">
      <c r="A1458" s="14">
        <v>2459</v>
      </c>
      <c r="B1458" s="67">
        <v>45284</v>
      </c>
      <c r="C1458" s="15">
        <f t="shared" si="49"/>
        <v>45284</v>
      </c>
      <c r="D1458" s="16"/>
      <c r="E1458" s="72"/>
      <c r="F1458" s="91">
        <v>50</v>
      </c>
      <c r="G1458" s="90"/>
      <c r="H1458" s="26">
        <f t="shared" si="50"/>
        <v>13672103.44999999</v>
      </c>
      <c r="I1458" s="25" t="s">
        <v>264</v>
      </c>
      <c r="J1458" s="22"/>
      <c r="K1458" s="25"/>
      <c r="L1458" s="25"/>
      <c r="M1458" s="22"/>
    </row>
    <row r="1459" spans="1:13">
      <c r="A1459" s="14">
        <v>2460</v>
      </c>
      <c r="B1459" s="67">
        <v>45284</v>
      </c>
      <c r="C1459" s="15">
        <f t="shared" si="49"/>
        <v>45284</v>
      </c>
      <c r="D1459" s="16"/>
      <c r="E1459" s="71"/>
      <c r="F1459" s="91">
        <v>3.75</v>
      </c>
      <c r="G1459" s="90"/>
      <c r="H1459" s="26">
        <f t="shared" si="50"/>
        <v>13672099.69999999</v>
      </c>
      <c r="I1459" s="25" t="s">
        <v>264</v>
      </c>
      <c r="J1459" s="22"/>
      <c r="K1459" s="25"/>
      <c r="L1459" s="25"/>
      <c r="M1459" s="22"/>
    </row>
    <row r="1460" spans="1:13">
      <c r="A1460" s="14">
        <v>2461</v>
      </c>
      <c r="B1460" s="67">
        <v>45284</v>
      </c>
      <c r="C1460" s="15">
        <f t="shared" si="49"/>
        <v>45284</v>
      </c>
      <c r="D1460" s="16"/>
      <c r="E1460" s="72"/>
      <c r="F1460" s="91">
        <v>99378.23</v>
      </c>
      <c r="G1460" s="90"/>
      <c r="H1460" s="26">
        <f t="shared" si="50"/>
        <v>13572721.469999989</v>
      </c>
      <c r="I1460" s="25" t="s">
        <v>271</v>
      </c>
      <c r="J1460" s="22"/>
      <c r="K1460" s="25"/>
      <c r="L1460" s="25"/>
      <c r="M1460" s="22"/>
    </row>
    <row r="1461" spans="1:13">
      <c r="A1461" s="14">
        <v>2462</v>
      </c>
      <c r="B1461" s="67">
        <v>45284</v>
      </c>
      <c r="C1461" s="15">
        <f t="shared" si="49"/>
        <v>45284</v>
      </c>
      <c r="D1461" s="16"/>
      <c r="E1461" s="71"/>
      <c r="F1461" s="91">
        <v>50</v>
      </c>
      <c r="G1461" s="90"/>
      <c r="H1461" s="26">
        <f t="shared" si="50"/>
        <v>13572671.469999989</v>
      </c>
      <c r="I1461" s="25" t="s">
        <v>264</v>
      </c>
      <c r="J1461" s="22"/>
      <c r="K1461" s="25"/>
      <c r="L1461" s="25"/>
      <c r="M1461" s="22"/>
    </row>
    <row r="1462" spans="1:13">
      <c r="A1462" s="14">
        <v>2463</v>
      </c>
      <c r="B1462" s="67">
        <v>45284</v>
      </c>
      <c r="C1462" s="15">
        <f t="shared" si="49"/>
        <v>45284</v>
      </c>
      <c r="D1462" s="16"/>
      <c r="E1462" s="72"/>
      <c r="F1462" s="91">
        <v>3.75</v>
      </c>
      <c r="G1462" s="90"/>
      <c r="H1462" s="26">
        <f t="shared" si="50"/>
        <v>13572667.719999989</v>
      </c>
      <c r="I1462" s="25" t="s">
        <v>264</v>
      </c>
      <c r="J1462" s="22"/>
      <c r="K1462" s="25"/>
      <c r="L1462" s="25"/>
      <c r="M1462" s="22"/>
    </row>
    <row r="1463" spans="1:13">
      <c r="A1463" s="14">
        <v>2464</v>
      </c>
      <c r="B1463" s="67">
        <v>45284</v>
      </c>
      <c r="C1463" s="15">
        <f t="shared" si="49"/>
        <v>45284</v>
      </c>
      <c r="D1463" s="16"/>
      <c r="E1463" s="71"/>
      <c r="F1463" s="91">
        <v>100090.67</v>
      </c>
      <c r="G1463" s="90"/>
      <c r="H1463" s="26">
        <f t="shared" si="50"/>
        <v>13472577.04999999</v>
      </c>
      <c r="I1463" s="25" t="s">
        <v>271</v>
      </c>
      <c r="J1463" s="22"/>
      <c r="K1463" s="25"/>
      <c r="L1463" s="25"/>
      <c r="M1463" s="22"/>
    </row>
    <row r="1464" spans="1:13">
      <c r="A1464" s="14">
        <v>2465</v>
      </c>
      <c r="B1464" s="67">
        <v>45284</v>
      </c>
      <c r="C1464" s="15">
        <f t="shared" si="49"/>
        <v>45284</v>
      </c>
      <c r="D1464" s="16"/>
      <c r="E1464" s="72"/>
      <c r="F1464" s="91">
        <v>50</v>
      </c>
      <c r="G1464" s="90"/>
      <c r="H1464" s="26">
        <f t="shared" si="50"/>
        <v>13472527.04999999</v>
      </c>
      <c r="I1464" s="25" t="s">
        <v>264</v>
      </c>
      <c r="J1464" s="22"/>
      <c r="K1464" s="25"/>
      <c r="L1464" s="25"/>
      <c r="M1464" s="22"/>
    </row>
    <row r="1465" spans="1:13">
      <c r="A1465" s="14">
        <v>2466</v>
      </c>
      <c r="B1465" s="67">
        <v>45284</v>
      </c>
      <c r="C1465" s="15">
        <f t="shared" si="49"/>
        <v>45284</v>
      </c>
      <c r="D1465" s="16"/>
      <c r="E1465" s="71"/>
      <c r="F1465" s="91">
        <v>3.75</v>
      </c>
      <c r="G1465" s="90"/>
      <c r="H1465" s="26">
        <f t="shared" si="50"/>
        <v>13472523.29999999</v>
      </c>
      <c r="I1465" s="25" t="s">
        <v>264</v>
      </c>
      <c r="J1465" s="22"/>
      <c r="K1465" s="25"/>
      <c r="L1465" s="25"/>
      <c r="M1465" s="22"/>
    </row>
    <row r="1466" spans="1:13">
      <c r="A1466" s="14">
        <v>2467</v>
      </c>
      <c r="B1466" s="67">
        <v>45284</v>
      </c>
      <c r="C1466" s="15">
        <f t="shared" si="49"/>
        <v>45284</v>
      </c>
      <c r="D1466" s="16"/>
      <c r="E1466" s="72"/>
      <c r="F1466" s="91">
        <v>20000</v>
      </c>
      <c r="G1466" s="90"/>
      <c r="H1466" s="26">
        <f t="shared" si="50"/>
        <v>13452523.29999999</v>
      </c>
      <c r="I1466" s="25" t="s">
        <v>271</v>
      </c>
      <c r="J1466" s="22"/>
      <c r="K1466" s="25"/>
      <c r="L1466" s="25"/>
      <c r="M1466" s="22"/>
    </row>
    <row r="1467" spans="1:13">
      <c r="A1467" s="14">
        <v>2468</v>
      </c>
      <c r="B1467" s="67">
        <v>45284</v>
      </c>
      <c r="C1467" s="15">
        <f t="shared" si="49"/>
        <v>45284</v>
      </c>
      <c r="D1467" s="16"/>
      <c r="E1467" s="71"/>
      <c r="F1467" s="91">
        <v>20000</v>
      </c>
      <c r="G1467" s="90"/>
      <c r="H1467" s="26">
        <f t="shared" si="50"/>
        <v>13432523.29999999</v>
      </c>
      <c r="I1467" s="25" t="s">
        <v>271</v>
      </c>
      <c r="J1467" s="22"/>
      <c r="K1467" s="25"/>
      <c r="L1467" s="25"/>
      <c r="M1467" s="22"/>
    </row>
    <row r="1468" spans="1:13">
      <c r="A1468" s="14">
        <v>2469</v>
      </c>
      <c r="B1468" s="67">
        <v>45284</v>
      </c>
      <c r="C1468" s="15">
        <f t="shared" si="49"/>
        <v>45284</v>
      </c>
      <c r="D1468" s="16"/>
      <c r="E1468" s="72"/>
      <c r="F1468" s="91">
        <v>20000</v>
      </c>
      <c r="G1468" s="90"/>
      <c r="H1468" s="26">
        <f t="shared" si="50"/>
        <v>13412523.29999999</v>
      </c>
      <c r="I1468" s="25" t="s">
        <v>280</v>
      </c>
      <c r="J1468" s="22"/>
      <c r="K1468" s="25"/>
      <c r="L1468" s="25"/>
      <c r="M1468" s="22"/>
    </row>
    <row r="1469" spans="1:13">
      <c r="A1469" s="14">
        <v>2470</v>
      </c>
      <c r="B1469" s="67">
        <v>45284</v>
      </c>
      <c r="C1469" s="15">
        <f t="shared" si="49"/>
        <v>45284</v>
      </c>
      <c r="D1469" s="16"/>
      <c r="E1469" s="71"/>
      <c r="F1469" s="91">
        <v>25</v>
      </c>
      <c r="G1469" s="90"/>
      <c r="H1469" s="26">
        <f t="shared" si="50"/>
        <v>13412498.29999999</v>
      </c>
      <c r="I1469" s="25" t="s">
        <v>264</v>
      </c>
      <c r="J1469" s="22"/>
      <c r="K1469" s="25"/>
      <c r="L1469" s="25"/>
      <c r="M1469" s="22"/>
    </row>
    <row r="1470" spans="1:13">
      <c r="A1470" s="14">
        <v>2471</v>
      </c>
      <c r="B1470" s="67">
        <v>45284</v>
      </c>
      <c r="C1470" s="15">
        <f t="shared" si="49"/>
        <v>45284</v>
      </c>
      <c r="D1470" s="16"/>
      <c r="E1470" s="72"/>
      <c r="F1470" s="91">
        <v>1.87</v>
      </c>
      <c r="G1470" s="90"/>
      <c r="H1470" s="26">
        <f t="shared" si="50"/>
        <v>13412496.42999999</v>
      </c>
      <c r="I1470" s="25" t="s">
        <v>264</v>
      </c>
      <c r="J1470" s="22"/>
      <c r="K1470" s="25"/>
      <c r="L1470" s="25"/>
      <c r="M1470" s="22"/>
    </row>
    <row r="1471" spans="1:13">
      <c r="A1471" s="14">
        <v>2472</v>
      </c>
      <c r="B1471" s="67">
        <v>45284</v>
      </c>
      <c r="C1471" s="15">
        <f t="shared" si="49"/>
        <v>45284</v>
      </c>
      <c r="D1471" s="16"/>
      <c r="E1471" s="71"/>
      <c r="F1471" s="91">
        <v>20000</v>
      </c>
      <c r="G1471" s="90"/>
      <c r="H1471" s="26">
        <f t="shared" si="50"/>
        <v>13392496.42999999</v>
      </c>
      <c r="I1471" s="25" t="s">
        <v>271</v>
      </c>
      <c r="J1471" s="22"/>
      <c r="K1471" s="25"/>
      <c r="L1471" s="25"/>
      <c r="M1471" s="22"/>
    </row>
    <row r="1472" spans="1:13">
      <c r="A1472" s="14">
        <v>2473</v>
      </c>
      <c r="B1472" s="67">
        <v>45284</v>
      </c>
      <c r="C1472" s="15">
        <f t="shared" si="49"/>
        <v>45284</v>
      </c>
      <c r="D1472" s="16"/>
      <c r="E1472" s="72"/>
      <c r="F1472" s="91">
        <v>20000</v>
      </c>
      <c r="G1472" s="90"/>
      <c r="H1472" s="26">
        <f t="shared" si="50"/>
        <v>13372496.42999999</v>
      </c>
      <c r="I1472" s="25" t="s">
        <v>280</v>
      </c>
      <c r="J1472" s="22"/>
      <c r="K1472" s="25"/>
      <c r="L1472" s="25"/>
      <c r="M1472" s="22"/>
    </row>
    <row r="1473" spans="1:13">
      <c r="A1473" s="14">
        <v>2474</v>
      </c>
      <c r="B1473" s="67">
        <v>45284</v>
      </c>
      <c r="C1473" s="15">
        <f t="shared" si="49"/>
        <v>45284</v>
      </c>
      <c r="D1473" s="16"/>
      <c r="E1473" s="71"/>
      <c r="F1473" s="91">
        <v>25</v>
      </c>
      <c r="G1473" s="90"/>
      <c r="H1473" s="26">
        <f t="shared" si="50"/>
        <v>13372471.42999999</v>
      </c>
      <c r="I1473" s="25" t="s">
        <v>264</v>
      </c>
      <c r="J1473" s="22"/>
      <c r="K1473" s="25"/>
      <c r="L1473" s="25"/>
      <c r="M1473" s="22"/>
    </row>
    <row r="1474" spans="1:13">
      <c r="A1474" s="14">
        <v>2475</v>
      </c>
      <c r="B1474" s="67">
        <v>45284</v>
      </c>
      <c r="C1474" s="15">
        <f t="shared" si="49"/>
        <v>45284</v>
      </c>
      <c r="D1474" s="16"/>
      <c r="E1474" s="72"/>
      <c r="F1474" s="91">
        <v>1.87</v>
      </c>
      <c r="G1474" s="90"/>
      <c r="H1474" s="26">
        <f t="shared" si="50"/>
        <v>13372469.559999991</v>
      </c>
      <c r="I1474" s="25" t="s">
        <v>264</v>
      </c>
      <c r="J1474" s="22"/>
      <c r="K1474" s="25"/>
      <c r="L1474" s="25"/>
      <c r="M1474" s="22"/>
    </row>
    <row r="1475" spans="1:13">
      <c r="A1475" s="14">
        <v>2476</v>
      </c>
      <c r="B1475" s="67">
        <v>45284</v>
      </c>
      <c r="C1475" s="15">
        <f t="shared" si="49"/>
        <v>45284</v>
      </c>
      <c r="D1475" s="16"/>
      <c r="E1475" s="71"/>
      <c r="F1475" s="91">
        <v>20000</v>
      </c>
      <c r="G1475" s="90"/>
      <c r="H1475" s="26">
        <f t="shared" si="50"/>
        <v>13352469.559999991</v>
      </c>
      <c r="I1475" s="25" t="s">
        <v>271</v>
      </c>
      <c r="J1475" s="22"/>
      <c r="K1475" s="25"/>
      <c r="L1475" s="25"/>
      <c r="M1475" s="22"/>
    </row>
    <row r="1476" spans="1:13">
      <c r="A1476" s="14">
        <v>2477</v>
      </c>
      <c r="B1476" s="67">
        <v>45284</v>
      </c>
      <c r="C1476" s="15">
        <f t="shared" si="49"/>
        <v>45284</v>
      </c>
      <c r="D1476" s="16"/>
      <c r="E1476" s="72"/>
      <c r="F1476" s="91">
        <v>20000</v>
      </c>
      <c r="G1476" s="90"/>
      <c r="H1476" s="26">
        <f t="shared" si="50"/>
        <v>13332469.559999991</v>
      </c>
      <c r="I1476" s="25" t="s">
        <v>280</v>
      </c>
      <c r="J1476" s="22"/>
      <c r="K1476" s="25"/>
      <c r="L1476" s="25"/>
      <c r="M1476" s="22"/>
    </row>
    <row r="1477" spans="1:13">
      <c r="A1477" s="14">
        <v>2478</v>
      </c>
      <c r="B1477" s="67">
        <v>45284</v>
      </c>
      <c r="C1477" s="15">
        <f t="shared" si="49"/>
        <v>45284</v>
      </c>
      <c r="D1477" s="16"/>
      <c r="E1477" s="71"/>
      <c r="F1477" s="96">
        <v>25</v>
      </c>
      <c r="G1477" s="94"/>
      <c r="H1477" s="26">
        <f t="shared" si="50"/>
        <v>13332444.559999991</v>
      </c>
      <c r="I1477" s="25" t="s">
        <v>264</v>
      </c>
      <c r="J1477" s="22"/>
      <c r="K1477" s="25"/>
      <c r="L1477" s="25"/>
      <c r="M1477" s="22"/>
    </row>
    <row r="1478" spans="1:13">
      <c r="A1478" s="14">
        <v>2479</v>
      </c>
      <c r="B1478" s="67">
        <v>45284</v>
      </c>
      <c r="C1478" s="15">
        <f t="shared" si="49"/>
        <v>45284</v>
      </c>
      <c r="D1478" s="16"/>
      <c r="E1478" s="72"/>
      <c r="F1478" s="91">
        <v>1.87</v>
      </c>
      <c r="G1478" s="90"/>
      <c r="H1478" s="26">
        <f t="shared" si="50"/>
        <v>13332442.689999992</v>
      </c>
      <c r="I1478" s="25" t="s">
        <v>264</v>
      </c>
      <c r="J1478" s="22"/>
      <c r="K1478" s="25"/>
      <c r="L1478" s="25"/>
      <c r="M1478" s="22"/>
    </row>
    <row r="1479" spans="1:13">
      <c r="A1479" s="14">
        <v>2480</v>
      </c>
      <c r="B1479" s="67">
        <v>45284</v>
      </c>
      <c r="C1479" s="15">
        <f t="shared" si="49"/>
        <v>45284</v>
      </c>
      <c r="D1479" s="16"/>
      <c r="E1479" s="71"/>
      <c r="F1479" s="91">
        <v>20000</v>
      </c>
      <c r="G1479" s="90"/>
      <c r="H1479" s="26">
        <f t="shared" si="50"/>
        <v>13312442.689999992</v>
      </c>
      <c r="I1479" s="25" t="s">
        <v>280</v>
      </c>
      <c r="J1479" s="22"/>
      <c r="K1479" s="25"/>
      <c r="L1479" s="25"/>
      <c r="M1479" s="22"/>
    </row>
    <row r="1480" spans="1:13">
      <c r="A1480" s="14">
        <v>2481</v>
      </c>
      <c r="B1480" s="67">
        <v>45284</v>
      </c>
      <c r="C1480" s="15">
        <f t="shared" si="49"/>
        <v>45284</v>
      </c>
      <c r="D1480" s="16"/>
      <c r="E1480" s="72"/>
      <c r="F1480" s="91">
        <v>25</v>
      </c>
      <c r="G1480" s="90"/>
      <c r="H1480" s="26">
        <f t="shared" si="50"/>
        <v>13312417.689999992</v>
      </c>
      <c r="I1480" s="25" t="s">
        <v>264</v>
      </c>
      <c r="J1480" s="22"/>
      <c r="K1480" s="25"/>
      <c r="L1480" s="25"/>
      <c r="M1480" s="22"/>
    </row>
    <row r="1481" spans="1:13">
      <c r="A1481" s="14">
        <v>2482</v>
      </c>
      <c r="B1481" s="67">
        <v>45284</v>
      </c>
      <c r="C1481" s="15">
        <f t="shared" si="49"/>
        <v>45284</v>
      </c>
      <c r="D1481" s="16"/>
      <c r="E1481" s="71"/>
      <c r="F1481" s="91">
        <v>1.87</v>
      </c>
      <c r="G1481" s="90"/>
      <c r="H1481" s="26">
        <f t="shared" si="50"/>
        <v>13312415.819999993</v>
      </c>
      <c r="I1481" s="25" t="s">
        <v>264</v>
      </c>
      <c r="J1481" s="22"/>
      <c r="K1481" s="25"/>
      <c r="L1481" s="25"/>
      <c r="M1481" s="22"/>
    </row>
    <row r="1482" spans="1:13">
      <c r="A1482" s="14">
        <v>2483</v>
      </c>
      <c r="B1482" s="67">
        <v>45284</v>
      </c>
      <c r="C1482" s="15">
        <f t="shared" si="49"/>
        <v>45284</v>
      </c>
      <c r="D1482" s="16"/>
      <c r="E1482" s="72"/>
      <c r="F1482" s="91">
        <v>20000</v>
      </c>
      <c r="G1482" s="90"/>
      <c r="H1482" s="26">
        <f t="shared" si="50"/>
        <v>13292415.819999993</v>
      </c>
      <c r="I1482" s="25" t="s">
        <v>280</v>
      </c>
      <c r="J1482" s="22"/>
      <c r="K1482" s="25"/>
      <c r="L1482" s="25"/>
      <c r="M1482" s="22"/>
    </row>
    <row r="1483" spans="1:13">
      <c r="A1483" s="14">
        <v>2484</v>
      </c>
      <c r="B1483" s="67">
        <v>45284</v>
      </c>
      <c r="C1483" s="15">
        <f t="shared" si="49"/>
        <v>45284</v>
      </c>
      <c r="D1483" s="16"/>
      <c r="E1483" s="71"/>
      <c r="F1483" s="96">
        <v>25</v>
      </c>
      <c r="G1483" s="94"/>
      <c r="H1483" s="26">
        <f t="shared" si="50"/>
        <v>13292390.819999993</v>
      </c>
      <c r="I1483" s="25" t="s">
        <v>264</v>
      </c>
      <c r="J1483" s="22"/>
      <c r="K1483" s="25"/>
      <c r="L1483" s="25"/>
      <c r="M1483" s="22"/>
    </row>
    <row r="1484" spans="1:13">
      <c r="A1484" s="14">
        <v>2485</v>
      </c>
      <c r="B1484" s="67">
        <v>45284</v>
      </c>
      <c r="C1484" s="15">
        <f t="shared" si="49"/>
        <v>45284</v>
      </c>
      <c r="D1484" s="16"/>
      <c r="E1484" s="72"/>
      <c r="F1484" s="91">
        <v>1.87</v>
      </c>
      <c r="G1484" s="90"/>
      <c r="H1484" s="26">
        <f t="shared" si="50"/>
        <v>13292388.949999994</v>
      </c>
      <c r="I1484" s="25" t="s">
        <v>264</v>
      </c>
      <c r="J1484" s="22"/>
      <c r="K1484" s="25"/>
      <c r="L1484" s="25"/>
      <c r="M1484" s="22"/>
    </row>
    <row r="1485" spans="1:13">
      <c r="A1485" s="14">
        <v>2486</v>
      </c>
      <c r="B1485" s="67">
        <v>45284</v>
      </c>
      <c r="C1485" s="15">
        <f t="shared" si="49"/>
        <v>45284</v>
      </c>
      <c r="D1485" s="16"/>
      <c r="E1485" s="71"/>
      <c r="F1485" s="91">
        <v>20000</v>
      </c>
      <c r="G1485" s="90"/>
      <c r="H1485" s="26">
        <f t="shared" si="50"/>
        <v>13272388.949999994</v>
      </c>
      <c r="I1485" s="25" t="s">
        <v>271</v>
      </c>
      <c r="J1485" s="22"/>
      <c r="K1485" s="25"/>
      <c r="L1485" s="25"/>
      <c r="M1485" s="22"/>
    </row>
    <row r="1486" spans="1:13">
      <c r="A1486" s="14">
        <v>2487</v>
      </c>
      <c r="B1486" s="67">
        <v>45284</v>
      </c>
      <c r="C1486" s="15">
        <f t="shared" si="49"/>
        <v>45284</v>
      </c>
      <c r="D1486" s="16"/>
      <c r="E1486" s="72"/>
      <c r="F1486" s="91">
        <v>75</v>
      </c>
      <c r="G1486" s="90"/>
      <c r="H1486" s="26">
        <f t="shared" si="50"/>
        <v>13272313.949999994</v>
      </c>
      <c r="I1486" s="25" t="s">
        <v>264</v>
      </c>
      <c r="J1486" s="22"/>
      <c r="K1486" s="25"/>
      <c r="L1486" s="25"/>
      <c r="M1486" s="22"/>
    </row>
    <row r="1487" spans="1:13">
      <c r="A1487" s="14">
        <v>2488</v>
      </c>
      <c r="B1487" s="67">
        <v>45284</v>
      </c>
      <c r="C1487" s="15">
        <f t="shared" si="49"/>
        <v>45284</v>
      </c>
      <c r="D1487" s="16"/>
      <c r="E1487" s="71"/>
      <c r="F1487" s="91">
        <v>5.63</v>
      </c>
      <c r="G1487" s="90"/>
      <c r="H1487" s="26">
        <f t="shared" si="50"/>
        <v>13272308.319999993</v>
      </c>
      <c r="I1487" s="25" t="s">
        <v>264</v>
      </c>
      <c r="J1487" s="22"/>
      <c r="K1487" s="25"/>
      <c r="L1487" s="25"/>
      <c r="M1487" s="22"/>
    </row>
    <row r="1488" spans="1:13">
      <c r="A1488" s="14">
        <v>2489</v>
      </c>
      <c r="B1488" s="67">
        <v>45284</v>
      </c>
      <c r="C1488" s="15">
        <f t="shared" si="49"/>
        <v>45284</v>
      </c>
      <c r="D1488" s="16"/>
      <c r="E1488" s="72"/>
      <c r="F1488" s="91">
        <v>150</v>
      </c>
      <c r="G1488" s="90"/>
      <c r="H1488" s="26">
        <f t="shared" si="50"/>
        <v>13272158.319999993</v>
      </c>
      <c r="I1488" s="25" t="s">
        <v>264</v>
      </c>
      <c r="J1488" s="22"/>
      <c r="K1488" s="25"/>
      <c r="L1488" s="25"/>
      <c r="M1488" s="22"/>
    </row>
    <row r="1489" spans="1:13">
      <c r="A1489" s="14">
        <v>2490</v>
      </c>
      <c r="B1489" s="67">
        <v>45284</v>
      </c>
      <c r="C1489" s="15">
        <f t="shared" si="49"/>
        <v>45284</v>
      </c>
      <c r="D1489" s="16"/>
      <c r="E1489" s="71"/>
      <c r="F1489" s="91">
        <v>11.25</v>
      </c>
      <c r="G1489" s="90"/>
      <c r="H1489" s="26">
        <f t="shared" si="50"/>
        <v>13272147.069999993</v>
      </c>
      <c r="I1489" s="25" t="s">
        <v>264</v>
      </c>
      <c r="J1489" s="22"/>
      <c r="K1489" s="25"/>
      <c r="L1489" s="25"/>
      <c r="M1489" s="22"/>
    </row>
    <row r="1490" spans="1:13">
      <c r="A1490" s="14">
        <v>2491</v>
      </c>
      <c r="B1490" s="67">
        <v>45284</v>
      </c>
      <c r="C1490" s="15">
        <f t="shared" si="49"/>
        <v>45284</v>
      </c>
      <c r="D1490" s="16"/>
      <c r="E1490" s="72"/>
      <c r="F1490" s="91">
        <v>32000</v>
      </c>
      <c r="G1490" s="90"/>
      <c r="H1490" s="26">
        <f t="shared" si="50"/>
        <v>13240147.069999993</v>
      </c>
      <c r="I1490" s="25" t="s">
        <v>269</v>
      </c>
      <c r="J1490" s="22"/>
      <c r="K1490" s="25"/>
      <c r="L1490" s="25"/>
      <c r="M1490" s="22"/>
    </row>
    <row r="1491" spans="1:13">
      <c r="A1491" s="14">
        <v>2492</v>
      </c>
      <c r="B1491" s="67">
        <v>45284</v>
      </c>
      <c r="C1491" s="15">
        <f t="shared" si="49"/>
        <v>45284</v>
      </c>
      <c r="D1491" s="16"/>
      <c r="E1491" s="71"/>
      <c r="F1491" s="91">
        <v>30000</v>
      </c>
      <c r="G1491" s="90"/>
      <c r="H1491" s="26">
        <f t="shared" si="50"/>
        <v>13210147.069999993</v>
      </c>
      <c r="I1491" s="25" t="s">
        <v>271</v>
      </c>
      <c r="J1491" s="22"/>
      <c r="K1491" s="25"/>
      <c r="L1491" s="25"/>
      <c r="M1491" s="22"/>
    </row>
    <row r="1492" spans="1:13">
      <c r="A1492" s="14">
        <v>2493</v>
      </c>
      <c r="B1492" s="67">
        <v>45284</v>
      </c>
      <c r="C1492" s="15">
        <f t="shared" si="49"/>
        <v>45284</v>
      </c>
      <c r="D1492" s="16"/>
      <c r="E1492" s="72"/>
      <c r="F1492" s="96">
        <v>25</v>
      </c>
      <c r="G1492" s="94"/>
      <c r="H1492" s="26">
        <f t="shared" si="50"/>
        <v>13210122.069999993</v>
      </c>
      <c r="I1492" s="25" t="s">
        <v>264</v>
      </c>
      <c r="J1492" s="22"/>
      <c r="K1492" s="25"/>
      <c r="L1492" s="25"/>
      <c r="M1492" s="22"/>
    </row>
    <row r="1493" spans="1:13">
      <c r="A1493" s="14">
        <v>2494</v>
      </c>
      <c r="B1493" s="67">
        <v>45284</v>
      </c>
      <c r="C1493" s="15">
        <f t="shared" ref="C1493:C1504" si="51">B1493</f>
        <v>45284</v>
      </c>
      <c r="D1493" s="16"/>
      <c r="E1493" s="71"/>
      <c r="F1493" s="91">
        <v>1.87</v>
      </c>
      <c r="G1493" s="90"/>
      <c r="H1493" s="26">
        <f t="shared" si="50"/>
        <v>13210120.199999994</v>
      </c>
      <c r="I1493" s="25" t="s">
        <v>264</v>
      </c>
      <c r="J1493" s="22"/>
      <c r="K1493" s="25"/>
      <c r="L1493" s="25"/>
      <c r="M1493" s="22"/>
    </row>
    <row r="1494" spans="1:13">
      <c r="A1494" s="14">
        <v>2495</v>
      </c>
      <c r="B1494" s="67">
        <v>45284</v>
      </c>
      <c r="C1494" s="15">
        <f t="shared" si="51"/>
        <v>45284</v>
      </c>
      <c r="D1494" s="16"/>
      <c r="E1494" s="72"/>
      <c r="F1494" s="91">
        <v>60000</v>
      </c>
      <c r="G1494" s="90"/>
      <c r="H1494" s="26">
        <f t="shared" si="50"/>
        <v>13150120.199999994</v>
      </c>
      <c r="I1494" s="25" t="s">
        <v>271</v>
      </c>
      <c r="J1494" s="22"/>
      <c r="K1494" s="25"/>
      <c r="L1494" s="25"/>
      <c r="M1494" s="22"/>
    </row>
    <row r="1495" spans="1:13">
      <c r="A1495" s="14">
        <v>2496</v>
      </c>
      <c r="B1495" s="67">
        <v>45284</v>
      </c>
      <c r="C1495" s="15">
        <f t="shared" si="51"/>
        <v>45284</v>
      </c>
      <c r="D1495" s="16"/>
      <c r="E1495" s="71"/>
      <c r="F1495" s="91">
        <v>50</v>
      </c>
      <c r="G1495" s="90"/>
      <c r="H1495" s="26">
        <f t="shared" si="50"/>
        <v>13150070.199999994</v>
      </c>
      <c r="I1495" s="25" t="s">
        <v>264</v>
      </c>
      <c r="J1495" s="22"/>
      <c r="K1495" s="25"/>
      <c r="L1495" s="25"/>
      <c r="M1495" s="22"/>
    </row>
    <row r="1496" spans="1:13">
      <c r="A1496" s="14">
        <v>2497</v>
      </c>
      <c r="B1496" s="67">
        <v>45284</v>
      </c>
      <c r="C1496" s="15">
        <f t="shared" si="51"/>
        <v>45284</v>
      </c>
      <c r="D1496" s="16"/>
      <c r="E1496" s="72"/>
      <c r="F1496" s="91">
        <v>3.75</v>
      </c>
      <c r="G1496" s="90"/>
      <c r="H1496" s="26">
        <f t="shared" si="50"/>
        <v>13150066.449999994</v>
      </c>
      <c r="I1496" s="25" t="s">
        <v>264</v>
      </c>
      <c r="J1496" s="22"/>
      <c r="K1496" s="25"/>
      <c r="L1496" s="25"/>
      <c r="M1496" s="22"/>
    </row>
    <row r="1497" spans="1:13">
      <c r="A1497" s="14">
        <v>2498</v>
      </c>
      <c r="B1497" s="67">
        <v>45284</v>
      </c>
      <c r="C1497" s="15">
        <f t="shared" si="51"/>
        <v>45284</v>
      </c>
      <c r="D1497" s="16"/>
      <c r="E1497" s="71"/>
      <c r="F1497" s="91">
        <v>152000</v>
      </c>
      <c r="G1497" s="90"/>
      <c r="H1497" s="26">
        <f t="shared" si="50"/>
        <v>12998066.449999994</v>
      </c>
      <c r="I1497" s="25" t="s">
        <v>271</v>
      </c>
      <c r="J1497" s="22"/>
      <c r="K1497" s="25"/>
      <c r="L1497" s="25"/>
      <c r="M1497" s="22"/>
    </row>
    <row r="1498" spans="1:13">
      <c r="A1498" s="14">
        <v>2499</v>
      </c>
      <c r="B1498" s="67">
        <v>45284</v>
      </c>
      <c r="C1498" s="15">
        <f t="shared" si="51"/>
        <v>45284</v>
      </c>
      <c r="D1498" s="16"/>
      <c r="E1498" s="72"/>
      <c r="F1498" s="91">
        <v>50</v>
      </c>
      <c r="G1498" s="90"/>
      <c r="H1498" s="26">
        <f t="shared" si="50"/>
        <v>12998016.449999994</v>
      </c>
      <c r="I1498" s="25" t="s">
        <v>264</v>
      </c>
      <c r="J1498" s="22"/>
      <c r="K1498" s="25"/>
      <c r="L1498" s="25"/>
      <c r="M1498" s="22"/>
    </row>
    <row r="1499" spans="1:13">
      <c r="A1499" s="14">
        <v>2500</v>
      </c>
      <c r="B1499" s="67">
        <v>45284</v>
      </c>
      <c r="C1499" s="15">
        <f t="shared" si="51"/>
        <v>45284</v>
      </c>
      <c r="D1499" s="16"/>
      <c r="E1499" s="71"/>
      <c r="F1499" s="91">
        <v>3.75</v>
      </c>
      <c r="G1499" s="90"/>
      <c r="H1499" s="26">
        <f t="shared" si="50"/>
        <v>12998012.699999994</v>
      </c>
      <c r="I1499" s="25" t="s">
        <v>264</v>
      </c>
      <c r="J1499" s="22"/>
      <c r="K1499" s="25"/>
      <c r="L1499" s="25"/>
      <c r="M1499" s="22"/>
    </row>
    <row r="1500" spans="1:13">
      <c r="A1500" s="14">
        <v>2501</v>
      </c>
      <c r="B1500" s="67">
        <v>45288</v>
      </c>
      <c r="C1500" s="15">
        <f t="shared" si="51"/>
        <v>45288</v>
      </c>
      <c r="D1500" s="16"/>
      <c r="E1500" s="72"/>
      <c r="F1500" s="96">
        <v>12803.81</v>
      </c>
      <c r="G1500" s="94"/>
      <c r="H1500" s="26">
        <f t="shared" si="50"/>
        <v>12985208.889999993</v>
      </c>
      <c r="I1500" s="25" t="s">
        <v>280</v>
      </c>
      <c r="J1500" s="22"/>
      <c r="K1500" s="25"/>
      <c r="L1500" s="25"/>
      <c r="M1500" s="22"/>
    </row>
    <row r="1501" spans="1:13">
      <c r="A1501" s="14">
        <v>2502</v>
      </c>
      <c r="B1501" s="67">
        <v>45291</v>
      </c>
      <c r="C1501" s="15">
        <f t="shared" si="51"/>
        <v>45291</v>
      </c>
      <c r="D1501" s="16"/>
      <c r="E1501" s="71"/>
      <c r="F1501" s="91">
        <v>1088</v>
      </c>
      <c r="G1501" s="95"/>
      <c r="H1501" s="26">
        <f t="shared" si="50"/>
        <v>12984120.889999993</v>
      </c>
      <c r="I1501" s="25" t="s">
        <v>264</v>
      </c>
      <c r="J1501" s="22"/>
      <c r="K1501" s="25"/>
      <c r="L1501" s="25"/>
      <c r="M1501" s="22"/>
    </row>
    <row r="1502" spans="1:13">
      <c r="A1502" s="14">
        <v>2503</v>
      </c>
      <c r="B1502" s="67">
        <v>45291</v>
      </c>
      <c r="C1502" s="15">
        <f t="shared" si="51"/>
        <v>45291</v>
      </c>
      <c r="D1502" s="16"/>
      <c r="E1502" s="72"/>
      <c r="F1502" s="91">
        <v>81.599999999999994</v>
      </c>
      <c r="G1502" s="95"/>
      <c r="H1502" s="26">
        <f t="shared" si="50"/>
        <v>12984039.289999994</v>
      </c>
      <c r="I1502" s="25" t="s">
        <v>264</v>
      </c>
      <c r="J1502" s="22"/>
      <c r="K1502" s="25"/>
      <c r="L1502" s="25"/>
      <c r="M1502" s="22"/>
    </row>
    <row r="1503" spans="1:13">
      <c r="A1503" s="14">
        <v>2504</v>
      </c>
      <c r="B1503" s="67">
        <v>45291</v>
      </c>
      <c r="C1503" s="15">
        <f t="shared" si="51"/>
        <v>45291</v>
      </c>
      <c r="D1503" s="16"/>
      <c r="E1503" s="71"/>
      <c r="F1503" s="91">
        <v>9381.08</v>
      </c>
      <c r="G1503" s="95"/>
      <c r="H1503" s="26">
        <f t="shared" si="50"/>
        <v>12974658.209999993</v>
      </c>
      <c r="I1503" s="25" t="s">
        <v>264</v>
      </c>
      <c r="J1503" s="22"/>
      <c r="K1503" s="25"/>
      <c r="L1503" s="25"/>
      <c r="M1503" s="22"/>
    </row>
    <row r="1504" spans="1:13">
      <c r="A1504" s="14">
        <v>2505</v>
      </c>
      <c r="B1504" s="67">
        <v>45291</v>
      </c>
      <c r="C1504" s="15">
        <f t="shared" si="51"/>
        <v>45291</v>
      </c>
      <c r="D1504" s="16"/>
      <c r="E1504" s="72"/>
      <c r="F1504" s="91">
        <v>703.58</v>
      </c>
      <c r="G1504" s="95"/>
      <c r="H1504" s="26">
        <f t="shared" si="50"/>
        <v>12973954.629999993</v>
      </c>
      <c r="I1504" s="25" t="s">
        <v>264</v>
      </c>
      <c r="J1504" s="22"/>
      <c r="K1504" s="25"/>
      <c r="L1504" s="25"/>
      <c r="M1504" s="22"/>
    </row>
    <row r="1505" spans="1:13">
      <c r="A1505" s="14"/>
      <c r="B1505" s="67"/>
      <c r="C1505" s="15"/>
      <c r="D1505" s="22"/>
      <c r="E1505" s="71"/>
      <c r="F1505" s="102"/>
      <c r="G1505" s="90"/>
      <c r="H1505" s="26"/>
      <c r="I1505" s="25"/>
      <c r="J1505" s="22"/>
      <c r="K1505" s="25"/>
      <c r="L1505" s="25"/>
      <c r="M1505" s="22"/>
    </row>
    <row r="1506" spans="1:13" s="83" customFormat="1">
      <c r="A1506" s="68"/>
      <c r="B1506" s="99"/>
      <c r="C1506" s="82"/>
      <c r="D1506" s="69"/>
      <c r="E1506" s="97"/>
      <c r="F1506" s="104"/>
      <c r="G1506" s="98">
        <v>1731.37</v>
      </c>
      <c r="H1506" s="26"/>
      <c r="I1506" s="70" t="s">
        <v>325</v>
      </c>
      <c r="J1506" s="69"/>
      <c r="K1506" s="70"/>
      <c r="L1506" s="70"/>
      <c r="M1506" s="69"/>
    </row>
    <row r="1507" spans="1:13">
      <c r="A1507" s="14">
        <v>2506</v>
      </c>
      <c r="B1507" s="76">
        <v>45127</v>
      </c>
      <c r="C1507" s="15">
        <f t="shared" ref="C1507:C1519" si="52">B1507</f>
        <v>45127</v>
      </c>
      <c r="D1507" s="16"/>
      <c r="E1507" s="78"/>
      <c r="F1507" s="102">
        <v>1500</v>
      </c>
      <c r="G1507" s="90"/>
      <c r="H1507" s="26">
        <f t="shared" si="50"/>
        <v>-1500</v>
      </c>
      <c r="I1507" s="25" t="s">
        <v>301</v>
      </c>
      <c r="J1507" s="22"/>
      <c r="K1507" s="25"/>
      <c r="L1507" s="25"/>
      <c r="M1507" s="22"/>
    </row>
    <row r="1508" spans="1:13">
      <c r="A1508" s="14">
        <v>2507</v>
      </c>
      <c r="B1508" s="76">
        <v>45176</v>
      </c>
      <c r="C1508" s="15">
        <f t="shared" si="52"/>
        <v>45176</v>
      </c>
      <c r="D1508" s="16"/>
      <c r="E1508" s="81"/>
      <c r="F1508" s="102">
        <v>10</v>
      </c>
      <c r="G1508" s="90"/>
      <c r="H1508" s="26">
        <f t="shared" si="50"/>
        <v>-1510</v>
      </c>
      <c r="I1508" s="25" t="s">
        <v>321</v>
      </c>
      <c r="J1508" s="22"/>
      <c r="K1508" s="25"/>
      <c r="L1508" s="25"/>
      <c r="M1508" s="22"/>
    </row>
    <row r="1509" spans="1:13">
      <c r="A1509" s="14">
        <v>2508</v>
      </c>
      <c r="B1509" s="76">
        <v>45176</v>
      </c>
      <c r="C1509" s="15">
        <f t="shared" si="52"/>
        <v>45176</v>
      </c>
      <c r="D1509" s="16"/>
      <c r="E1509" s="81"/>
      <c r="F1509" s="102">
        <v>1.3</v>
      </c>
      <c r="G1509" s="90"/>
      <c r="H1509" s="26">
        <f t="shared" si="50"/>
        <v>-1511.3</v>
      </c>
      <c r="I1509" s="25" t="s">
        <v>321</v>
      </c>
      <c r="J1509" s="22"/>
      <c r="K1509" s="25"/>
      <c r="L1509" s="25"/>
      <c r="M1509" s="22"/>
    </row>
    <row r="1510" spans="1:13">
      <c r="A1510" s="14">
        <v>2509</v>
      </c>
      <c r="B1510" s="77">
        <v>45189</v>
      </c>
      <c r="C1510" s="15">
        <f t="shared" si="52"/>
        <v>45189</v>
      </c>
      <c r="D1510" s="16"/>
      <c r="E1510" s="80"/>
      <c r="F1510" s="102">
        <v>10</v>
      </c>
      <c r="G1510" s="90"/>
      <c r="H1510" s="26">
        <f t="shared" si="50"/>
        <v>-1521.3</v>
      </c>
      <c r="I1510" s="25" t="s">
        <v>321</v>
      </c>
      <c r="J1510" s="22"/>
      <c r="K1510" s="25"/>
      <c r="L1510" s="25"/>
      <c r="M1510" s="22"/>
    </row>
    <row r="1511" spans="1:13">
      <c r="A1511" s="14">
        <v>2510</v>
      </c>
      <c r="B1511" s="76">
        <v>45261</v>
      </c>
      <c r="C1511" s="15">
        <f t="shared" si="52"/>
        <v>45261</v>
      </c>
      <c r="D1511" s="16"/>
      <c r="E1511" s="78"/>
      <c r="F1511" s="102">
        <v>200</v>
      </c>
      <c r="G1511" s="90"/>
      <c r="H1511" s="26">
        <f t="shared" si="50"/>
        <v>-1721.3</v>
      </c>
      <c r="I1511" s="25" t="s">
        <v>301</v>
      </c>
      <c r="J1511" s="22"/>
      <c r="K1511" s="25"/>
      <c r="L1511" s="25"/>
      <c r="M1511" s="22"/>
    </row>
    <row r="1512" spans="1:13">
      <c r="A1512" s="14">
        <v>2511</v>
      </c>
      <c r="B1512" s="76">
        <v>45266</v>
      </c>
      <c r="C1512" s="15">
        <f t="shared" si="52"/>
        <v>45266</v>
      </c>
      <c r="D1512" s="16"/>
      <c r="E1512" s="79"/>
      <c r="F1512" s="102"/>
      <c r="G1512" s="90">
        <v>20000</v>
      </c>
      <c r="H1512" s="26">
        <f t="shared" si="50"/>
        <v>18278.7</v>
      </c>
      <c r="I1512" s="25" t="s">
        <v>322</v>
      </c>
      <c r="J1512" s="22"/>
      <c r="K1512" s="25"/>
      <c r="L1512" s="25"/>
      <c r="M1512" s="22"/>
    </row>
    <row r="1513" spans="1:13">
      <c r="A1513" s="14">
        <v>2512</v>
      </c>
      <c r="B1513" s="76">
        <v>45266</v>
      </c>
      <c r="C1513" s="15">
        <f t="shared" si="52"/>
        <v>45266</v>
      </c>
      <c r="D1513" s="16"/>
      <c r="E1513" s="79"/>
      <c r="F1513" s="102">
        <v>0.06</v>
      </c>
      <c r="G1513" s="90"/>
      <c r="H1513" s="26">
        <f t="shared" si="50"/>
        <v>18278.64</v>
      </c>
      <c r="I1513" s="25" t="s">
        <v>323</v>
      </c>
      <c r="J1513" s="22"/>
      <c r="K1513" s="25"/>
      <c r="L1513" s="25"/>
      <c r="M1513" s="22"/>
    </row>
    <row r="1514" spans="1:13">
      <c r="A1514" s="14">
        <v>2513</v>
      </c>
      <c r="B1514" s="76">
        <v>45271</v>
      </c>
      <c r="C1514" s="15">
        <f t="shared" si="52"/>
        <v>45271</v>
      </c>
      <c r="D1514" s="16"/>
      <c r="E1514" s="79"/>
      <c r="F1514" s="102">
        <v>15000</v>
      </c>
      <c r="G1514" s="90"/>
      <c r="H1514" s="26">
        <f t="shared" si="50"/>
        <v>3278.6399999999994</v>
      </c>
      <c r="I1514" s="25" t="s">
        <v>270</v>
      </c>
      <c r="J1514" s="22"/>
      <c r="K1514" s="25"/>
      <c r="L1514" s="25"/>
      <c r="M1514" s="22"/>
    </row>
    <row r="1515" spans="1:13">
      <c r="A1515" s="14">
        <v>2514</v>
      </c>
      <c r="B1515" s="76">
        <v>45271</v>
      </c>
      <c r="C1515" s="15">
        <f t="shared" si="52"/>
        <v>45271</v>
      </c>
      <c r="D1515" s="16"/>
      <c r="E1515" s="78"/>
      <c r="F1515" s="102">
        <v>7.5</v>
      </c>
      <c r="G1515" s="90"/>
      <c r="H1515" s="26">
        <f t="shared" si="50"/>
        <v>3271.1399999999994</v>
      </c>
      <c r="I1515" s="25" t="s">
        <v>324</v>
      </c>
      <c r="J1515" s="22"/>
      <c r="K1515" s="25"/>
      <c r="L1515" s="25"/>
      <c r="M1515" s="22"/>
    </row>
    <row r="1516" spans="1:13">
      <c r="A1516" s="14">
        <v>2515</v>
      </c>
      <c r="B1516" s="76">
        <v>45271</v>
      </c>
      <c r="C1516" s="15">
        <f t="shared" si="52"/>
        <v>45271</v>
      </c>
      <c r="D1516" s="16"/>
      <c r="E1516" s="79"/>
      <c r="F1516" s="102">
        <v>0.56000000000000005</v>
      </c>
      <c r="G1516" s="90"/>
      <c r="H1516" s="26">
        <f t="shared" ref="H1516:H1519" si="53">IFERROR(H1515-F1516+G1516,"")</f>
        <v>3270.5799999999995</v>
      </c>
      <c r="I1516" s="25" t="s">
        <v>261</v>
      </c>
      <c r="J1516" s="22"/>
      <c r="K1516" s="25"/>
      <c r="L1516" s="25"/>
      <c r="M1516" s="22"/>
    </row>
    <row r="1517" spans="1:13">
      <c r="A1517" s="14">
        <v>2516</v>
      </c>
      <c r="B1517" s="76">
        <v>45282</v>
      </c>
      <c r="C1517" s="15">
        <f t="shared" si="52"/>
        <v>45282</v>
      </c>
      <c r="D1517" s="16"/>
      <c r="E1517" s="79"/>
      <c r="F1517" s="102"/>
      <c r="G1517" s="90">
        <v>50000</v>
      </c>
      <c r="H1517" s="26">
        <f t="shared" si="53"/>
        <v>53270.58</v>
      </c>
      <c r="I1517" s="25" t="s">
        <v>322</v>
      </c>
      <c r="J1517" s="22"/>
      <c r="K1517" s="25"/>
      <c r="L1517" s="25"/>
      <c r="M1517" s="22"/>
    </row>
    <row r="1518" spans="1:13">
      <c r="A1518" s="14">
        <v>2517</v>
      </c>
      <c r="B1518" s="76">
        <v>45282</v>
      </c>
      <c r="C1518" s="15">
        <f t="shared" si="52"/>
        <v>45282</v>
      </c>
      <c r="D1518" s="16"/>
      <c r="E1518" s="79"/>
      <c r="F1518" s="102">
        <v>0.06</v>
      </c>
      <c r="G1518" s="90"/>
      <c r="H1518" s="26">
        <f t="shared" si="53"/>
        <v>53270.520000000004</v>
      </c>
      <c r="I1518" s="25" t="s">
        <v>323</v>
      </c>
      <c r="J1518" s="22"/>
      <c r="K1518" s="25"/>
      <c r="L1518" s="25"/>
      <c r="M1518" s="22"/>
    </row>
    <row r="1519" spans="1:13">
      <c r="A1519" s="14">
        <v>2518</v>
      </c>
      <c r="B1519" s="76">
        <v>45284</v>
      </c>
      <c r="C1519" s="15">
        <f t="shared" si="52"/>
        <v>45284</v>
      </c>
      <c r="D1519" s="16"/>
      <c r="E1519" s="78"/>
      <c r="F1519" s="102">
        <v>500</v>
      </c>
      <c r="G1519" s="90"/>
      <c r="H1519" s="26">
        <f t="shared" si="53"/>
        <v>52770.520000000004</v>
      </c>
      <c r="I1519" s="25" t="s">
        <v>301</v>
      </c>
      <c r="J1519" s="22"/>
      <c r="K1519" s="25"/>
      <c r="L1519" s="25"/>
      <c r="M1519" s="22"/>
    </row>
    <row r="1520" spans="1:13">
      <c r="A1520" s="14"/>
      <c r="B1520" s="67"/>
      <c r="C1520" s="15"/>
      <c r="D1520" s="22"/>
      <c r="E1520" s="72"/>
      <c r="F1520" s="102"/>
      <c r="G1520" s="90"/>
      <c r="H1520" s="26"/>
      <c r="I1520" s="25"/>
      <c r="J1520" s="22"/>
      <c r="K1520" s="25"/>
      <c r="L1520" s="25"/>
      <c r="M1520" s="22"/>
    </row>
    <row r="1521" spans="1:13">
      <c r="A1521" s="14"/>
      <c r="B1521" s="67"/>
      <c r="C1521" s="15"/>
      <c r="D1521" s="22"/>
      <c r="E1521" s="71"/>
      <c r="F1521" s="102"/>
      <c r="G1521" s="90"/>
      <c r="H1521" s="26"/>
      <c r="I1521" s="25"/>
      <c r="J1521" s="22"/>
      <c r="K1521" s="25"/>
      <c r="L1521" s="25"/>
      <c r="M1521" s="22"/>
    </row>
    <row r="1522" spans="1:13">
      <c r="A1522" s="14"/>
      <c r="B1522" s="67"/>
      <c r="C1522" s="15"/>
      <c r="D1522" s="22"/>
      <c r="E1522" s="72"/>
      <c r="F1522" s="102"/>
      <c r="G1522" s="90"/>
      <c r="H1522" s="26"/>
      <c r="I1522" s="25"/>
      <c r="J1522" s="22"/>
      <c r="K1522" s="25"/>
      <c r="L1522" s="25"/>
      <c r="M1522" s="22"/>
    </row>
    <row r="1523" spans="1:13">
      <c r="A1523" s="14"/>
      <c r="B1523" s="67"/>
      <c r="C1523" s="15"/>
      <c r="D1523" s="22"/>
      <c r="E1523" s="71"/>
      <c r="F1523" s="102"/>
      <c r="G1523" s="90"/>
      <c r="H1523" s="26"/>
      <c r="I1523" s="25"/>
      <c r="J1523" s="22"/>
      <c r="K1523" s="25"/>
      <c r="L1523" s="25"/>
      <c r="M1523" s="22"/>
    </row>
    <row r="1524" spans="1:13">
      <c r="A1524" s="14"/>
      <c r="B1524" s="67"/>
      <c r="C1524" s="15"/>
      <c r="D1524" s="22"/>
      <c r="E1524" s="72"/>
      <c r="F1524" s="102"/>
      <c r="G1524" s="90"/>
      <c r="H1524" s="26"/>
      <c r="I1524" s="25"/>
      <c r="J1524" s="22"/>
      <c r="K1524" s="25"/>
      <c r="L1524" s="25"/>
      <c r="M1524" s="22"/>
    </row>
    <row r="1525" spans="1:13">
      <c r="A1525" s="14"/>
      <c r="B1525" s="67"/>
      <c r="C1525" s="15"/>
      <c r="D1525" s="22"/>
      <c r="E1525" s="71"/>
      <c r="F1525" s="102"/>
      <c r="G1525" s="90"/>
      <c r="H1525" s="26"/>
      <c r="I1525" s="25"/>
      <c r="J1525" s="22"/>
      <c r="K1525" s="25"/>
      <c r="L1525" s="25"/>
      <c r="M1525" s="22"/>
    </row>
    <row r="1526" spans="1:13">
      <c r="A1526" s="14"/>
      <c r="B1526" s="67"/>
      <c r="C1526" s="15"/>
      <c r="D1526" s="22"/>
      <c r="E1526" s="72"/>
      <c r="F1526" s="102"/>
      <c r="G1526" s="90"/>
      <c r="H1526" s="26"/>
      <c r="I1526" s="25"/>
      <c r="J1526" s="22"/>
      <c r="K1526" s="25"/>
      <c r="L1526" s="25"/>
      <c r="M1526" s="22"/>
    </row>
    <row r="1527" spans="1:13">
      <c r="A1527" s="14"/>
      <c r="B1527" s="67"/>
      <c r="C1527" s="15"/>
      <c r="D1527" s="22"/>
      <c r="E1527" s="71"/>
      <c r="F1527" s="102"/>
      <c r="G1527" s="90"/>
      <c r="H1527" s="26"/>
      <c r="I1527" s="25"/>
      <c r="J1527" s="22"/>
      <c r="K1527" s="25"/>
      <c r="L1527" s="25"/>
      <c r="M1527" s="22"/>
    </row>
    <row r="1528" spans="1:13">
      <c r="A1528" s="14"/>
      <c r="B1528" s="67"/>
      <c r="C1528" s="15"/>
      <c r="D1528" s="22"/>
      <c r="E1528" s="72"/>
      <c r="F1528" s="102"/>
      <c r="G1528" s="90"/>
      <c r="H1528" s="26"/>
      <c r="I1528" s="25"/>
      <c r="J1528" s="22"/>
      <c r="K1528" s="25"/>
      <c r="L1528" s="25"/>
      <c r="M1528" s="22"/>
    </row>
    <row r="1529" spans="1:13">
      <c r="A1529" s="14"/>
      <c r="B1529" s="67"/>
      <c r="C1529" s="15"/>
      <c r="D1529" s="22"/>
      <c r="E1529" s="71"/>
      <c r="F1529" s="102"/>
      <c r="G1529" s="90"/>
      <c r="H1529" s="26"/>
      <c r="I1529" s="25"/>
      <c r="J1529" s="22"/>
      <c r="K1529" s="25"/>
      <c r="L1529" s="25"/>
      <c r="M1529" s="22"/>
    </row>
    <row r="1530" spans="1:13">
      <c r="A1530" s="14"/>
      <c r="B1530" s="67"/>
      <c r="C1530" s="15"/>
      <c r="D1530" s="22"/>
      <c r="E1530" s="72"/>
      <c r="F1530" s="102"/>
      <c r="G1530" s="90"/>
      <c r="H1530" s="26"/>
      <c r="I1530" s="25"/>
      <c r="J1530" s="22"/>
      <c r="K1530" s="25"/>
      <c r="L1530" s="25"/>
      <c r="M1530" s="22"/>
    </row>
    <row r="1531" spans="1:13">
      <c r="A1531" s="14"/>
      <c r="B1531" s="67"/>
      <c r="C1531" s="15"/>
      <c r="D1531" s="22"/>
      <c r="E1531" s="71"/>
      <c r="F1531" s="102"/>
      <c r="G1531" s="90"/>
      <c r="H1531" s="26"/>
      <c r="I1531" s="25"/>
      <c r="J1531" s="22"/>
      <c r="K1531" s="25"/>
      <c r="L1531" s="25"/>
      <c r="M1531" s="22"/>
    </row>
    <row r="1532" spans="1:13">
      <c r="A1532" s="14"/>
      <c r="B1532" s="67"/>
      <c r="C1532" s="15"/>
      <c r="D1532" s="22"/>
      <c r="E1532" s="72"/>
      <c r="F1532" s="102"/>
      <c r="G1532" s="90"/>
      <c r="H1532" s="26"/>
      <c r="I1532" s="25"/>
      <c r="J1532" s="22"/>
      <c r="K1532" s="25"/>
      <c r="L1532" s="25"/>
      <c r="M1532" s="22"/>
    </row>
    <row r="1533" spans="1:13">
      <c r="A1533" s="14"/>
      <c r="B1533" s="67"/>
      <c r="C1533" s="15"/>
      <c r="D1533" s="22"/>
      <c r="E1533" s="71"/>
      <c r="F1533" s="102"/>
      <c r="G1533" s="90"/>
      <c r="H1533" s="26"/>
      <c r="I1533" s="25"/>
      <c r="J1533" s="22"/>
      <c r="K1533" s="25"/>
      <c r="L1533" s="25"/>
      <c r="M1533" s="22"/>
    </row>
    <row r="1534" spans="1:13">
      <c r="A1534" s="14"/>
      <c r="B1534" s="67"/>
      <c r="C1534" s="15"/>
      <c r="D1534" s="22"/>
      <c r="E1534" s="72"/>
      <c r="F1534" s="102"/>
      <c r="G1534" s="90"/>
      <c r="H1534" s="26"/>
      <c r="I1534" s="25"/>
      <c r="J1534" s="22"/>
      <c r="K1534" s="25"/>
      <c r="L1534" s="25"/>
      <c r="M1534" s="22"/>
    </row>
    <row r="1535" spans="1:13">
      <c r="A1535" s="14"/>
      <c r="B1535" s="67"/>
      <c r="C1535" s="15"/>
      <c r="D1535" s="22"/>
      <c r="E1535" s="71"/>
      <c r="F1535" s="102"/>
      <c r="G1535" s="90"/>
      <c r="H1535" s="26"/>
      <c r="I1535" s="25"/>
      <c r="J1535" s="22"/>
      <c r="K1535" s="25"/>
      <c r="L1535" s="25"/>
      <c r="M1535" s="22"/>
    </row>
    <row r="1536" spans="1:13">
      <c r="A1536" s="14"/>
      <c r="B1536" s="67"/>
      <c r="C1536" s="15"/>
      <c r="D1536" s="22"/>
      <c r="E1536" s="72"/>
      <c r="F1536" s="102"/>
      <c r="G1536" s="90"/>
      <c r="H1536" s="26"/>
      <c r="I1536" s="25"/>
      <c r="J1536" s="22"/>
      <c r="K1536" s="25"/>
      <c r="L1536" s="25"/>
      <c r="M1536" s="22"/>
    </row>
    <row r="1537" spans="1:13">
      <c r="A1537" s="14"/>
      <c r="B1537" s="67"/>
      <c r="C1537" s="15"/>
      <c r="D1537" s="22"/>
      <c r="E1537" s="71"/>
      <c r="F1537" s="102"/>
      <c r="G1537" s="90"/>
      <c r="H1537" s="26"/>
      <c r="I1537" s="25"/>
      <c r="J1537" s="22"/>
      <c r="K1537" s="25"/>
      <c r="L1537" s="25"/>
      <c r="M1537" s="22"/>
    </row>
    <row r="1538" spans="1:13">
      <c r="A1538" s="14"/>
      <c r="B1538" s="67"/>
      <c r="C1538" s="15"/>
      <c r="D1538" s="22"/>
      <c r="E1538" s="72"/>
      <c r="F1538" s="102"/>
      <c r="G1538" s="90"/>
      <c r="H1538" s="26"/>
      <c r="I1538" s="25"/>
      <c r="J1538" s="22"/>
      <c r="K1538" s="25"/>
      <c r="L1538" s="25"/>
      <c r="M1538" s="22"/>
    </row>
    <row r="1539" spans="1:13">
      <c r="A1539" s="14"/>
      <c r="B1539" s="67"/>
      <c r="C1539" s="15"/>
      <c r="D1539" s="22"/>
      <c r="E1539" s="71"/>
      <c r="F1539" s="102"/>
      <c r="G1539" s="90"/>
      <c r="H1539" s="26"/>
      <c r="I1539" s="25"/>
      <c r="J1539" s="22"/>
      <c r="K1539" s="25"/>
      <c r="L1539" s="25"/>
      <c r="M1539" s="22"/>
    </row>
    <row r="1540" spans="1:13">
      <c r="A1540" s="14"/>
      <c r="B1540" s="67"/>
      <c r="C1540" s="15"/>
      <c r="D1540" s="22"/>
      <c r="E1540" s="72"/>
      <c r="F1540" s="102"/>
      <c r="G1540" s="90"/>
      <c r="H1540" s="26"/>
      <c r="I1540" s="25"/>
      <c r="J1540" s="22"/>
      <c r="K1540" s="25"/>
      <c r="L1540" s="25"/>
      <c r="M1540" s="22"/>
    </row>
    <row r="1541" spans="1:13">
      <c r="A1541" s="14"/>
      <c r="B1541" s="67"/>
      <c r="C1541" s="15"/>
      <c r="D1541" s="22"/>
      <c r="E1541" s="71"/>
      <c r="F1541" s="102"/>
      <c r="G1541" s="90"/>
      <c r="H1541" s="26"/>
      <c r="I1541" s="25"/>
      <c r="J1541" s="22"/>
      <c r="K1541" s="25"/>
      <c r="L1541" s="25"/>
      <c r="M1541" s="22"/>
    </row>
    <row r="1542" spans="1:13">
      <c r="A1542" s="14"/>
      <c r="B1542" s="67"/>
      <c r="C1542" s="15"/>
      <c r="D1542" s="22"/>
      <c r="E1542" s="72"/>
      <c r="F1542" s="102"/>
      <c r="G1542" s="90"/>
      <c r="H1542" s="26"/>
      <c r="I1542" s="25"/>
      <c r="J1542" s="22"/>
      <c r="K1542" s="25"/>
      <c r="L1542" s="25"/>
      <c r="M1542" s="22"/>
    </row>
    <row r="1543" spans="1:13">
      <c r="A1543" s="14"/>
      <c r="B1543" s="67"/>
      <c r="C1543" s="15"/>
      <c r="D1543" s="22"/>
      <c r="E1543" s="71"/>
      <c r="F1543" s="102"/>
      <c r="G1543" s="90"/>
      <c r="H1543" s="26"/>
      <c r="I1543" s="25"/>
      <c r="J1543" s="22"/>
      <c r="K1543" s="25"/>
      <c r="L1543" s="25"/>
      <c r="M1543" s="22"/>
    </row>
    <row r="1544" spans="1:13">
      <c r="A1544" s="14"/>
      <c r="B1544" s="67"/>
      <c r="C1544" s="15"/>
      <c r="D1544" s="22"/>
      <c r="E1544" s="72"/>
      <c r="F1544" s="102"/>
      <c r="G1544" s="90"/>
      <c r="H1544" s="26"/>
      <c r="I1544" s="25"/>
      <c r="J1544" s="22"/>
      <c r="K1544" s="25"/>
      <c r="L1544" s="25"/>
      <c r="M1544" s="22"/>
    </row>
    <row r="1545" spans="1:13">
      <c r="A1545" s="14"/>
      <c r="B1545" s="67"/>
      <c r="C1545" s="15"/>
      <c r="D1545" s="22"/>
      <c r="E1545" s="71"/>
      <c r="F1545" s="102"/>
      <c r="G1545" s="90"/>
      <c r="H1545" s="26"/>
      <c r="I1545" s="25"/>
      <c r="J1545" s="22"/>
      <c r="K1545" s="25"/>
      <c r="L1545" s="25"/>
      <c r="M1545" s="22"/>
    </row>
    <row r="1546" spans="1:13">
      <c r="A1546" s="14"/>
      <c r="B1546" s="67"/>
      <c r="C1546" s="15"/>
      <c r="D1546" s="22"/>
      <c r="E1546" s="72"/>
      <c r="F1546" s="102"/>
      <c r="G1546" s="90"/>
      <c r="H1546" s="26"/>
      <c r="I1546" s="25"/>
      <c r="J1546" s="22"/>
      <c r="K1546" s="25"/>
      <c r="L1546" s="25"/>
      <c r="M1546" s="22"/>
    </row>
    <row r="1547" spans="1:13">
      <c r="A1547" s="14"/>
      <c r="B1547" s="67"/>
      <c r="C1547" s="15"/>
      <c r="D1547" s="22"/>
      <c r="E1547" s="71"/>
      <c r="F1547" s="102"/>
      <c r="G1547" s="90"/>
      <c r="H1547" s="26"/>
      <c r="I1547" s="25"/>
      <c r="J1547" s="22"/>
      <c r="K1547" s="25"/>
      <c r="L1547" s="25"/>
      <c r="M1547" s="22"/>
    </row>
    <row r="1548" spans="1:13">
      <c r="A1548" s="14"/>
      <c r="B1548" s="67"/>
      <c r="C1548" s="15"/>
      <c r="D1548" s="22"/>
      <c r="E1548" s="72"/>
      <c r="F1548" s="102"/>
      <c r="G1548" s="90"/>
      <c r="H1548" s="26"/>
      <c r="I1548" s="25"/>
      <c r="J1548" s="22"/>
      <c r="K1548" s="25"/>
      <c r="L1548" s="25"/>
      <c r="M1548" s="22"/>
    </row>
    <row r="1549" spans="1:13">
      <c r="A1549" s="14"/>
      <c r="B1549" s="67"/>
      <c r="C1549" s="15"/>
      <c r="D1549" s="22"/>
      <c r="E1549" s="71"/>
      <c r="F1549" s="102"/>
      <c r="G1549" s="90"/>
      <c r="H1549" s="26"/>
      <c r="I1549" s="25"/>
      <c r="J1549" s="22"/>
      <c r="K1549" s="25"/>
      <c r="L1549" s="25"/>
      <c r="M1549" s="22"/>
    </row>
    <row r="1550" spans="1:13">
      <c r="A1550" s="14"/>
      <c r="B1550" s="67"/>
      <c r="C1550" s="15"/>
      <c r="D1550" s="22"/>
      <c r="E1550" s="72"/>
      <c r="F1550" s="102"/>
      <c r="G1550" s="90"/>
      <c r="H1550" s="26"/>
      <c r="I1550" s="25"/>
      <c r="J1550" s="22"/>
      <c r="K1550" s="25"/>
      <c r="L1550" s="25"/>
      <c r="M1550" s="22"/>
    </row>
    <row r="1551" spans="1:13">
      <c r="A1551" s="14"/>
      <c r="B1551" s="67"/>
      <c r="C1551" s="15"/>
      <c r="D1551" s="22"/>
      <c r="E1551" s="71"/>
      <c r="F1551" s="102"/>
      <c r="G1551" s="90"/>
      <c r="H1551" s="26"/>
      <c r="I1551" s="25"/>
      <c r="J1551" s="22"/>
      <c r="K1551" s="25"/>
      <c r="L1551" s="25"/>
      <c r="M1551" s="22"/>
    </row>
    <row r="1552" spans="1:13">
      <c r="A1552" s="14"/>
      <c r="B1552" s="67"/>
      <c r="C1552" s="15"/>
      <c r="D1552" s="22"/>
      <c r="E1552" s="72"/>
      <c r="F1552" s="102"/>
      <c r="G1552" s="90"/>
      <c r="H1552" s="26"/>
      <c r="I1552" s="25"/>
      <c r="J1552" s="22"/>
      <c r="K1552" s="25"/>
      <c r="L1552" s="25"/>
      <c r="M1552" s="22"/>
    </row>
    <row r="1553" spans="1:13">
      <c r="A1553" s="14"/>
      <c r="B1553" s="67"/>
      <c r="C1553" s="15"/>
      <c r="D1553" s="22"/>
      <c r="E1553" s="71"/>
      <c r="F1553" s="102"/>
      <c r="G1553" s="90"/>
      <c r="H1553" s="26"/>
      <c r="I1553" s="25"/>
      <c r="J1553" s="22"/>
      <c r="K1553" s="25"/>
      <c r="L1553" s="25"/>
      <c r="M1553" s="22"/>
    </row>
    <row r="1554" spans="1:13">
      <c r="A1554" s="14"/>
      <c r="B1554" s="67"/>
      <c r="C1554" s="15"/>
      <c r="D1554" s="22"/>
      <c r="E1554" s="72"/>
      <c r="F1554" s="102"/>
      <c r="G1554" s="90"/>
      <c r="H1554" s="26"/>
      <c r="I1554" s="25"/>
      <c r="J1554" s="22"/>
      <c r="K1554" s="25"/>
      <c r="L1554" s="25"/>
      <c r="M1554" s="22"/>
    </row>
    <row r="1555" spans="1:13">
      <c r="A1555" s="14"/>
      <c r="B1555" s="67"/>
      <c r="C1555" s="15"/>
      <c r="D1555" s="22"/>
      <c r="E1555" s="71"/>
      <c r="F1555" s="102"/>
      <c r="G1555" s="90"/>
      <c r="H1555" s="26"/>
      <c r="I1555" s="25"/>
      <c r="J1555" s="22"/>
      <c r="K1555" s="25"/>
      <c r="L1555" s="25"/>
      <c r="M1555" s="22"/>
    </row>
    <row r="1556" spans="1:13">
      <c r="A1556" s="14"/>
      <c r="B1556" s="67"/>
      <c r="C1556" s="15"/>
      <c r="D1556" s="22"/>
      <c r="E1556" s="72"/>
      <c r="F1556" s="102"/>
      <c r="G1556" s="90"/>
      <c r="H1556" s="26"/>
      <c r="I1556" s="25"/>
      <c r="J1556" s="22"/>
      <c r="K1556" s="25"/>
      <c r="L1556" s="25"/>
      <c r="M1556" s="22"/>
    </row>
    <row r="1557" spans="1:13">
      <c r="A1557" s="14"/>
      <c r="B1557" s="67"/>
      <c r="C1557" s="15"/>
      <c r="D1557" s="22"/>
      <c r="E1557" s="71"/>
      <c r="F1557" s="102"/>
      <c r="G1557" s="90"/>
      <c r="H1557" s="26"/>
      <c r="I1557" s="25"/>
      <c r="J1557" s="22"/>
      <c r="K1557" s="25"/>
      <c r="L1557" s="25"/>
      <c r="M1557" s="22"/>
    </row>
    <row r="1558" spans="1:13">
      <c r="A1558" s="14"/>
      <c r="B1558" s="67"/>
      <c r="C1558" s="15"/>
      <c r="D1558" s="22"/>
      <c r="E1558" s="72"/>
      <c r="F1558" s="102"/>
      <c r="G1558" s="90"/>
      <c r="H1558" s="26"/>
      <c r="I1558" s="25"/>
      <c r="J1558" s="22"/>
      <c r="K1558" s="25"/>
      <c r="L1558" s="25"/>
      <c r="M1558" s="22"/>
    </row>
    <row r="1559" spans="1:13">
      <c r="A1559" s="14"/>
      <c r="B1559" s="67"/>
      <c r="C1559" s="15"/>
      <c r="D1559" s="22"/>
      <c r="E1559" s="71"/>
      <c r="F1559" s="102"/>
      <c r="G1559" s="90"/>
      <c r="H1559" s="26"/>
      <c r="I1559" s="25"/>
      <c r="J1559" s="22"/>
      <c r="K1559" s="25"/>
      <c r="L1559" s="25"/>
      <c r="M1559" s="22"/>
    </row>
    <row r="1560" spans="1:13">
      <c r="A1560" s="14"/>
      <c r="B1560" s="67"/>
      <c r="C1560" s="15"/>
      <c r="D1560" s="22"/>
      <c r="E1560" s="72"/>
      <c r="F1560" s="102"/>
      <c r="G1560" s="90"/>
      <c r="H1560" s="26"/>
      <c r="I1560" s="25"/>
      <c r="J1560" s="22"/>
      <c r="K1560" s="25"/>
      <c r="L1560" s="25"/>
      <c r="M1560" s="22"/>
    </row>
    <row r="1561" spans="1:13">
      <c r="A1561" s="14"/>
      <c r="B1561" s="67"/>
      <c r="C1561" s="15"/>
      <c r="D1561" s="22"/>
      <c r="E1561" s="71"/>
      <c r="F1561" s="102"/>
      <c r="G1561" s="90"/>
      <c r="H1561" s="26"/>
      <c r="I1561" s="25"/>
      <c r="J1561" s="22"/>
      <c r="K1561" s="25"/>
      <c r="L1561" s="25"/>
      <c r="M1561" s="22"/>
    </row>
    <row r="1562" spans="1:13">
      <c r="A1562" s="14"/>
      <c r="B1562" s="67"/>
      <c r="C1562" s="15"/>
      <c r="D1562" s="22"/>
      <c r="E1562" s="72"/>
      <c r="F1562" s="102"/>
      <c r="G1562" s="90"/>
      <c r="H1562" s="26"/>
      <c r="I1562" s="25"/>
      <c r="J1562" s="22"/>
      <c r="K1562" s="25"/>
      <c r="L1562" s="25"/>
      <c r="M1562" s="22"/>
    </row>
    <row r="1563" spans="1:13">
      <c r="A1563" s="14"/>
      <c r="B1563" s="67"/>
      <c r="C1563" s="15"/>
      <c r="D1563" s="22"/>
      <c r="E1563" s="71"/>
      <c r="F1563" s="102"/>
      <c r="G1563" s="90"/>
      <c r="H1563" s="26"/>
      <c r="I1563" s="25"/>
      <c r="J1563" s="22"/>
      <c r="K1563" s="25"/>
      <c r="L1563" s="25"/>
      <c r="M1563" s="22"/>
    </row>
    <row r="1564" spans="1:13">
      <c r="A1564" s="14"/>
      <c r="B1564" s="67"/>
      <c r="C1564" s="15"/>
      <c r="D1564" s="22"/>
      <c r="E1564" s="72"/>
      <c r="F1564" s="102"/>
      <c r="G1564" s="90"/>
      <c r="H1564" s="26"/>
      <c r="I1564" s="25"/>
      <c r="J1564" s="22"/>
      <c r="K1564" s="25"/>
      <c r="L1564" s="25"/>
      <c r="M1564" s="22"/>
    </row>
    <row r="1565" spans="1:13">
      <c r="A1565" s="14"/>
      <c r="B1565" s="67"/>
      <c r="C1565" s="15"/>
      <c r="D1565" s="22"/>
      <c r="E1565" s="71"/>
      <c r="F1565" s="102"/>
      <c r="G1565" s="90"/>
      <c r="H1565" s="26"/>
      <c r="I1565" s="25"/>
      <c r="J1565" s="22"/>
      <c r="K1565" s="25"/>
      <c r="L1565" s="25"/>
      <c r="M1565" s="22"/>
    </row>
    <row r="1566" spans="1:13">
      <c r="A1566" s="14"/>
      <c r="B1566" s="67"/>
      <c r="C1566" s="15"/>
      <c r="D1566" s="22"/>
      <c r="E1566" s="72"/>
      <c r="F1566" s="102"/>
      <c r="G1566" s="90"/>
      <c r="H1566" s="26"/>
      <c r="I1566" s="25"/>
      <c r="J1566" s="22"/>
      <c r="K1566" s="25"/>
      <c r="L1566" s="25"/>
      <c r="M1566" s="22"/>
    </row>
    <row r="1567" spans="1:13">
      <c r="A1567" s="14"/>
      <c r="B1567" s="67"/>
      <c r="C1567" s="15"/>
      <c r="D1567" s="22"/>
      <c r="E1567" s="71"/>
      <c r="F1567" s="102"/>
      <c r="G1567" s="90"/>
      <c r="H1567" s="26"/>
      <c r="I1567" s="25"/>
      <c r="J1567" s="22"/>
      <c r="K1567" s="25"/>
      <c r="L1567" s="25"/>
      <c r="M1567" s="22"/>
    </row>
    <row r="1568" spans="1:13">
      <c r="A1568" s="14"/>
      <c r="B1568" s="67"/>
      <c r="C1568" s="15"/>
      <c r="D1568" s="22"/>
      <c r="E1568" s="72"/>
      <c r="F1568" s="102"/>
      <c r="G1568" s="90"/>
      <c r="H1568" s="26"/>
      <c r="I1568" s="25"/>
      <c r="J1568" s="22"/>
      <c r="K1568" s="25"/>
      <c r="L1568" s="25"/>
      <c r="M1568" s="22"/>
    </row>
    <row r="1569" spans="1:13">
      <c r="A1569" s="14"/>
      <c r="B1569" s="67"/>
      <c r="C1569" s="15"/>
      <c r="D1569" s="22"/>
      <c r="E1569" s="71"/>
      <c r="F1569" s="102"/>
      <c r="G1569" s="90"/>
      <c r="H1569" s="26"/>
      <c r="I1569" s="25"/>
      <c r="J1569" s="22"/>
      <c r="K1569" s="25"/>
      <c r="L1569" s="25"/>
      <c r="M1569" s="22"/>
    </row>
    <row r="1570" spans="1:13">
      <c r="A1570" s="14"/>
      <c r="B1570" s="67"/>
      <c r="C1570" s="15"/>
      <c r="D1570" s="22"/>
      <c r="E1570" s="72"/>
      <c r="F1570" s="102"/>
      <c r="G1570" s="90"/>
      <c r="H1570" s="26"/>
      <c r="I1570" s="25"/>
      <c r="J1570" s="22"/>
      <c r="K1570" s="25"/>
      <c r="L1570" s="25"/>
      <c r="M1570" s="22"/>
    </row>
    <row r="1571" spans="1:13">
      <c r="A1571" s="14"/>
      <c r="B1571" s="67"/>
      <c r="C1571" s="15"/>
      <c r="D1571" s="22"/>
      <c r="E1571" s="71"/>
      <c r="F1571" s="102"/>
      <c r="G1571" s="90"/>
      <c r="H1571" s="26"/>
      <c r="I1571" s="25"/>
      <c r="J1571" s="22"/>
      <c r="K1571" s="25"/>
      <c r="L1571" s="25"/>
      <c r="M1571" s="22"/>
    </row>
    <row r="1572" spans="1:13">
      <c r="A1572" s="14"/>
      <c r="B1572" s="67"/>
      <c r="C1572" s="15"/>
      <c r="D1572" s="22"/>
      <c r="E1572" s="72"/>
      <c r="F1572" s="102"/>
      <c r="G1572" s="90"/>
      <c r="H1572" s="26"/>
      <c r="I1572" s="25"/>
      <c r="J1572" s="22"/>
      <c r="K1572" s="25"/>
      <c r="L1572" s="25"/>
      <c r="M1572" s="22"/>
    </row>
    <row r="1573" spans="1:13">
      <c r="A1573" s="14"/>
      <c r="B1573" s="67"/>
      <c r="C1573" s="15"/>
      <c r="D1573" s="22"/>
      <c r="E1573" s="71"/>
      <c r="F1573" s="102"/>
      <c r="G1573" s="90"/>
      <c r="H1573" s="26"/>
      <c r="I1573" s="25"/>
      <c r="J1573" s="22"/>
      <c r="K1573" s="25"/>
      <c r="L1573" s="25"/>
      <c r="M1573" s="22"/>
    </row>
    <row r="1574" spans="1:13">
      <c r="A1574" s="14"/>
      <c r="B1574" s="67"/>
      <c r="C1574" s="15"/>
      <c r="D1574" s="22"/>
      <c r="E1574" s="72"/>
      <c r="F1574" s="102"/>
      <c r="G1574" s="90"/>
      <c r="H1574" s="26"/>
      <c r="I1574" s="25"/>
      <c r="J1574" s="22"/>
      <c r="K1574" s="25"/>
      <c r="L1574" s="25"/>
      <c r="M1574" s="22"/>
    </row>
    <row r="1575" spans="1:13">
      <c r="A1575" s="14"/>
      <c r="B1575" s="67"/>
      <c r="C1575" s="15"/>
      <c r="D1575" s="22"/>
      <c r="E1575" s="71"/>
      <c r="F1575" s="102"/>
      <c r="G1575" s="90"/>
      <c r="H1575" s="26"/>
      <c r="I1575" s="25"/>
      <c r="J1575" s="22"/>
      <c r="K1575" s="25"/>
      <c r="L1575" s="25"/>
      <c r="M1575" s="22"/>
    </row>
    <row r="1576" spans="1:13">
      <c r="A1576" s="14"/>
      <c r="B1576" s="67"/>
      <c r="C1576" s="15"/>
      <c r="D1576" s="22"/>
      <c r="E1576" s="72"/>
      <c r="F1576" s="102"/>
      <c r="G1576" s="90"/>
      <c r="H1576" s="26"/>
      <c r="I1576" s="25"/>
      <c r="J1576" s="22"/>
      <c r="K1576" s="25"/>
      <c r="L1576" s="25"/>
      <c r="M1576" s="22"/>
    </row>
    <row r="1577" spans="1:13">
      <c r="A1577" s="14"/>
      <c r="B1577" s="67"/>
      <c r="C1577" s="15"/>
      <c r="D1577" s="22"/>
      <c r="E1577" s="71"/>
      <c r="F1577" s="102"/>
      <c r="G1577" s="90"/>
      <c r="H1577" s="26"/>
      <c r="I1577" s="25"/>
      <c r="J1577" s="22"/>
      <c r="K1577" s="25"/>
      <c r="L1577" s="25"/>
      <c r="M1577" s="22"/>
    </row>
    <row r="1578" spans="1:13">
      <c r="A1578" s="14"/>
      <c r="B1578" s="67"/>
      <c r="C1578" s="15"/>
      <c r="D1578" s="22"/>
      <c r="E1578" s="72"/>
      <c r="F1578" s="102"/>
      <c r="G1578" s="90"/>
      <c r="H1578" s="26"/>
      <c r="I1578" s="25"/>
      <c r="J1578" s="22"/>
      <c r="K1578" s="25"/>
      <c r="L1578" s="25"/>
      <c r="M1578" s="22"/>
    </row>
    <row r="1579" spans="1:13">
      <c r="A1579" s="14"/>
      <c r="B1579" s="67"/>
      <c r="C1579" s="15"/>
      <c r="D1579" s="22"/>
      <c r="E1579" s="71"/>
      <c r="F1579" s="102"/>
      <c r="G1579" s="90"/>
      <c r="H1579" s="26"/>
      <c r="I1579" s="25"/>
      <c r="J1579" s="22"/>
      <c r="K1579" s="25"/>
      <c r="L1579" s="25"/>
      <c r="M1579" s="22"/>
    </row>
    <row r="1580" spans="1:13">
      <c r="A1580" s="14"/>
      <c r="B1580" s="67"/>
      <c r="C1580" s="15"/>
      <c r="D1580" s="22"/>
      <c r="E1580" s="72"/>
      <c r="F1580" s="102"/>
      <c r="G1580" s="90"/>
      <c r="H1580" s="26"/>
      <c r="I1580" s="25"/>
      <c r="J1580" s="22"/>
      <c r="K1580" s="25"/>
      <c r="L1580" s="25"/>
      <c r="M1580" s="22"/>
    </row>
    <row r="1581" spans="1:13">
      <c r="A1581" s="14"/>
      <c r="B1581" s="67"/>
      <c r="C1581" s="15"/>
      <c r="D1581" s="22"/>
      <c r="E1581" s="71"/>
      <c r="F1581" s="102"/>
      <c r="G1581" s="90"/>
      <c r="H1581" s="26"/>
      <c r="I1581" s="25"/>
      <c r="J1581" s="22"/>
      <c r="K1581" s="25"/>
      <c r="L1581" s="25"/>
      <c r="M1581" s="22"/>
    </row>
    <row r="1582" spans="1:13">
      <c r="A1582" s="14"/>
      <c r="B1582" s="67"/>
      <c r="C1582" s="15"/>
      <c r="D1582" s="22"/>
      <c r="E1582" s="72"/>
      <c r="F1582" s="102"/>
      <c r="G1582" s="90"/>
      <c r="H1582" s="26"/>
      <c r="I1582" s="25"/>
      <c r="J1582" s="22"/>
      <c r="K1582" s="25"/>
      <c r="L1582" s="25"/>
      <c r="M1582" s="22"/>
    </row>
    <row r="1583" spans="1:13">
      <c r="A1583" s="14"/>
      <c r="B1583" s="67"/>
      <c r="C1583" s="15"/>
      <c r="D1583" s="22"/>
      <c r="E1583" s="71"/>
      <c r="F1583" s="102"/>
      <c r="G1583" s="90"/>
      <c r="H1583" s="26"/>
      <c r="I1583" s="25"/>
      <c r="J1583" s="22"/>
      <c r="K1583" s="25"/>
      <c r="L1583" s="25"/>
      <c r="M1583" s="22"/>
    </row>
    <row r="1584" spans="1:13">
      <c r="A1584" s="14"/>
      <c r="B1584" s="67"/>
      <c r="C1584" s="15"/>
      <c r="D1584" s="22"/>
      <c r="E1584" s="72"/>
      <c r="F1584" s="102"/>
      <c r="G1584" s="90"/>
      <c r="H1584" s="26"/>
      <c r="I1584" s="25"/>
      <c r="J1584" s="22"/>
      <c r="K1584" s="25"/>
      <c r="L1584" s="25"/>
      <c r="M1584" s="22"/>
    </row>
    <row r="1585" spans="1:13">
      <c r="A1585" s="14"/>
      <c r="B1585" s="67"/>
      <c r="C1585" s="15"/>
      <c r="D1585" s="22"/>
      <c r="E1585" s="71"/>
      <c r="F1585" s="102"/>
      <c r="G1585" s="90"/>
      <c r="H1585" s="26"/>
      <c r="I1585" s="25"/>
      <c r="J1585" s="22"/>
      <c r="K1585" s="25"/>
      <c r="L1585" s="25"/>
      <c r="M1585" s="22"/>
    </row>
    <row r="1586" spans="1:13">
      <c r="A1586" s="14"/>
      <c r="B1586" s="67"/>
      <c r="C1586" s="15"/>
      <c r="D1586" s="22"/>
      <c r="E1586" s="72"/>
      <c r="F1586" s="102"/>
      <c r="G1586" s="90"/>
      <c r="H1586" s="26"/>
      <c r="I1586" s="25"/>
      <c r="J1586" s="22"/>
      <c r="K1586" s="25"/>
      <c r="L1586" s="25"/>
      <c r="M1586" s="22"/>
    </row>
    <row r="1587" spans="1:13">
      <c r="A1587" s="14"/>
      <c r="B1587" s="67"/>
      <c r="C1587" s="15"/>
      <c r="D1587" s="22"/>
      <c r="E1587" s="71"/>
      <c r="F1587" s="102"/>
      <c r="G1587" s="90"/>
      <c r="H1587" s="26"/>
      <c r="I1587" s="25"/>
      <c r="J1587" s="22"/>
      <c r="K1587" s="25"/>
      <c r="L1587" s="25"/>
      <c r="M1587" s="22"/>
    </row>
    <row r="1588" spans="1:13">
      <c r="A1588" s="14"/>
      <c r="B1588" s="67"/>
      <c r="C1588" s="15"/>
      <c r="D1588" s="22"/>
      <c r="E1588" s="72"/>
      <c r="F1588" s="102"/>
      <c r="G1588" s="90"/>
      <c r="H1588" s="26"/>
      <c r="I1588" s="25"/>
      <c r="J1588" s="22"/>
      <c r="K1588" s="25"/>
      <c r="L1588" s="25"/>
      <c r="M1588" s="22"/>
    </row>
    <row r="1589" spans="1:13">
      <c r="A1589" s="14"/>
      <c r="B1589" s="67"/>
      <c r="C1589" s="15"/>
      <c r="D1589" s="22"/>
      <c r="E1589" s="71"/>
      <c r="F1589" s="102"/>
      <c r="G1589" s="90"/>
      <c r="H1589" s="26"/>
      <c r="I1589" s="25"/>
      <c r="J1589" s="22"/>
      <c r="K1589" s="25"/>
      <c r="L1589" s="25"/>
      <c r="M1589" s="22"/>
    </row>
    <row r="1590" spans="1:13">
      <c r="A1590" s="14"/>
      <c r="B1590" s="67"/>
      <c r="C1590" s="15"/>
      <c r="D1590" s="22"/>
      <c r="E1590" s="72"/>
      <c r="F1590" s="102"/>
      <c r="G1590" s="90"/>
      <c r="H1590" s="26"/>
      <c r="I1590" s="25"/>
      <c r="J1590" s="22"/>
      <c r="K1590" s="25"/>
      <c r="L1590" s="25"/>
      <c r="M1590" s="22"/>
    </row>
    <row r="1591" spans="1:13">
      <c r="A1591" s="14"/>
      <c r="B1591" s="67"/>
      <c r="C1591" s="15"/>
      <c r="D1591" s="22"/>
      <c r="E1591" s="71"/>
      <c r="F1591" s="102"/>
      <c r="G1591" s="90"/>
      <c r="H1591" s="26"/>
      <c r="I1591" s="25"/>
      <c r="J1591" s="22"/>
      <c r="K1591" s="25"/>
      <c r="L1591" s="25"/>
      <c r="M1591" s="22"/>
    </row>
    <row r="1592" spans="1:13">
      <c r="A1592" s="14"/>
      <c r="B1592" s="67"/>
      <c r="C1592" s="15"/>
      <c r="D1592" s="22"/>
      <c r="E1592" s="72"/>
      <c r="F1592" s="102"/>
      <c r="G1592" s="90"/>
      <c r="H1592" s="26"/>
      <c r="I1592" s="25"/>
      <c r="J1592" s="22"/>
      <c r="K1592" s="25"/>
      <c r="L1592" s="25"/>
      <c r="M1592" s="22"/>
    </row>
    <row r="1593" spans="1:13">
      <c r="A1593" s="14"/>
      <c r="B1593" s="67"/>
      <c r="C1593" s="15"/>
      <c r="D1593" s="22"/>
      <c r="E1593" s="71"/>
      <c r="F1593" s="102"/>
      <c r="G1593" s="90"/>
      <c r="H1593" s="26"/>
      <c r="I1593" s="25"/>
      <c r="J1593" s="22"/>
      <c r="K1593" s="25"/>
      <c r="L1593" s="25"/>
      <c r="M1593" s="22"/>
    </row>
    <row r="1594" spans="1:13">
      <c r="A1594" s="14"/>
      <c r="B1594" s="67"/>
      <c r="C1594" s="15"/>
      <c r="D1594" s="22"/>
      <c r="E1594" s="72"/>
      <c r="F1594" s="102"/>
      <c r="G1594" s="90"/>
      <c r="H1594" s="26"/>
      <c r="I1594" s="25"/>
      <c r="J1594" s="22"/>
      <c r="K1594" s="25"/>
      <c r="L1594" s="25"/>
      <c r="M1594" s="22"/>
    </row>
    <row r="1595" spans="1:13">
      <c r="A1595" s="14"/>
      <c r="B1595" s="67"/>
      <c r="C1595" s="15"/>
      <c r="D1595" s="22"/>
      <c r="E1595" s="71"/>
      <c r="F1595" s="102"/>
      <c r="G1595" s="90"/>
      <c r="H1595" s="26"/>
      <c r="I1595" s="25"/>
      <c r="J1595" s="22"/>
      <c r="K1595" s="25"/>
      <c r="L1595" s="25"/>
      <c r="M1595" s="22"/>
    </row>
    <row r="1596" spans="1:13">
      <c r="A1596" s="14"/>
      <c r="B1596" s="67"/>
      <c r="C1596" s="15"/>
      <c r="D1596" s="22"/>
      <c r="E1596" s="72"/>
      <c r="F1596" s="102"/>
      <c r="G1596" s="90"/>
      <c r="H1596" s="26"/>
      <c r="I1596" s="25"/>
      <c r="J1596" s="22"/>
      <c r="K1596" s="25"/>
      <c r="L1596" s="25"/>
      <c r="M1596" s="22"/>
    </row>
    <row r="1597" spans="1:13">
      <c r="A1597" s="14"/>
      <c r="B1597" s="67"/>
      <c r="C1597" s="15"/>
      <c r="D1597" s="22"/>
      <c r="E1597" s="71"/>
      <c r="F1597" s="102"/>
      <c r="G1597" s="90"/>
      <c r="H1597" s="26"/>
      <c r="I1597" s="25"/>
      <c r="J1597" s="22"/>
      <c r="K1597" s="25"/>
      <c r="L1597" s="25"/>
      <c r="M1597" s="22"/>
    </row>
    <row r="1598" spans="1:13">
      <c r="A1598" s="14"/>
      <c r="B1598" s="67"/>
      <c r="C1598" s="15"/>
      <c r="D1598" s="22"/>
      <c r="E1598" s="72"/>
      <c r="F1598" s="102"/>
      <c r="G1598" s="90"/>
      <c r="H1598" s="26"/>
      <c r="I1598" s="25"/>
      <c r="J1598" s="22"/>
      <c r="K1598" s="25"/>
      <c r="L1598" s="25"/>
      <c r="M1598" s="22"/>
    </row>
    <row r="1599" spans="1:13">
      <c r="A1599" s="14"/>
      <c r="B1599" s="67"/>
      <c r="C1599" s="15"/>
      <c r="D1599" s="22"/>
      <c r="E1599" s="71"/>
      <c r="F1599" s="102"/>
      <c r="G1599" s="90"/>
      <c r="H1599" s="26"/>
      <c r="I1599" s="25"/>
      <c r="J1599" s="22"/>
      <c r="K1599" s="25"/>
      <c r="L1599" s="25"/>
      <c r="M1599" s="22"/>
    </row>
    <row r="1600" spans="1:13">
      <c r="A1600" s="14"/>
      <c r="B1600" s="67"/>
      <c r="C1600" s="15"/>
      <c r="D1600" s="22"/>
      <c r="E1600" s="72"/>
      <c r="F1600" s="102"/>
      <c r="G1600" s="90"/>
      <c r="H1600" s="26"/>
      <c r="I1600" s="25"/>
      <c r="J1600" s="22"/>
      <c r="K1600" s="25"/>
      <c r="L1600" s="25"/>
      <c r="M1600" s="22"/>
    </row>
    <row r="1601" spans="1:13">
      <c r="A1601" s="14"/>
      <c r="B1601" s="67"/>
      <c r="C1601" s="15"/>
      <c r="D1601" s="22"/>
      <c r="E1601" s="71"/>
      <c r="F1601" s="102"/>
      <c r="G1601" s="90"/>
      <c r="H1601" s="26"/>
      <c r="I1601" s="25"/>
      <c r="J1601" s="22"/>
      <c r="K1601" s="25"/>
      <c r="L1601" s="25"/>
      <c r="M1601" s="22"/>
    </row>
    <row r="1602" spans="1:13">
      <c r="A1602" s="14"/>
      <c r="B1602" s="67"/>
      <c r="C1602" s="15"/>
      <c r="D1602" s="22"/>
      <c r="E1602" s="72"/>
      <c r="F1602" s="102"/>
      <c r="G1602" s="90"/>
      <c r="H1602" s="26"/>
      <c r="I1602" s="25"/>
      <c r="J1602" s="22"/>
      <c r="K1602" s="25"/>
      <c r="L1602" s="25"/>
      <c r="M1602" s="22"/>
    </row>
    <row r="1603" spans="1:13">
      <c r="A1603" s="14"/>
      <c r="B1603" s="67"/>
      <c r="C1603" s="15"/>
      <c r="D1603" s="22"/>
      <c r="E1603" s="71"/>
      <c r="F1603" s="102"/>
      <c r="G1603" s="90"/>
      <c r="H1603" s="26"/>
      <c r="I1603" s="25"/>
      <c r="J1603" s="22"/>
      <c r="K1603" s="25"/>
      <c r="L1603" s="25"/>
      <c r="M1603" s="22"/>
    </row>
    <row r="1604" spans="1:13">
      <c r="A1604" s="14"/>
      <c r="B1604" s="67"/>
      <c r="C1604" s="15"/>
      <c r="D1604" s="22"/>
      <c r="E1604" s="72"/>
      <c r="F1604" s="102"/>
      <c r="G1604" s="90"/>
      <c r="H1604" s="26"/>
      <c r="I1604" s="25"/>
      <c r="J1604" s="22"/>
      <c r="K1604" s="25"/>
      <c r="L1604" s="25"/>
      <c r="M1604" s="22"/>
    </row>
    <row r="1605" spans="1:13">
      <c r="A1605" s="14"/>
      <c r="B1605" s="67"/>
      <c r="C1605" s="15"/>
      <c r="D1605" s="22"/>
      <c r="E1605" s="71"/>
      <c r="F1605" s="102"/>
      <c r="G1605" s="90"/>
      <c r="H1605" s="26"/>
      <c r="I1605" s="25"/>
      <c r="J1605" s="22"/>
      <c r="K1605" s="25"/>
      <c r="L1605" s="25"/>
      <c r="M1605" s="22"/>
    </row>
    <row r="1606" spans="1:13">
      <c r="A1606" s="14"/>
      <c r="B1606" s="67"/>
      <c r="C1606" s="15"/>
      <c r="D1606" s="22"/>
      <c r="E1606" s="72"/>
      <c r="F1606" s="102"/>
      <c r="G1606" s="90"/>
      <c r="H1606" s="26"/>
      <c r="I1606" s="25"/>
      <c r="J1606" s="22"/>
      <c r="K1606" s="25"/>
      <c r="L1606" s="25"/>
      <c r="M1606" s="22"/>
    </row>
    <row r="1607" spans="1:13">
      <c r="A1607" s="14"/>
      <c r="B1607" s="67"/>
      <c r="C1607" s="15"/>
      <c r="D1607" s="22"/>
      <c r="E1607" s="71"/>
      <c r="F1607" s="102"/>
      <c r="G1607" s="90"/>
      <c r="H1607" s="26"/>
      <c r="I1607" s="25"/>
      <c r="J1607" s="22"/>
      <c r="K1607" s="25"/>
      <c r="L1607" s="25"/>
      <c r="M1607" s="22"/>
    </row>
    <row r="1608" spans="1:13">
      <c r="A1608" s="14"/>
      <c r="B1608" s="67"/>
      <c r="C1608" s="15"/>
      <c r="D1608" s="22"/>
      <c r="E1608" s="72"/>
      <c r="F1608" s="102"/>
      <c r="G1608" s="90"/>
      <c r="H1608" s="26"/>
      <c r="I1608" s="25"/>
      <c r="J1608" s="22"/>
      <c r="K1608" s="25"/>
      <c r="L1608" s="25"/>
      <c r="M1608" s="22"/>
    </row>
    <row r="1609" spans="1:13">
      <c r="A1609" s="14"/>
      <c r="B1609" s="67"/>
      <c r="C1609" s="15"/>
      <c r="D1609" s="22"/>
      <c r="E1609" s="71"/>
      <c r="F1609" s="102"/>
      <c r="G1609" s="90"/>
      <c r="H1609" s="26"/>
      <c r="I1609" s="25"/>
      <c r="J1609" s="22"/>
      <c r="K1609" s="25"/>
      <c r="L1609" s="25"/>
      <c r="M1609" s="22"/>
    </row>
    <row r="1610" spans="1:13">
      <c r="A1610" s="14"/>
      <c r="B1610" s="67"/>
      <c r="C1610" s="15"/>
      <c r="D1610" s="22"/>
      <c r="E1610" s="72"/>
      <c r="F1610" s="102"/>
      <c r="G1610" s="90"/>
      <c r="H1610" s="26"/>
      <c r="I1610" s="25"/>
      <c r="J1610" s="22"/>
      <c r="K1610" s="25"/>
      <c r="L1610" s="25"/>
      <c r="M1610" s="22"/>
    </row>
    <row r="1611" spans="1:13">
      <c r="A1611" s="14"/>
      <c r="B1611" s="67"/>
      <c r="C1611" s="15"/>
      <c r="D1611" s="22"/>
      <c r="E1611" s="71"/>
      <c r="F1611" s="102"/>
      <c r="G1611" s="90"/>
      <c r="H1611" s="26"/>
      <c r="I1611" s="25"/>
      <c r="J1611" s="22"/>
      <c r="K1611" s="25"/>
      <c r="L1611" s="25"/>
      <c r="M1611" s="22"/>
    </row>
    <row r="1612" spans="1:13">
      <c r="A1612" s="14"/>
      <c r="B1612" s="67"/>
      <c r="C1612" s="15"/>
      <c r="D1612" s="22"/>
      <c r="E1612" s="72"/>
      <c r="F1612" s="102"/>
      <c r="G1612" s="90"/>
      <c r="H1612" s="26"/>
      <c r="I1612" s="25"/>
      <c r="J1612" s="22"/>
      <c r="K1612" s="25"/>
      <c r="L1612" s="25"/>
      <c r="M1612" s="22"/>
    </row>
    <row r="1613" spans="1:13">
      <c r="A1613" s="14"/>
      <c r="B1613" s="67"/>
      <c r="C1613" s="15"/>
      <c r="D1613" s="22"/>
      <c r="E1613" s="71"/>
      <c r="F1613" s="102"/>
      <c r="G1613" s="90"/>
      <c r="H1613" s="26"/>
      <c r="I1613" s="25"/>
      <c r="J1613" s="22"/>
      <c r="K1613" s="25"/>
      <c r="L1613" s="25"/>
      <c r="M1613" s="22"/>
    </row>
    <row r="1614" spans="1:13">
      <c r="A1614" s="14"/>
      <c r="B1614" s="67"/>
      <c r="C1614" s="15"/>
      <c r="D1614" s="22"/>
      <c r="E1614" s="72"/>
      <c r="F1614" s="102"/>
      <c r="G1614" s="90"/>
      <c r="H1614" s="26"/>
      <c r="I1614" s="25"/>
      <c r="J1614" s="22"/>
      <c r="K1614" s="25"/>
      <c r="L1614" s="25"/>
      <c r="M1614" s="22"/>
    </row>
    <row r="1615" spans="1:13">
      <c r="A1615" s="14"/>
      <c r="B1615" s="67"/>
      <c r="C1615" s="15"/>
      <c r="D1615" s="22"/>
      <c r="E1615" s="71"/>
      <c r="F1615" s="102"/>
      <c r="G1615" s="90"/>
      <c r="H1615" s="26"/>
      <c r="I1615" s="25"/>
      <c r="J1615" s="22"/>
      <c r="K1615" s="25"/>
      <c r="L1615" s="25"/>
      <c r="M1615" s="22"/>
    </row>
    <row r="1616" spans="1:13">
      <c r="A1616" s="14"/>
      <c r="B1616" s="67"/>
      <c r="C1616" s="15"/>
      <c r="D1616" s="22"/>
      <c r="E1616" s="72"/>
      <c r="F1616" s="102"/>
      <c r="G1616" s="90"/>
      <c r="H1616" s="26"/>
      <c r="I1616" s="25"/>
      <c r="J1616" s="22"/>
      <c r="K1616" s="25"/>
      <c r="L1616" s="25"/>
      <c r="M1616" s="22"/>
    </row>
    <row r="1617" spans="1:13">
      <c r="A1617" s="14"/>
      <c r="B1617" s="67"/>
      <c r="C1617" s="15"/>
      <c r="D1617" s="22"/>
      <c r="E1617" s="71"/>
      <c r="F1617" s="102"/>
      <c r="G1617" s="90"/>
      <c r="H1617" s="26"/>
      <c r="I1617" s="25"/>
      <c r="J1617" s="22"/>
      <c r="K1617" s="25"/>
      <c r="L1617" s="25"/>
      <c r="M1617" s="22"/>
    </row>
    <row r="1618" spans="1:13">
      <c r="A1618" s="14"/>
      <c r="B1618" s="67"/>
      <c r="C1618" s="15"/>
      <c r="D1618" s="22"/>
      <c r="E1618" s="72"/>
      <c r="F1618" s="102"/>
      <c r="G1618" s="90"/>
      <c r="H1618" s="26"/>
      <c r="I1618" s="25"/>
      <c r="J1618" s="22"/>
      <c r="K1618" s="25"/>
      <c r="L1618" s="25"/>
      <c r="M1618" s="22"/>
    </row>
    <row r="1619" spans="1:13">
      <c r="A1619" s="14"/>
      <c r="B1619" s="67"/>
      <c r="C1619" s="15"/>
      <c r="D1619" s="22"/>
      <c r="E1619" s="71"/>
      <c r="F1619" s="102"/>
      <c r="G1619" s="90"/>
      <c r="H1619" s="26"/>
      <c r="I1619" s="25"/>
      <c r="J1619" s="22"/>
      <c r="K1619" s="25"/>
      <c r="L1619" s="25"/>
      <c r="M1619" s="22"/>
    </row>
    <row r="1620" spans="1:13">
      <c r="A1620" s="14"/>
      <c r="B1620" s="67"/>
      <c r="C1620" s="15"/>
      <c r="D1620" s="22"/>
      <c r="E1620" s="72"/>
      <c r="F1620" s="102"/>
      <c r="G1620" s="90"/>
      <c r="H1620" s="26"/>
      <c r="I1620" s="25"/>
      <c r="J1620" s="22"/>
      <c r="K1620" s="25"/>
      <c r="L1620" s="25"/>
      <c r="M1620" s="22"/>
    </row>
    <row r="1621" spans="1:13">
      <c r="A1621" s="14"/>
      <c r="B1621" s="67"/>
      <c r="C1621" s="15"/>
      <c r="D1621" s="22"/>
      <c r="E1621" s="71"/>
      <c r="F1621" s="102"/>
      <c r="G1621" s="90"/>
      <c r="H1621" s="26"/>
      <c r="I1621" s="25"/>
      <c r="J1621" s="22"/>
      <c r="K1621" s="25"/>
      <c r="L1621" s="25"/>
      <c r="M1621" s="22"/>
    </row>
    <row r="1622" spans="1:13">
      <c r="A1622" s="14"/>
      <c r="B1622" s="67"/>
      <c r="C1622" s="15"/>
      <c r="D1622" s="22"/>
      <c r="E1622" s="72"/>
      <c r="F1622" s="102"/>
      <c r="G1622" s="90"/>
      <c r="H1622" s="26"/>
      <c r="I1622" s="25"/>
      <c r="J1622" s="22"/>
      <c r="K1622" s="25"/>
      <c r="L1622" s="25"/>
      <c r="M1622" s="22"/>
    </row>
    <row r="1623" spans="1:13">
      <c r="A1623" s="14"/>
      <c r="B1623" s="67"/>
      <c r="C1623" s="15"/>
      <c r="D1623" s="22"/>
      <c r="E1623" s="71"/>
      <c r="F1623" s="102"/>
      <c r="G1623" s="90"/>
      <c r="H1623" s="26"/>
      <c r="I1623" s="25"/>
      <c r="J1623" s="22"/>
      <c r="K1623" s="25"/>
      <c r="L1623" s="25"/>
      <c r="M1623" s="22"/>
    </row>
    <row r="1624" spans="1:13">
      <c r="A1624" s="14"/>
      <c r="B1624" s="67"/>
      <c r="C1624" s="15"/>
      <c r="D1624" s="22"/>
      <c r="E1624" s="72"/>
      <c r="F1624" s="102"/>
      <c r="G1624" s="90"/>
      <c r="H1624" s="26"/>
      <c r="I1624" s="25"/>
      <c r="J1624" s="22"/>
      <c r="K1624" s="25"/>
      <c r="L1624" s="25"/>
      <c r="M1624" s="22"/>
    </row>
    <row r="1625" spans="1:13">
      <c r="A1625" s="14"/>
      <c r="B1625" s="67"/>
      <c r="C1625" s="15"/>
      <c r="D1625" s="22"/>
      <c r="E1625" s="71"/>
      <c r="F1625" s="102"/>
      <c r="G1625" s="90"/>
      <c r="H1625" s="26"/>
      <c r="I1625" s="25"/>
      <c r="J1625" s="22"/>
      <c r="K1625" s="25"/>
      <c r="L1625" s="25"/>
      <c r="M1625" s="22"/>
    </row>
    <row r="1626" spans="1:13">
      <c r="A1626" s="14"/>
      <c r="B1626" s="67"/>
      <c r="C1626" s="15"/>
      <c r="D1626" s="22"/>
      <c r="E1626" s="72"/>
      <c r="F1626" s="102"/>
      <c r="G1626" s="90"/>
      <c r="H1626" s="26"/>
      <c r="I1626" s="25"/>
      <c r="J1626" s="22"/>
      <c r="K1626" s="25"/>
      <c r="L1626" s="25"/>
      <c r="M1626" s="22"/>
    </row>
    <row r="1627" spans="1:13">
      <c r="A1627" s="14"/>
      <c r="B1627" s="67"/>
      <c r="C1627" s="15"/>
      <c r="D1627" s="22"/>
      <c r="E1627" s="71"/>
      <c r="F1627" s="102"/>
      <c r="G1627" s="90"/>
      <c r="H1627" s="26"/>
      <c r="I1627" s="25"/>
      <c r="J1627" s="22"/>
      <c r="K1627" s="25"/>
      <c r="L1627" s="25"/>
      <c r="M1627" s="22"/>
    </row>
    <row r="1628" spans="1:13">
      <c r="A1628" s="14"/>
      <c r="B1628" s="67"/>
      <c r="C1628" s="15"/>
      <c r="D1628" s="22"/>
      <c r="E1628" s="72"/>
      <c r="F1628" s="102"/>
      <c r="G1628" s="90"/>
      <c r="H1628" s="26"/>
      <c r="I1628" s="25"/>
      <c r="J1628" s="22"/>
      <c r="K1628" s="25"/>
      <c r="L1628" s="25"/>
      <c r="M1628" s="22"/>
    </row>
    <row r="1629" spans="1:13">
      <c r="A1629" s="14"/>
      <c r="B1629" s="67"/>
      <c r="C1629" s="15"/>
      <c r="D1629" s="22"/>
      <c r="E1629" s="71"/>
      <c r="F1629" s="102"/>
      <c r="G1629" s="90"/>
      <c r="H1629" s="26"/>
      <c r="I1629" s="25"/>
      <c r="J1629" s="22"/>
      <c r="K1629" s="25"/>
      <c r="L1629" s="25"/>
      <c r="M1629" s="22"/>
    </row>
    <row r="1630" spans="1:13">
      <c r="A1630" s="14"/>
      <c r="B1630" s="67"/>
      <c r="C1630" s="15"/>
      <c r="D1630" s="22"/>
      <c r="E1630" s="72"/>
      <c r="F1630" s="102"/>
      <c r="G1630" s="90"/>
      <c r="H1630" s="26"/>
      <c r="I1630" s="25"/>
      <c r="J1630" s="22"/>
      <c r="K1630" s="25"/>
      <c r="L1630" s="25"/>
      <c r="M1630" s="22"/>
    </row>
    <row r="1631" spans="1:13">
      <c r="A1631" s="14"/>
      <c r="B1631" s="67"/>
      <c r="C1631" s="15"/>
      <c r="D1631" s="22"/>
      <c r="E1631" s="71"/>
      <c r="F1631" s="102"/>
      <c r="G1631" s="90"/>
      <c r="H1631" s="26"/>
      <c r="I1631" s="25"/>
      <c r="J1631" s="22"/>
      <c r="K1631" s="25"/>
      <c r="L1631" s="25"/>
      <c r="M1631" s="22"/>
    </row>
    <row r="1632" spans="1:13">
      <c r="A1632" s="14"/>
      <c r="B1632" s="67"/>
      <c r="C1632" s="15"/>
      <c r="D1632" s="22"/>
      <c r="E1632" s="72"/>
      <c r="F1632" s="102"/>
      <c r="G1632" s="90"/>
      <c r="H1632" s="26"/>
      <c r="I1632" s="25"/>
      <c r="J1632" s="22"/>
      <c r="K1632" s="25"/>
      <c r="L1632" s="25"/>
      <c r="M1632" s="22"/>
    </row>
    <row r="1633" spans="1:13">
      <c r="A1633" s="14"/>
      <c r="B1633" s="67"/>
      <c r="C1633" s="15"/>
      <c r="D1633" s="22"/>
      <c r="E1633" s="71"/>
      <c r="F1633" s="102"/>
      <c r="G1633" s="90"/>
      <c r="H1633" s="26"/>
      <c r="I1633" s="25"/>
      <c r="J1633" s="22"/>
      <c r="K1633" s="25"/>
      <c r="L1633" s="25"/>
      <c r="M1633" s="22"/>
    </row>
    <row r="1634" spans="1:13">
      <c r="A1634" s="14"/>
      <c r="B1634" s="67"/>
      <c r="C1634" s="15"/>
      <c r="D1634" s="22"/>
      <c r="E1634" s="72"/>
      <c r="F1634" s="102"/>
      <c r="G1634" s="90"/>
      <c r="H1634" s="26"/>
      <c r="I1634" s="25"/>
      <c r="J1634" s="22"/>
      <c r="K1634" s="25"/>
      <c r="L1634" s="25"/>
      <c r="M1634" s="22"/>
    </row>
    <row r="1635" spans="1:13">
      <c r="A1635" s="14"/>
      <c r="B1635" s="67"/>
      <c r="C1635" s="15"/>
      <c r="D1635" s="22"/>
      <c r="E1635" s="71"/>
      <c r="F1635" s="102"/>
      <c r="G1635" s="90"/>
      <c r="H1635" s="26"/>
      <c r="I1635" s="25"/>
      <c r="J1635" s="22"/>
      <c r="K1635" s="25"/>
      <c r="L1635" s="25"/>
      <c r="M1635" s="22"/>
    </row>
    <row r="1636" spans="1:13">
      <c r="A1636" s="14"/>
      <c r="B1636" s="67"/>
      <c r="C1636" s="15"/>
      <c r="D1636" s="22"/>
      <c r="E1636" s="72"/>
      <c r="F1636" s="102"/>
      <c r="G1636" s="90"/>
      <c r="H1636" s="26"/>
      <c r="I1636" s="25"/>
      <c r="J1636" s="22"/>
      <c r="K1636" s="25"/>
      <c r="L1636" s="25"/>
      <c r="M1636" s="22"/>
    </row>
    <row r="1637" spans="1:13">
      <c r="A1637" s="14"/>
      <c r="B1637" s="67"/>
      <c r="C1637" s="15"/>
      <c r="D1637" s="22"/>
      <c r="E1637" s="71"/>
      <c r="F1637" s="102"/>
      <c r="G1637" s="90"/>
      <c r="H1637" s="26"/>
      <c r="I1637" s="25"/>
      <c r="J1637" s="22"/>
      <c r="K1637" s="25"/>
      <c r="L1637" s="25"/>
      <c r="M1637" s="22"/>
    </row>
    <row r="1638" spans="1:13">
      <c r="A1638" s="14"/>
      <c r="B1638" s="67"/>
      <c r="C1638" s="15"/>
      <c r="D1638" s="22"/>
      <c r="E1638" s="72"/>
      <c r="F1638" s="102"/>
      <c r="G1638" s="90"/>
      <c r="H1638" s="26"/>
      <c r="I1638" s="25"/>
      <c r="J1638" s="22"/>
      <c r="K1638" s="25"/>
      <c r="L1638" s="25"/>
      <c r="M1638" s="22"/>
    </row>
    <row r="1639" spans="1:13">
      <c r="A1639" s="14"/>
      <c r="B1639" s="67"/>
      <c r="C1639" s="15"/>
      <c r="D1639" s="22"/>
      <c r="E1639" s="71"/>
      <c r="F1639" s="102"/>
      <c r="G1639" s="90"/>
      <c r="H1639" s="26"/>
      <c r="I1639" s="25"/>
      <c r="J1639" s="22"/>
      <c r="K1639" s="25"/>
      <c r="L1639" s="25"/>
      <c r="M1639" s="22"/>
    </row>
    <row r="1640" spans="1:13">
      <c r="A1640" s="14"/>
      <c r="B1640" s="67"/>
      <c r="C1640" s="15"/>
      <c r="D1640" s="22"/>
      <c r="E1640" s="72"/>
      <c r="F1640" s="102"/>
      <c r="G1640" s="90"/>
      <c r="H1640" s="26"/>
      <c r="I1640" s="25"/>
      <c r="J1640" s="22"/>
      <c r="K1640" s="25"/>
      <c r="L1640" s="25"/>
      <c r="M1640" s="22"/>
    </row>
    <row r="1641" spans="1:13">
      <c r="A1641" s="14"/>
      <c r="B1641" s="67"/>
      <c r="C1641" s="15"/>
      <c r="D1641" s="22"/>
      <c r="E1641" s="71"/>
      <c r="F1641" s="102"/>
      <c r="G1641" s="90"/>
      <c r="H1641" s="26"/>
      <c r="I1641" s="25"/>
      <c r="J1641" s="22"/>
      <c r="K1641" s="25"/>
      <c r="L1641" s="25"/>
      <c r="M1641" s="22"/>
    </row>
    <row r="1642" spans="1:13">
      <c r="A1642" s="14"/>
      <c r="B1642" s="67"/>
      <c r="C1642" s="15"/>
      <c r="D1642" s="22"/>
      <c r="E1642" s="72"/>
      <c r="F1642" s="102"/>
      <c r="G1642" s="90"/>
      <c r="H1642" s="26"/>
      <c r="I1642" s="25"/>
      <c r="J1642" s="22"/>
      <c r="K1642" s="25"/>
      <c r="L1642" s="25"/>
      <c r="M1642" s="22"/>
    </row>
    <row r="1643" spans="1:13">
      <c r="A1643" s="14"/>
      <c r="B1643" s="67"/>
      <c r="C1643" s="15"/>
      <c r="D1643" s="22"/>
      <c r="E1643" s="71"/>
      <c r="F1643" s="102"/>
      <c r="G1643" s="90"/>
      <c r="H1643" s="26"/>
      <c r="I1643" s="25"/>
      <c r="J1643" s="22"/>
      <c r="K1643" s="25"/>
      <c r="L1643" s="25"/>
      <c r="M1643" s="22"/>
    </row>
    <row r="1644" spans="1:13">
      <c r="A1644" s="14"/>
      <c r="B1644" s="67"/>
      <c r="C1644" s="15"/>
      <c r="D1644" s="22"/>
      <c r="E1644" s="72"/>
      <c r="F1644" s="102"/>
      <c r="G1644" s="90"/>
      <c r="H1644" s="26"/>
      <c r="I1644" s="25"/>
      <c r="J1644" s="22"/>
      <c r="K1644" s="25"/>
      <c r="L1644" s="25"/>
      <c r="M1644" s="22"/>
    </row>
    <row r="1645" spans="1:13">
      <c r="A1645" s="14"/>
      <c r="B1645" s="67"/>
      <c r="C1645" s="15"/>
      <c r="D1645" s="22"/>
      <c r="E1645" s="71"/>
      <c r="F1645" s="102"/>
      <c r="G1645" s="90"/>
      <c r="H1645" s="26"/>
      <c r="I1645" s="25"/>
      <c r="J1645" s="22"/>
      <c r="K1645" s="25"/>
      <c r="L1645" s="25"/>
      <c r="M1645" s="22"/>
    </row>
    <row r="1646" spans="1:13">
      <c r="A1646" s="14"/>
      <c r="B1646" s="67"/>
      <c r="C1646" s="15"/>
      <c r="D1646" s="22"/>
      <c r="E1646" s="72"/>
      <c r="F1646" s="102"/>
      <c r="G1646" s="90"/>
      <c r="H1646" s="26"/>
      <c r="I1646" s="25"/>
      <c r="J1646" s="22"/>
      <c r="K1646" s="25"/>
      <c r="L1646" s="25"/>
      <c r="M1646" s="22"/>
    </row>
    <row r="1647" spans="1:13">
      <c r="A1647" s="14"/>
      <c r="B1647" s="67"/>
      <c r="C1647" s="15"/>
      <c r="D1647" s="22"/>
      <c r="E1647" s="71"/>
      <c r="F1647" s="102"/>
      <c r="G1647" s="90"/>
      <c r="H1647" s="26"/>
      <c r="I1647" s="25"/>
      <c r="J1647" s="22"/>
      <c r="K1647" s="25"/>
      <c r="L1647" s="25"/>
      <c r="M1647" s="22"/>
    </row>
    <row r="1648" spans="1:13">
      <c r="A1648" s="14"/>
      <c r="B1648" s="67"/>
      <c r="C1648" s="15"/>
      <c r="D1648" s="22"/>
      <c r="E1648" s="72"/>
      <c r="F1648" s="102"/>
      <c r="G1648" s="90"/>
      <c r="H1648" s="26"/>
      <c r="I1648" s="25"/>
      <c r="J1648" s="22"/>
      <c r="K1648" s="25"/>
      <c r="L1648" s="25"/>
      <c r="M1648" s="22"/>
    </row>
    <row r="1649" spans="1:13">
      <c r="A1649" s="14"/>
      <c r="B1649" s="67"/>
      <c r="C1649" s="15"/>
      <c r="D1649" s="22"/>
      <c r="E1649" s="71"/>
      <c r="F1649" s="102"/>
      <c r="G1649" s="90"/>
      <c r="H1649" s="26"/>
      <c r="I1649" s="25"/>
      <c r="J1649" s="22"/>
      <c r="K1649" s="25"/>
      <c r="L1649" s="25"/>
      <c r="M1649" s="22"/>
    </row>
    <row r="1650" spans="1:13">
      <c r="A1650" s="14"/>
      <c r="B1650" s="67"/>
      <c r="C1650" s="15"/>
      <c r="D1650" s="22"/>
      <c r="E1650" s="72"/>
      <c r="F1650" s="102"/>
      <c r="G1650" s="90"/>
      <c r="H1650" s="26"/>
      <c r="I1650" s="25"/>
      <c r="J1650" s="22"/>
      <c r="K1650" s="25"/>
      <c r="L1650" s="25"/>
      <c r="M1650" s="22"/>
    </row>
    <row r="1651" spans="1:13">
      <c r="A1651" s="14"/>
      <c r="B1651" s="67"/>
      <c r="C1651" s="15"/>
      <c r="D1651" s="22"/>
      <c r="E1651" s="71"/>
      <c r="F1651" s="102"/>
      <c r="G1651" s="90"/>
      <c r="H1651" s="26"/>
      <c r="I1651" s="25"/>
      <c r="J1651" s="22"/>
      <c r="K1651" s="25"/>
      <c r="L1651" s="25"/>
      <c r="M1651" s="22"/>
    </row>
    <row r="1652" spans="1:13">
      <c r="A1652" s="14"/>
      <c r="B1652" s="67"/>
      <c r="C1652" s="15"/>
      <c r="D1652" s="22"/>
      <c r="E1652" s="72"/>
      <c r="F1652" s="102"/>
      <c r="G1652" s="90"/>
      <c r="H1652" s="26"/>
      <c r="I1652" s="25"/>
      <c r="J1652" s="22"/>
      <c r="K1652" s="25"/>
      <c r="L1652" s="25"/>
      <c r="M1652" s="22"/>
    </row>
    <row r="1653" spans="1:13">
      <c r="A1653" s="14"/>
      <c r="B1653" s="67"/>
      <c r="C1653" s="15"/>
      <c r="D1653" s="22"/>
      <c r="E1653" s="71"/>
      <c r="F1653" s="102"/>
      <c r="G1653" s="90"/>
      <c r="H1653" s="26"/>
      <c r="I1653" s="25"/>
      <c r="J1653" s="22"/>
      <c r="K1653" s="25"/>
      <c r="L1653" s="25"/>
      <c r="M1653" s="22"/>
    </row>
    <row r="1654" spans="1:13">
      <c r="A1654" s="14"/>
      <c r="B1654" s="67"/>
      <c r="C1654" s="15"/>
      <c r="D1654" s="22"/>
      <c r="E1654" s="72"/>
      <c r="F1654" s="102"/>
      <c r="G1654" s="90"/>
      <c r="H1654" s="26"/>
      <c r="I1654" s="25"/>
      <c r="J1654" s="22"/>
      <c r="K1654" s="25"/>
      <c r="L1654" s="25"/>
      <c r="M1654" s="22"/>
    </row>
    <row r="1655" spans="1:13">
      <c r="A1655" s="14"/>
      <c r="B1655" s="67"/>
      <c r="C1655" s="15"/>
      <c r="D1655" s="22"/>
      <c r="E1655" s="71"/>
      <c r="F1655" s="102"/>
      <c r="G1655" s="90"/>
      <c r="H1655" s="26"/>
      <c r="I1655" s="25"/>
      <c r="J1655" s="22"/>
      <c r="K1655" s="25"/>
      <c r="L1655" s="25"/>
      <c r="M1655" s="22"/>
    </row>
    <row r="1656" spans="1:13">
      <c r="A1656" s="14"/>
      <c r="B1656" s="67"/>
      <c r="C1656" s="15"/>
      <c r="D1656" s="22"/>
      <c r="E1656" s="72"/>
      <c r="F1656" s="102"/>
      <c r="G1656" s="90"/>
      <c r="H1656" s="26"/>
      <c r="I1656" s="25"/>
      <c r="J1656" s="22"/>
      <c r="K1656" s="25"/>
      <c r="L1656" s="25"/>
      <c r="M1656" s="22"/>
    </row>
    <row r="1657" spans="1:13">
      <c r="A1657" s="14"/>
      <c r="B1657" s="67"/>
      <c r="C1657" s="15"/>
      <c r="D1657" s="22"/>
      <c r="E1657" s="71"/>
      <c r="F1657" s="102"/>
      <c r="G1657" s="90"/>
      <c r="H1657" s="26"/>
      <c r="I1657" s="25"/>
      <c r="J1657" s="22"/>
      <c r="K1657" s="25"/>
      <c r="L1657" s="25"/>
      <c r="M1657" s="22"/>
    </row>
    <row r="1658" spans="1:13">
      <c r="A1658" s="14"/>
      <c r="B1658" s="67"/>
      <c r="C1658" s="15"/>
      <c r="D1658" s="22"/>
      <c r="E1658" s="72"/>
      <c r="F1658" s="102"/>
      <c r="G1658" s="90"/>
      <c r="H1658" s="26"/>
      <c r="I1658" s="25"/>
      <c r="J1658" s="22"/>
      <c r="K1658" s="25"/>
      <c r="L1658" s="25"/>
      <c r="M1658" s="22"/>
    </row>
    <row r="1659" spans="1:13">
      <c r="A1659" s="14"/>
      <c r="B1659" s="67"/>
      <c r="C1659" s="15"/>
      <c r="D1659" s="22"/>
      <c r="E1659" s="71"/>
      <c r="F1659" s="102"/>
      <c r="G1659" s="90"/>
      <c r="H1659" s="26"/>
      <c r="I1659" s="25"/>
      <c r="J1659" s="22"/>
      <c r="K1659" s="25"/>
      <c r="L1659" s="25"/>
      <c r="M1659" s="22"/>
    </row>
    <row r="1660" spans="1:13">
      <c r="A1660" s="14"/>
      <c r="B1660" s="67"/>
      <c r="C1660" s="15"/>
      <c r="D1660" s="22"/>
      <c r="E1660" s="72"/>
      <c r="F1660" s="102"/>
      <c r="G1660" s="90"/>
      <c r="H1660" s="26"/>
      <c r="I1660" s="25"/>
      <c r="J1660" s="22"/>
      <c r="K1660" s="25"/>
      <c r="L1660" s="25"/>
      <c r="M1660" s="22"/>
    </row>
    <row r="1661" spans="1:13">
      <c r="A1661" s="14"/>
      <c r="B1661" s="67"/>
      <c r="C1661" s="15"/>
      <c r="D1661" s="22"/>
      <c r="E1661" s="71"/>
      <c r="F1661" s="102"/>
      <c r="G1661" s="90"/>
      <c r="H1661" s="26"/>
      <c r="I1661" s="25"/>
      <c r="J1661" s="22"/>
      <c r="K1661" s="25"/>
      <c r="L1661" s="25"/>
      <c r="M1661" s="22"/>
    </row>
    <row r="1662" spans="1:13">
      <c r="A1662" s="14"/>
      <c r="B1662" s="67"/>
      <c r="C1662" s="15"/>
      <c r="D1662" s="22"/>
      <c r="E1662" s="72"/>
      <c r="F1662" s="102"/>
      <c r="G1662" s="90"/>
      <c r="H1662" s="26"/>
      <c r="I1662" s="25"/>
      <c r="J1662" s="22"/>
      <c r="K1662" s="25"/>
      <c r="L1662" s="25"/>
      <c r="M1662" s="22"/>
    </row>
    <row r="1663" spans="1:13">
      <c r="A1663" s="14"/>
      <c r="B1663" s="67"/>
      <c r="C1663" s="15"/>
      <c r="D1663" s="22"/>
      <c r="E1663" s="71"/>
      <c r="F1663" s="102"/>
      <c r="G1663" s="90"/>
      <c r="H1663" s="26"/>
      <c r="I1663" s="25"/>
      <c r="J1663" s="22"/>
      <c r="K1663" s="25"/>
      <c r="L1663" s="25"/>
      <c r="M1663" s="22"/>
    </row>
    <row r="1664" spans="1:13">
      <c r="A1664" s="14"/>
      <c r="B1664" s="67"/>
      <c r="C1664" s="15"/>
      <c r="D1664" s="22"/>
      <c r="E1664" s="72"/>
      <c r="F1664" s="102"/>
      <c r="G1664" s="90"/>
      <c r="H1664" s="26"/>
      <c r="I1664" s="25"/>
      <c r="J1664" s="22"/>
      <c r="K1664" s="25"/>
      <c r="L1664" s="25"/>
      <c r="M1664" s="22"/>
    </row>
    <row r="1665" spans="1:13">
      <c r="A1665" s="14"/>
      <c r="B1665" s="67"/>
      <c r="C1665" s="15"/>
      <c r="D1665" s="22"/>
      <c r="E1665" s="71"/>
      <c r="F1665" s="102"/>
      <c r="G1665" s="90"/>
      <c r="H1665" s="26"/>
      <c r="I1665" s="25"/>
      <c r="J1665" s="22"/>
      <c r="K1665" s="25"/>
      <c r="L1665" s="25"/>
      <c r="M1665" s="22"/>
    </row>
    <row r="1666" spans="1:13">
      <c r="A1666" s="14"/>
      <c r="B1666" s="67"/>
      <c r="C1666" s="15"/>
      <c r="D1666" s="22"/>
      <c r="E1666" s="72"/>
      <c r="F1666" s="102"/>
      <c r="G1666" s="90"/>
      <c r="H1666" s="26"/>
      <c r="I1666" s="25"/>
      <c r="J1666" s="22"/>
      <c r="K1666" s="25"/>
      <c r="L1666" s="25"/>
      <c r="M1666" s="22"/>
    </row>
    <row r="1667" spans="1:13">
      <c r="A1667" s="14"/>
      <c r="B1667" s="67"/>
      <c r="C1667" s="15"/>
      <c r="D1667" s="22"/>
      <c r="E1667" s="71"/>
      <c r="F1667" s="102"/>
      <c r="G1667" s="90"/>
      <c r="H1667" s="26"/>
      <c r="I1667" s="25"/>
      <c r="J1667" s="22"/>
      <c r="K1667" s="25"/>
      <c r="L1667" s="25"/>
      <c r="M1667" s="22"/>
    </row>
    <row r="1668" spans="1:13">
      <c r="A1668" s="14"/>
      <c r="B1668" s="67"/>
      <c r="C1668" s="15"/>
      <c r="D1668" s="22"/>
      <c r="E1668" s="72"/>
      <c r="F1668" s="102"/>
      <c r="G1668" s="90"/>
      <c r="H1668" s="26"/>
      <c r="I1668" s="25"/>
      <c r="J1668" s="22"/>
      <c r="K1668" s="25"/>
      <c r="L1668" s="25"/>
      <c r="M1668" s="22"/>
    </row>
    <row r="1669" spans="1:13">
      <c r="A1669" s="14"/>
      <c r="B1669" s="67"/>
      <c r="C1669" s="15"/>
      <c r="D1669" s="22"/>
      <c r="E1669" s="71"/>
      <c r="F1669" s="102"/>
      <c r="G1669" s="90"/>
      <c r="H1669" s="26"/>
      <c r="I1669" s="25"/>
      <c r="J1669" s="22"/>
      <c r="K1669" s="25"/>
      <c r="L1669" s="25"/>
      <c r="M1669" s="22"/>
    </row>
    <row r="1670" spans="1:13">
      <c r="A1670" s="14"/>
      <c r="B1670" s="67"/>
      <c r="C1670" s="15"/>
      <c r="D1670" s="22"/>
      <c r="E1670" s="72"/>
      <c r="F1670" s="102"/>
      <c r="G1670" s="90"/>
      <c r="H1670" s="26"/>
      <c r="I1670" s="25"/>
      <c r="J1670" s="22"/>
      <c r="K1670" s="25"/>
      <c r="L1670" s="25"/>
      <c r="M1670" s="22"/>
    </row>
    <row r="1671" spans="1:13">
      <c r="A1671" s="14"/>
      <c r="B1671" s="67"/>
      <c r="C1671" s="15"/>
      <c r="D1671" s="22"/>
      <c r="E1671" s="71"/>
      <c r="F1671" s="102"/>
      <c r="G1671" s="90"/>
      <c r="H1671" s="26"/>
      <c r="I1671" s="25"/>
      <c r="J1671" s="22"/>
      <c r="K1671" s="25"/>
      <c r="L1671" s="25"/>
      <c r="M1671" s="22"/>
    </row>
    <row r="1672" spans="1:13">
      <c r="A1672" s="14"/>
      <c r="B1672" s="67"/>
      <c r="C1672" s="15"/>
      <c r="D1672" s="22"/>
      <c r="E1672" s="72"/>
      <c r="F1672" s="102"/>
      <c r="G1672" s="90"/>
      <c r="H1672" s="26"/>
      <c r="I1672" s="25"/>
      <c r="J1672" s="22"/>
      <c r="K1672" s="25"/>
      <c r="L1672" s="25"/>
      <c r="M1672" s="22"/>
    </row>
    <row r="1673" spans="1:13">
      <c r="A1673" s="14"/>
      <c r="B1673" s="67"/>
      <c r="C1673" s="15"/>
      <c r="D1673" s="22"/>
      <c r="E1673" s="71"/>
      <c r="F1673" s="102"/>
      <c r="G1673" s="90"/>
      <c r="H1673" s="26"/>
      <c r="I1673" s="25"/>
      <c r="J1673" s="22"/>
      <c r="K1673" s="25"/>
      <c r="L1673" s="25"/>
      <c r="M1673" s="22"/>
    </row>
    <row r="1674" spans="1:13">
      <c r="A1674" s="14"/>
      <c r="B1674" s="67"/>
      <c r="C1674" s="15"/>
      <c r="D1674" s="22"/>
      <c r="E1674" s="72"/>
      <c r="F1674" s="102"/>
      <c r="G1674" s="90"/>
      <c r="H1674" s="26"/>
      <c r="I1674" s="25"/>
      <c r="J1674" s="22"/>
      <c r="K1674" s="25"/>
      <c r="L1674" s="25"/>
      <c r="M1674" s="22"/>
    </row>
    <row r="1675" spans="1:13">
      <c r="A1675" s="14"/>
      <c r="B1675" s="67"/>
      <c r="C1675" s="15"/>
      <c r="D1675" s="22"/>
      <c r="E1675" s="71"/>
      <c r="F1675" s="102"/>
      <c r="G1675" s="90"/>
      <c r="H1675" s="26"/>
      <c r="I1675" s="25"/>
      <c r="J1675" s="22"/>
      <c r="K1675" s="25"/>
      <c r="L1675" s="25"/>
      <c r="M1675" s="22"/>
    </row>
    <row r="1676" spans="1:13">
      <c r="A1676" s="14"/>
      <c r="B1676" s="67"/>
      <c r="C1676" s="15"/>
      <c r="D1676" s="22"/>
      <c r="E1676" s="72"/>
      <c r="F1676" s="102"/>
      <c r="G1676" s="90"/>
      <c r="H1676" s="26"/>
      <c r="I1676" s="25"/>
      <c r="J1676" s="22"/>
      <c r="K1676" s="25"/>
      <c r="L1676" s="25"/>
      <c r="M1676" s="22"/>
    </row>
    <row r="1677" spans="1:13">
      <c r="A1677" s="14"/>
      <c r="B1677" s="67"/>
      <c r="C1677" s="15"/>
      <c r="D1677" s="22"/>
      <c r="E1677" s="71"/>
      <c r="F1677" s="102"/>
      <c r="G1677" s="90"/>
      <c r="H1677" s="26"/>
      <c r="I1677" s="25"/>
      <c r="J1677" s="22"/>
      <c r="K1677" s="25"/>
      <c r="L1677" s="25"/>
      <c r="M1677" s="22"/>
    </row>
    <row r="1678" spans="1:13">
      <c r="A1678" s="14"/>
      <c r="B1678" s="67"/>
      <c r="C1678" s="15"/>
      <c r="D1678" s="22"/>
      <c r="E1678" s="72"/>
      <c r="F1678" s="102"/>
      <c r="G1678" s="90"/>
      <c r="H1678" s="26"/>
      <c r="I1678" s="25"/>
      <c r="J1678" s="22"/>
      <c r="K1678" s="25"/>
      <c r="L1678" s="25"/>
      <c r="M1678" s="22"/>
    </row>
    <row r="1679" spans="1:13">
      <c r="A1679" s="14"/>
      <c r="B1679" s="67"/>
      <c r="C1679" s="15"/>
      <c r="D1679" s="22"/>
      <c r="E1679" s="71"/>
      <c r="F1679" s="102"/>
      <c r="G1679" s="90"/>
      <c r="H1679" s="26"/>
      <c r="I1679" s="25"/>
      <c r="J1679" s="22"/>
      <c r="K1679" s="25"/>
      <c r="L1679" s="25"/>
      <c r="M1679" s="22"/>
    </row>
    <row r="1680" spans="1:13">
      <c r="A1680" s="14"/>
      <c r="B1680" s="67"/>
      <c r="C1680" s="15"/>
      <c r="D1680" s="22"/>
      <c r="E1680" s="72"/>
      <c r="F1680" s="102"/>
      <c r="G1680" s="90"/>
      <c r="H1680" s="26"/>
      <c r="I1680" s="25"/>
      <c r="J1680" s="22"/>
      <c r="K1680" s="25"/>
      <c r="L1680" s="25"/>
      <c r="M1680" s="22"/>
    </row>
    <row r="1681" spans="1:13">
      <c r="A1681" s="14"/>
      <c r="B1681" s="67"/>
      <c r="C1681" s="15"/>
      <c r="D1681" s="22"/>
      <c r="E1681" s="71"/>
      <c r="F1681" s="102"/>
      <c r="G1681" s="90"/>
      <c r="H1681" s="26"/>
      <c r="I1681" s="25"/>
      <c r="J1681" s="22"/>
      <c r="K1681" s="25"/>
      <c r="L1681" s="25"/>
      <c r="M1681" s="22"/>
    </row>
    <row r="1682" spans="1:13">
      <c r="A1682" s="14"/>
      <c r="B1682" s="67"/>
      <c r="C1682" s="15"/>
      <c r="D1682" s="22"/>
      <c r="E1682" s="72"/>
      <c r="F1682" s="102"/>
      <c r="G1682" s="90"/>
      <c r="H1682" s="26"/>
      <c r="I1682" s="25"/>
      <c r="J1682" s="22"/>
      <c r="K1682" s="25"/>
      <c r="L1682" s="25"/>
      <c r="M1682" s="22"/>
    </row>
    <row r="1683" spans="1:13">
      <c r="A1683" s="14"/>
      <c r="B1683" s="67"/>
      <c r="C1683" s="15"/>
      <c r="D1683" s="22"/>
      <c r="E1683" s="71"/>
      <c r="F1683" s="102"/>
      <c r="G1683" s="90"/>
      <c r="H1683" s="26"/>
      <c r="I1683" s="25"/>
      <c r="J1683" s="22"/>
      <c r="K1683" s="25"/>
      <c r="L1683" s="25"/>
      <c r="M1683" s="22"/>
    </row>
    <row r="1684" spans="1:13">
      <c r="A1684" s="14"/>
      <c r="B1684" s="67"/>
      <c r="C1684" s="15"/>
      <c r="D1684" s="22"/>
      <c r="E1684" s="72"/>
      <c r="F1684" s="102"/>
      <c r="G1684" s="90"/>
      <c r="H1684" s="26"/>
      <c r="I1684" s="25"/>
      <c r="J1684" s="22"/>
      <c r="K1684" s="25"/>
      <c r="L1684" s="25"/>
      <c r="M1684" s="22"/>
    </row>
    <row r="1685" spans="1:13">
      <c r="A1685" s="14"/>
      <c r="B1685" s="67"/>
      <c r="C1685" s="15"/>
      <c r="D1685" s="22"/>
      <c r="E1685" s="71"/>
      <c r="F1685" s="102"/>
      <c r="G1685" s="90"/>
      <c r="H1685" s="26"/>
      <c r="I1685" s="25"/>
      <c r="J1685" s="22"/>
      <c r="K1685" s="25"/>
      <c r="L1685" s="25"/>
      <c r="M1685" s="22"/>
    </row>
    <row r="1686" spans="1:13">
      <c r="A1686" s="14"/>
      <c r="B1686" s="67"/>
      <c r="C1686" s="15"/>
      <c r="D1686" s="22"/>
      <c r="E1686" s="72"/>
      <c r="F1686" s="102"/>
      <c r="G1686" s="90"/>
      <c r="H1686" s="26"/>
      <c r="I1686" s="25"/>
      <c r="J1686" s="22"/>
      <c r="K1686" s="25"/>
      <c r="L1686" s="25"/>
      <c r="M1686" s="22"/>
    </row>
    <row r="1687" spans="1:13">
      <c r="A1687" s="14"/>
      <c r="B1687" s="67"/>
      <c r="C1687" s="15"/>
      <c r="D1687" s="22"/>
      <c r="E1687" s="71"/>
      <c r="F1687" s="102"/>
      <c r="G1687" s="90"/>
      <c r="H1687" s="26"/>
      <c r="I1687" s="25"/>
      <c r="J1687" s="22"/>
      <c r="K1687" s="25"/>
      <c r="L1687" s="25"/>
      <c r="M1687" s="22"/>
    </row>
    <row r="1688" spans="1:13">
      <c r="A1688" s="14"/>
      <c r="B1688" s="67"/>
      <c r="C1688" s="15"/>
      <c r="D1688" s="22"/>
      <c r="E1688" s="72"/>
      <c r="F1688" s="102"/>
      <c r="G1688" s="90"/>
      <c r="H1688" s="26"/>
      <c r="I1688" s="25"/>
      <c r="J1688" s="22"/>
      <c r="K1688" s="25"/>
      <c r="L1688" s="25"/>
      <c r="M1688" s="22"/>
    </row>
    <row r="1689" spans="1:13">
      <c r="A1689" s="14"/>
      <c r="B1689" s="67"/>
      <c r="C1689" s="15"/>
      <c r="D1689" s="22"/>
      <c r="E1689" s="71"/>
      <c r="F1689" s="102"/>
      <c r="G1689" s="90"/>
      <c r="H1689" s="26"/>
      <c r="I1689" s="25"/>
      <c r="J1689" s="22"/>
      <c r="K1689" s="25"/>
      <c r="L1689" s="25"/>
      <c r="M1689" s="22"/>
    </row>
    <row r="1690" spans="1:13">
      <c r="A1690" s="14"/>
      <c r="B1690" s="67"/>
      <c r="C1690" s="15"/>
      <c r="D1690" s="22"/>
      <c r="E1690" s="72"/>
      <c r="F1690" s="102"/>
      <c r="G1690" s="90"/>
      <c r="H1690" s="26"/>
      <c r="I1690" s="25"/>
      <c r="J1690" s="22"/>
      <c r="K1690" s="25"/>
      <c r="L1690" s="25"/>
      <c r="M1690" s="22"/>
    </row>
    <row r="1691" spans="1:13">
      <c r="A1691" s="14"/>
      <c r="B1691" s="67"/>
      <c r="C1691" s="15"/>
      <c r="D1691" s="22"/>
      <c r="E1691" s="71"/>
      <c r="F1691" s="102"/>
      <c r="G1691" s="90"/>
      <c r="H1691" s="26"/>
      <c r="I1691" s="25"/>
      <c r="J1691" s="22"/>
      <c r="K1691" s="25"/>
      <c r="L1691" s="25"/>
      <c r="M1691" s="22"/>
    </row>
    <row r="1692" spans="1:13">
      <c r="A1692" s="14"/>
      <c r="B1692" s="67"/>
      <c r="C1692" s="15"/>
      <c r="D1692" s="22"/>
      <c r="E1692" s="72"/>
      <c r="F1692" s="102"/>
      <c r="G1692" s="90"/>
      <c r="H1692" s="26"/>
      <c r="I1692" s="25"/>
      <c r="J1692" s="22"/>
      <c r="K1692" s="25"/>
      <c r="L1692" s="25"/>
      <c r="M1692" s="22"/>
    </row>
    <row r="1693" spans="1:13">
      <c r="A1693" s="14"/>
      <c r="B1693" s="67"/>
      <c r="C1693" s="15"/>
      <c r="D1693" s="22"/>
      <c r="E1693" s="71"/>
      <c r="F1693" s="102"/>
      <c r="G1693" s="90"/>
      <c r="H1693" s="26"/>
      <c r="I1693" s="25"/>
      <c r="J1693" s="22"/>
      <c r="K1693" s="25"/>
      <c r="L1693" s="25"/>
      <c r="M1693" s="22"/>
    </row>
    <row r="1694" spans="1:13">
      <c r="A1694" s="14"/>
      <c r="B1694" s="67"/>
      <c r="C1694" s="15"/>
      <c r="D1694" s="22"/>
      <c r="E1694" s="72"/>
      <c r="F1694" s="102"/>
      <c r="G1694" s="90"/>
      <c r="H1694" s="26"/>
      <c r="I1694" s="25"/>
      <c r="J1694" s="22"/>
      <c r="K1694" s="25"/>
      <c r="L1694" s="25"/>
      <c r="M1694" s="22"/>
    </row>
    <row r="1695" spans="1:13">
      <c r="A1695" s="14"/>
      <c r="B1695" s="67"/>
      <c r="C1695" s="15"/>
      <c r="D1695" s="22"/>
      <c r="E1695" s="71"/>
      <c r="F1695" s="102"/>
      <c r="G1695" s="90"/>
      <c r="H1695" s="26"/>
      <c r="I1695" s="25"/>
      <c r="J1695" s="22"/>
      <c r="K1695" s="25"/>
      <c r="L1695" s="25"/>
      <c r="M1695" s="22"/>
    </row>
    <row r="1696" spans="1:13">
      <c r="A1696" s="14"/>
      <c r="B1696" s="67"/>
      <c r="C1696" s="15"/>
      <c r="D1696" s="22"/>
      <c r="E1696" s="72"/>
      <c r="F1696" s="102"/>
      <c r="G1696" s="90"/>
      <c r="H1696" s="26"/>
      <c r="I1696" s="25"/>
      <c r="J1696" s="22"/>
      <c r="K1696" s="25"/>
      <c r="L1696" s="25"/>
      <c r="M1696" s="22"/>
    </row>
    <row r="1697" spans="1:13">
      <c r="A1697" s="14"/>
      <c r="B1697" s="67"/>
      <c r="C1697" s="15"/>
      <c r="D1697" s="22"/>
      <c r="E1697" s="71"/>
      <c r="F1697" s="102"/>
      <c r="G1697" s="90"/>
      <c r="H1697" s="26"/>
      <c r="I1697" s="25"/>
      <c r="J1697" s="22"/>
      <c r="K1697" s="25"/>
      <c r="L1697" s="25"/>
      <c r="M1697" s="22"/>
    </row>
    <row r="1698" spans="1:13">
      <c r="A1698" s="14"/>
      <c r="B1698" s="67"/>
      <c r="C1698" s="15"/>
      <c r="D1698" s="22"/>
      <c r="E1698" s="72"/>
      <c r="F1698" s="102"/>
      <c r="G1698" s="90"/>
      <c r="H1698" s="26"/>
      <c r="I1698" s="25"/>
      <c r="J1698" s="22"/>
      <c r="K1698" s="25"/>
      <c r="L1698" s="25"/>
      <c r="M1698" s="22"/>
    </row>
    <row r="1699" spans="1:13">
      <c r="A1699" s="14"/>
      <c r="B1699" s="67"/>
      <c r="C1699" s="15"/>
      <c r="D1699" s="22"/>
      <c r="E1699" s="71"/>
      <c r="F1699" s="102"/>
      <c r="G1699" s="90"/>
      <c r="H1699" s="26"/>
      <c r="I1699" s="25"/>
      <c r="J1699" s="22"/>
      <c r="K1699" s="25"/>
      <c r="L1699" s="25"/>
      <c r="M1699" s="22"/>
    </row>
    <row r="1700" spans="1:13">
      <c r="A1700" s="14"/>
      <c r="B1700" s="67"/>
      <c r="C1700" s="15"/>
      <c r="D1700" s="22"/>
      <c r="E1700" s="72"/>
      <c r="F1700" s="102"/>
      <c r="G1700" s="90"/>
      <c r="H1700" s="26"/>
      <c r="I1700" s="25"/>
      <c r="J1700" s="22"/>
      <c r="K1700" s="25"/>
      <c r="L1700" s="25"/>
      <c r="M1700" s="22"/>
    </row>
    <row r="1701" spans="1:13">
      <c r="A1701" s="14"/>
      <c r="B1701" s="67"/>
      <c r="C1701" s="15"/>
      <c r="D1701" s="22"/>
      <c r="E1701" s="71"/>
      <c r="F1701" s="102"/>
      <c r="G1701" s="90"/>
      <c r="H1701" s="26"/>
      <c r="I1701" s="25"/>
      <c r="J1701" s="22"/>
      <c r="K1701" s="25"/>
      <c r="L1701" s="25"/>
      <c r="M1701" s="22"/>
    </row>
    <row r="1702" spans="1:13">
      <c r="A1702" s="14"/>
      <c r="B1702" s="67"/>
      <c r="C1702" s="15"/>
      <c r="D1702" s="22"/>
      <c r="E1702" s="72"/>
      <c r="F1702" s="102"/>
      <c r="G1702" s="90"/>
      <c r="H1702" s="26"/>
      <c r="I1702" s="25"/>
      <c r="J1702" s="22"/>
      <c r="K1702" s="25"/>
      <c r="L1702" s="25"/>
      <c r="M1702" s="22"/>
    </row>
    <row r="1703" spans="1:13">
      <c r="A1703" s="14"/>
      <c r="B1703" s="67"/>
      <c r="C1703" s="15"/>
      <c r="D1703" s="22"/>
      <c r="E1703" s="71"/>
      <c r="F1703" s="102"/>
      <c r="G1703" s="90"/>
      <c r="H1703" s="26"/>
      <c r="I1703" s="25"/>
      <c r="J1703" s="22"/>
      <c r="K1703" s="25"/>
      <c r="L1703" s="25"/>
      <c r="M1703" s="22"/>
    </row>
    <row r="1704" spans="1:13">
      <c r="A1704" s="14"/>
      <c r="B1704" s="67"/>
      <c r="C1704" s="15"/>
      <c r="D1704" s="22"/>
      <c r="E1704" s="72"/>
      <c r="F1704" s="102"/>
      <c r="G1704" s="90"/>
      <c r="H1704" s="26"/>
      <c r="I1704" s="25"/>
      <c r="J1704" s="22"/>
      <c r="K1704" s="25"/>
      <c r="L1704" s="25"/>
      <c r="M1704" s="22"/>
    </row>
    <row r="1705" spans="1:13">
      <c r="A1705" s="14"/>
      <c r="B1705" s="67"/>
      <c r="C1705" s="15"/>
      <c r="D1705" s="22"/>
      <c r="E1705" s="71"/>
      <c r="F1705" s="102"/>
      <c r="G1705" s="90"/>
      <c r="H1705" s="26"/>
      <c r="I1705" s="25"/>
      <c r="J1705" s="22"/>
      <c r="K1705" s="25"/>
      <c r="L1705" s="25"/>
      <c r="M1705" s="22"/>
    </row>
    <row r="1706" spans="1:13">
      <c r="A1706" s="14"/>
      <c r="B1706" s="67"/>
      <c r="C1706" s="15"/>
      <c r="D1706" s="22"/>
      <c r="E1706" s="72"/>
      <c r="F1706" s="102"/>
      <c r="G1706" s="90"/>
      <c r="H1706" s="26"/>
      <c r="I1706" s="25"/>
      <c r="J1706" s="22"/>
      <c r="K1706" s="25"/>
      <c r="L1706" s="25"/>
      <c r="M1706" s="22"/>
    </row>
    <row r="1707" spans="1:13">
      <c r="A1707" s="14"/>
      <c r="B1707" s="67"/>
      <c r="C1707" s="15"/>
      <c r="D1707" s="22"/>
      <c r="E1707" s="71"/>
      <c r="F1707" s="102"/>
      <c r="G1707" s="90"/>
      <c r="H1707" s="26"/>
      <c r="I1707" s="25"/>
      <c r="J1707" s="22"/>
      <c r="K1707" s="25"/>
      <c r="L1707" s="25"/>
      <c r="M1707" s="22"/>
    </row>
    <row r="1708" spans="1:13">
      <c r="A1708" s="14"/>
      <c r="B1708" s="67"/>
      <c r="C1708" s="15"/>
      <c r="D1708" s="22"/>
      <c r="E1708" s="72"/>
      <c r="F1708" s="102"/>
      <c r="G1708" s="90"/>
      <c r="H1708" s="26"/>
      <c r="I1708" s="25"/>
      <c r="J1708" s="22"/>
      <c r="K1708" s="25"/>
      <c r="L1708" s="25"/>
      <c r="M1708" s="22"/>
    </row>
    <row r="1709" spans="1:13">
      <c r="A1709" s="14"/>
      <c r="B1709" s="67"/>
      <c r="C1709" s="15"/>
      <c r="D1709" s="22"/>
      <c r="E1709" s="71"/>
      <c r="F1709" s="102"/>
      <c r="G1709" s="90"/>
      <c r="H1709" s="26"/>
      <c r="I1709" s="25"/>
      <c r="J1709" s="22"/>
      <c r="K1709" s="25"/>
      <c r="L1709" s="25"/>
      <c r="M1709" s="22"/>
    </row>
    <row r="1710" spans="1:13">
      <c r="A1710" s="14"/>
      <c r="B1710" s="67"/>
      <c r="C1710" s="15"/>
      <c r="D1710" s="22"/>
      <c r="E1710" s="72"/>
      <c r="F1710" s="102"/>
      <c r="G1710" s="90"/>
      <c r="H1710" s="26"/>
      <c r="I1710" s="25"/>
      <c r="J1710" s="22"/>
      <c r="K1710" s="25"/>
      <c r="L1710" s="25"/>
      <c r="M1710" s="22"/>
    </row>
    <row r="1711" spans="1:13">
      <c r="A1711" s="14"/>
      <c r="B1711" s="67"/>
      <c r="C1711" s="15"/>
      <c r="D1711" s="22"/>
      <c r="E1711" s="71"/>
      <c r="F1711" s="102"/>
      <c r="G1711" s="90"/>
      <c r="H1711" s="26"/>
      <c r="I1711" s="25"/>
      <c r="J1711" s="22"/>
      <c r="K1711" s="25"/>
      <c r="L1711" s="25"/>
      <c r="M1711" s="22"/>
    </row>
    <row r="1712" spans="1:13">
      <c r="A1712" s="14"/>
      <c r="B1712" s="67"/>
      <c r="C1712" s="15"/>
      <c r="D1712" s="22"/>
      <c r="E1712" s="72"/>
      <c r="F1712" s="102"/>
      <c r="G1712" s="90"/>
      <c r="H1712" s="26"/>
      <c r="I1712" s="25"/>
      <c r="J1712" s="22"/>
      <c r="K1712" s="25"/>
      <c r="L1712" s="25"/>
      <c r="M1712" s="22"/>
    </row>
    <row r="1713" spans="1:13">
      <c r="A1713" s="14"/>
      <c r="B1713" s="67"/>
      <c r="C1713" s="15"/>
      <c r="D1713" s="22"/>
      <c r="E1713" s="71"/>
      <c r="F1713" s="102"/>
      <c r="G1713" s="90"/>
      <c r="H1713" s="26"/>
      <c r="I1713" s="25"/>
      <c r="J1713" s="22"/>
      <c r="K1713" s="25"/>
      <c r="L1713" s="25"/>
      <c r="M1713" s="22"/>
    </row>
    <row r="1714" spans="1:13">
      <c r="A1714" s="14"/>
      <c r="B1714" s="67"/>
      <c r="C1714" s="15"/>
      <c r="D1714" s="22"/>
      <c r="E1714" s="72"/>
      <c r="F1714" s="102"/>
      <c r="G1714" s="90"/>
      <c r="H1714" s="26"/>
      <c r="I1714" s="25"/>
      <c r="J1714" s="22"/>
      <c r="K1714" s="25"/>
      <c r="L1714" s="25"/>
      <c r="M1714" s="22"/>
    </row>
    <row r="1715" spans="1:13">
      <c r="A1715" s="14"/>
      <c r="B1715" s="67"/>
      <c r="C1715" s="15"/>
      <c r="D1715" s="22"/>
      <c r="E1715" s="71"/>
      <c r="F1715" s="102"/>
      <c r="G1715" s="90"/>
      <c r="H1715" s="26"/>
      <c r="I1715" s="25"/>
      <c r="J1715" s="22"/>
      <c r="K1715" s="25"/>
      <c r="L1715" s="25"/>
      <c r="M1715" s="22"/>
    </row>
    <row r="1716" spans="1:13">
      <c r="A1716" s="14"/>
      <c r="B1716" s="67"/>
      <c r="C1716" s="15"/>
      <c r="D1716" s="22"/>
      <c r="E1716" s="72"/>
      <c r="F1716" s="102"/>
      <c r="G1716" s="90"/>
      <c r="H1716" s="26"/>
      <c r="I1716" s="25"/>
      <c r="J1716" s="22"/>
      <c r="K1716" s="25"/>
      <c r="L1716" s="25"/>
      <c r="M1716" s="22"/>
    </row>
    <row r="1717" spans="1:13">
      <c r="A1717" s="14"/>
      <c r="B1717" s="67"/>
      <c r="C1717" s="15"/>
      <c r="D1717" s="22"/>
      <c r="E1717" s="71"/>
      <c r="F1717" s="102"/>
      <c r="G1717" s="90"/>
      <c r="H1717" s="26"/>
      <c r="I1717" s="25"/>
      <c r="J1717" s="22"/>
      <c r="K1717" s="25"/>
      <c r="L1717" s="25"/>
      <c r="M1717" s="22"/>
    </row>
    <row r="1718" spans="1:13">
      <c r="A1718" s="14"/>
      <c r="B1718" s="67"/>
      <c r="C1718" s="15"/>
      <c r="D1718" s="22"/>
      <c r="E1718" s="72"/>
      <c r="F1718" s="102"/>
      <c r="G1718" s="90"/>
      <c r="H1718" s="26"/>
      <c r="I1718" s="25"/>
      <c r="J1718" s="22"/>
      <c r="K1718" s="25"/>
      <c r="L1718" s="25"/>
      <c r="M1718" s="22"/>
    </row>
    <row r="1719" spans="1:13">
      <c r="A1719" s="14"/>
      <c r="B1719" s="67"/>
      <c r="C1719" s="15"/>
      <c r="D1719" s="22"/>
      <c r="E1719" s="71"/>
      <c r="F1719" s="102"/>
      <c r="G1719" s="90"/>
      <c r="H1719" s="26"/>
      <c r="I1719" s="25"/>
      <c r="J1719" s="22"/>
      <c r="K1719" s="25"/>
      <c r="L1719" s="25"/>
      <c r="M1719" s="22"/>
    </row>
    <row r="1720" spans="1:13">
      <c r="A1720" s="14"/>
      <c r="B1720" s="67"/>
      <c r="C1720" s="15"/>
      <c r="D1720" s="22"/>
      <c r="E1720" s="72"/>
      <c r="F1720" s="102"/>
      <c r="G1720" s="90"/>
      <c r="H1720" s="26"/>
      <c r="I1720" s="25"/>
      <c r="J1720" s="22"/>
      <c r="K1720" s="25"/>
      <c r="L1720" s="25"/>
      <c r="M1720" s="22"/>
    </row>
    <row r="1721" spans="1:13">
      <c r="A1721" s="14"/>
      <c r="B1721" s="67"/>
      <c r="C1721" s="15"/>
      <c r="D1721" s="22"/>
      <c r="E1721" s="71"/>
      <c r="F1721" s="102"/>
      <c r="G1721" s="90"/>
      <c r="H1721" s="26"/>
      <c r="I1721" s="25"/>
      <c r="J1721" s="22"/>
      <c r="K1721" s="25"/>
      <c r="L1721" s="25"/>
      <c r="M1721" s="22"/>
    </row>
    <row r="1722" spans="1:13">
      <c r="A1722" s="14"/>
      <c r="B1722" s="67"/>
      <c r="C1722" s="15"/>
      <c r="D1722" s="22"/>
      <c r="E1722" s="72"/>
      <c r="F1722" s="102"/>
      <c r="G1722" s="90"/>
      <c r="H1722" s="26"/>
      <c r="I1722" s="25"/>
      <c r="J1722" s="22"/>
      <c r="K1722" s="25"/>
      <c r="L1722" s="25"/>
      <c r="M1722" s="22"/>
    </row>
    <row r="1723" spans="1:13">
      <c r="A1723" s="14"/>
      <c r="B1723" s="67"/>
      <c r="C1723" s="15"/>
      <c r="D1723" s="22"/>
      <c r="E1723" s="71"/>
      <c r="F1723" s="102"/>
      <c r="G1723" s="90"/>
      <c r="H1723" s="26"/>
      <c r="I1723" s="25"/>
      <c r="J1723" s="22"/>
      <c r="K1723" s="25"/>
      <c r="L1723" s="25"/>
      <c r="M1723" s="22"/>
    </row>
    <row r="1724" spans="1:13">
      <c r="A1724" s="14"/>
      <c r="B1724" s="67"/>
      <c r="C1724" s="15"/>
      <c r="D1724" s="22"/>
      <c r="E1724" s="72"/>
      <c r="F1724" s="102"/>
      <c r="G1724" s="90"/>
      <c r="H1724" s="26"/>
      <c r="I1724" s="25"/>
      <c r="J1724" s="22"/>
      <c r="K1724" s="25"/>
      <c r="L1724" s="25"/>
      <c r="M1724" s="22"/>
    </row>
    <row r="1725" spans="1:13">
      <c r="A1725" s="14"/>
      <c r="B1725" s="67"/>
      <c r="C1725" s="15"/>
      <c r="D1725" s="22"/>
      <c r="E1725" s="71"/>
      <c r="F1725" s="102"/>
      <c r="G1725" s="90"/>
      <c r="H1725" s="26"/>
      <c r="I1725" s="25"/>
      <c r="J1725" s="22"/>
      <c r="K1725" s="25"/>
      <c r="L1725" s="25"/>
      <c r="M1725" s="22"/>
    </row>
    <row r="1726" spans="1:13">
      <c r="A1726" s="14"/>
      <c r="B1726" s="67"/>
      <c r="C1726" s="15"/>
      <c r="D1726" s="22"/>
      <c r="E1726" s="72"/>
      <c r="F1726" s="102"/>
      <c r="G1726" s="90"/>
      <c r="H1726" s="26"/>
      <c r="I1726" s="25"/>
      <c r="J1726" s="22"/>
      <c r="K1726" s="25"/>
      <c r="L1726" s="25"/>
      <c r="M1726" s="22"/>
    </row>
    <row r="1727" spans="1:13">
      <c r="A1727" s="14"/>
      <c r="B1727" s="67"/>
      <c r="C1727" s="15"/>
      <c r="D1727" s="22"/>
      <c r="E1727" s="71"/>
      <c r="F1727" s="102"/>
      <c r="G1727" s="90"/>
      <c r="H1727" s="26"/>
      <c r="I1727" s="25"/>
      <c r="J1727" s="22"/>
      <c r="K1727" s="25"/>
      <c r="L1727" s="25"/>
      <c r="M1727" s="22"/>
    </row>
    <row r="1728" spans="1:13">
      <c r="A1728" s="14"/>
      <c r="B1728" s="67"/>
      <c r="C1728" s="15"/>
      <c r="D1728" s="22"/>
      <c r="E1728" s="72"/>
      <c r="F1728" s="102"/>
      <c r="G1728" s="90"/>
      <c r="H1728" s="26"/>
      <c r="I1728" s="25"/>
      <c r="J1728" s="22"/>
      <c r="K1728" s="25"/>
      <c r="L1728" s="25"/>
      <c r="M1728" s="22"/>
    </row>
    <row r="1729" spans="1:13">
      <c r="A1729" s="14"/>
      <c r="B1729" s="67"/>
      <c r="C1729" s="15"/>
      <c r="D1729" s="22"/>
      <c r="E1729" s="71"/>
      <c r="F1729" s="102"/>
      <c r="G1729" s="90"/>
      <c r="H1729" s="26"/>
      <c r="I1729" s="25"/>
      <c r="J1729" s="22"/>
      <c r="K1729" s="25"/>
      <c r="L1729" s="25"/>
      <c r="M1729" s="22"/>
    </row>
    <row r="1730" spans="1:13">
      <c r="A1730" s="14"/>
      <c r="B1730" s="67"/>
      <c r="C1730" s="15"/>
      <c r="D1730" s="22"/>
      <c r="E1730" s="72"/>
      <c r="F1730" s="102"/>
      <c r="G1730" s="90"/>
      <c r="H1730" s="26"/>
      <c r="I1730" s="25"/>
      <c r="J1730" s="22"/>
      <c r="K1730" s="25"/>
      <c r="L1730" s="25"/>
      <c r="M1730" s="22"/>
    </row>
    <row r="1731" spans="1:13">
      <c r="A1731" s="14"/>
      <c r="B1731" s="67"/>
      <c r="C1731" s="15"/>
      <c r="D1731" s="22"/>
      <c r="E1731" s="71"/>
      <c r="F1731" s="102"/>
      <c r="G1731" s="90"/>
      <c r="H1731" s="26"/>
      <c r="I1731" s="25"/>
      <c r="J1731" s="22"/>
      <c r="K1731" s="25"/>
      <c r="L1731" s="25"/>
      <c r="M1731" s="22"/>
    </row>
    <row r="1732" spans="1:13">
      <c r="A1732" s="14"/>
      <c r="B1732" s="67"/>
      <c r="C1732" s="15"/>
      <c r="D1732" s="22"/>
      <c r="E1732" s="72"/>
      <c r="F1732" s="102"/>
      <c r="G1732" s="90"/>
      <c r="H1732" s="26"/>
      <c r="I1732" s="25"/>
      <c r="J1732" s="22"/>
      <c r="K1732" s="25"/>
      <c r="L1732" s="25"/>
      <c r="M1732" s="22"/>
    </row>
    <row r="1733" spans="1:13">
      <c r="A1733" s="14"/>
      <c r="B1733" s="67"/>
      <c r="C1733" s="15"/>
      <c r="D1733" s="22"/>
      <c r="E1733" s="71"/>
      <c r="F1733" s="102"/>
      <c r="G1733" s="90"/>
      <c r="H1733" s="26"/>
      <c r="I1733" s="25"/>
      <c r="J1733" s="22"/>
      <c r="K1733" s="25"/>
      <c r="L1733" s="25"/>
      <c r="M1733" s="22"/>
    </row>
    <row r="1734" spans="1:13">
      <c r="A1734" s="14"/>
      <c r="B1734" s="67"/>
      <c r="C1734" s="15"/>
      <c r="D1734" s="22"/>
      <c r="E1734" s="72"/>
      <c r="F1734" s="102"/>
      <c r="G1734" s="90"/>
      <c r="H1734" s="26"/>
      <c r="I1734" s="25"/>
      <c r="J1734" s="22"/>
      <c r="K1734" s="25"/>
      <c r="L1734" s="25"/>
      <c r="M1734" s="22"/>
    </row>
    <row r="1735" spans="1:13">
      <c r="A1735" s="14"/>
      <c r="B1735" s="67"/>
      <c r="C1735" s="15"/>
      <c r="D1735" s="22"/>
      <c r="E1735" s="71"/>
      <c r="F1735" s="102"/>
      <c r="G1735" s="90"/>
      <c r="H1735" s="26"/>
      <c r="I1735" s="25"/>
      <c r="J1735" s="22"/>
      <c r="K1735" s="25"/>
      <c r="L1735" s="25"/>
      <c r="M1735" s="22"/>
    </row>
    <row r="1736" spans="1:13">
      <c r="A1736" s="14"/>
      <c r="B1736" s="67"/>
      <c r="C1736" s="15"/>
      <c r="D1736" s="22"/>
      <c r="E1736" s="72"/>
      <c r="F1736" s="102"/>
      <c r="G1736" s="90"/>
      <c r="H1736" s="26"/>
      <c r="I1736" s="25"/>
      <c r="J1736" s="22"/>
      <c r="K1736" s="25"/>
      <c r="L1736" s="25"/>
      <c r="M1736" s="22"/>
    </row>
    <row r="1737" spans="1:13">
      <c r="A1737" s="14"/>
      <c r="B1737" s="67"/>
      <c r="C1737" s="15"/>
      <c r="D1737" s="22"/>
      <c r="E1737" s="71"/>
      <c r="F1737" s="102"/>
      <c r="G1737" s="90"/>
      <c r="H1737" s="26"/>
      <c r="I1737" s="25"/>
      <c r="J1737" s="22"/>
      <c r="K1737" s="25"/>
      <c r="L1737" s="25"/>
      <c r="M1737" s="22"/>
    </row>
    <row r="1738" spans="1:13">
      <c r="A1738" s="14"/>
      <c r="B1738" s="67"/>
      <c r="C1738" s="15"/>
      <c r="D1738" s="22"/>
      <c r="E1738" s="72"/>
      <c r="F1738" s="102"/>
      <c r="G1738" s="90"/>
      <c r="H1738" s="26"/>
      <c r="I1738" s="25"/>
      <c r="J1738" s="22"/>
      <c r="K1738" s="25"/>
      <c r="L1738" s="25"/>
      <c r="M1738" s="22"/>
    </row>
    <row r="1739" spans="1:13">
      <c r="A1739" s="14"/>
      <c r="B1739" s="67"/>
      <c r="C1739" s="15"/>
      <c r="D1739" s="22"/>
      <c r="E1739" s="71"/>
      <c r="F1739" s="102"/>
      <c r="G1739" s="90"/>
      <c r="H1739" s="26"/>
      <c r="I1739" s="25"/>
      <c r="J1739" s="22"/>
      <c r="K1739" s="25"/>
      <c r="L1739" s="25"/>
      <c r="M1739" s="22"/>
    </row>
    <row r="1740" spans="1:13">
      <c r="A1740" s="14"/>
      <c r="B1740" s="67"/>
      <c r="C1740" s="15"/>
      <c r="D1740" s="22"/>
      <c r="E1740" s="72"/>
      <c r="F1740" s="102"/>
      <c r="G1740" s="90"/>
      <c r="H1740" s="26"/>
      <c r="I1740" s="25"/>
      <c r="J1740" s="22"/>
      <c r="K1740" s="25"/>
      <c r="L1740" s="25"/>
      <c r="M1740" s="22"/>
    </row>
    <row r="1741" spans="1:13">
      <c r="A1741" s="14"/>
      <c r="B1741" s="67"/>
      <c r="C1741" s="15"/>
      <c r="D1741" s="22"/>
      <c r="E1741" s="71"/>
      <c r="F1741" s="102"/>
      <c r="G1741" s="90"/>
      <c r="H1741" s="26"/>
      <c r="I1741" s="25"/>
      <c r="J1741" s="22"/>
      <c r="K1741" s="25"/>
      <c r="L1741" s="25"/>
      <c r="M1741" s="22"/>
    </row>
    <row r="1742" spans="1:13">
      <c r="A1742" s="14"/>
      <c r="B1742" s="67"/>
      <c r="C1742" s="15"/>
      <c r="D1742" s="22"/>
      <c r="E1742" s="72"/>
      <c r="F1742" s="102"/>
      <c r="G1742" s="90"/>
      <c r="H1742" s="26"/>
      <c r="I1742" s="25"/>
      <c r="J1742" s="22"/>
      <c r="K1742" s="25"/>
      <c r="L1742" s="25"/>
      <c r="M1742" s="22"/>
    </row>
    <row r="1743" spans="1:13">
      <c r="A1743" s="14"/>
      <c r="B1743" s="67"/>
      <c r="C1743" s="15"/>
      <c r="D1743" s="22"/>
      <c r="E1743" s="71"/>
      <c r="F1743" s="102"/>
      <c r="G1743" s="90"/>
      <c r="H1743" s="26"/>
      <c r="I1743" s="25"/>
      <c r="J1743" s="22"/>
      <c r="K1743" s="25"/>
      <c r="L1743" s="25"/>
      <c r="M1743" s="22"/>
    </row>
    <row r="1744" spans="1:13">
      <c r="A1744" s="14"/>
      <c r="B1744" s="67"/>
      <c r="C1744" s="15"/>
      <c r="D1744" s="22"/>
      <c r="E1744" s="72"/>
      <c r="F1744" s="102"/>
      <c r="G1744" s="90"/>
      <c r="H1744" s="26"/>
      <c r="I1744" s="25"/>
      <c r="J1744" s="22"/>
      <c r="K1744" s="25"/>
      <c r="L1744" s="25"/>
      <c r="M1744" s="22"/>
    </row>
    <row r="1745" spans="1:13">
      <c r="A1745" s="14"/>
      <c r="B1745" s="67"/>
      <c r="C1745" s="15"/>
      <c r="D1745" s="22"/>
      <c r="E1745" s="71"/>
      <c r="F1745" s="102"/>
      <c r="G1745" s="90"/>
      <c r="H1745" s="26"/>
      <c r="I1745" s="25"/>
      <c r="J1745" s="22"/>
      <c r="K1745" s="25"/>
      <c r="L1745" s="25"/>
      <c r="M1745" s="22"/>
    </row>
    <row r="1746" spans="1:13">
      <c r="A1746" s="14"/>
      <c r="B1746" s="67"/>
      <c r="C1746" s="15"/>
      <c r="D1746" s="22"/>
      <c r="E1746" s="72"/>
      <c r="F1746" s="102"/>
      <c r="G1746" s="90"/>
      <c r="H1746" s="26"/>
      <c r="I1746" s="25"/>
      <c r="J1746" s="22"/>
      <c r="K1746" s="25"/>
      <c r="L1746" s="25"/>
      <c r="M1746" s="22"/>
    </row>
    <row r="1747" spans="1:13">
      <c r="A1747" s="14"/>
      <c r="B1747" s="67"/>
      <c r="C1747" s="15"/>
      <c r="D1747" s="22"/>
      <c r="E1747" s="71"/>
      <c r="F1747" s="102"/>
      <c r="G1747" s="90"/>
      <c r="H1747" s="26"/>
      <c r="I1747" s="25"/>
      <c r="J1747" s="22"/>
      <c r="K1747" s="25"/>
      <c r="L1747" s="25"/>
      <c r="M1747" s="22"/>
    </row>
    <row r="1748" spans="1:13">
      <c r="A1748" s="14"/>
      <c r="B1748" s="67"/>
      <c r="C1748" s="15"/>
      <c r="D1748" s="22"/>
      <c r="E1748" s="72"/>
      <c r="F1748" s="102"/>
      <c r="G1748" s="90"/>
      <c r="H1748" s="26"/>
      <c r="I1748" s="25"/>
      <c r="J1748" s="22"/>
      <c r="K1748" s="25"/>
      <c r="L1748" s="25"/>
      <c r="M1748" s="22"/>
    </row>
    <row r="1749" spans="1:13">
      <c r="A1749" s="14"/>
      <c r="B1749" s="67"/>
      <c r="C1749" s="15"/>
      <c r="D1749" s="22"/>
      <c r="E1749" s="71"/>
      <c r="F1749" s="102"/>
      <c r="G1749" s="90"/>
      <c r="H1749" s="26"/>
      <c r="I1749" s="25"/>
      <c r="J1749" s="22"/>
      <c r="K1749" s="25"/>
      <c r="L1749" s="25"/>
      <c r="M1749" s="22"/>
    </row>
    <row r="1750" spans="1:13">
      <c r="A1750" s="14"/>
      <c r="B1750" s="67"/>
      <c r="C1750" s="15"/>
      <c r="D1750" s="22"/>
      <c r="E1750" s="72"/>
      <c r="F1750" s="102"/>
      <c r="G1750" s="90"/>
      <c r="H1750" s="26"/>
      <c r="I1750" s="25"/>
      <c r="J1750" s="22"/>
      <c r="K1750" s="25"/>
      <c r="L1750" s="25"/>
      <c r="M1750" s="22"/>
    </row>
    <row r="1751" spans="1:13">
      <c r="A1751" s="14"/>
      <c r="B1751" s="67"/>
      <c r="C1751" s="15"/>
      <c r="D1751" s="22"/>
      <c r="E1751" s="71"/>
      <c r="F1751" s="102"/>
      <c r="G1751" s="90"/>
      <c r="H1751" s="26"/>
      <c r="I1751" s="25"/>
      <c r="J1751" s="22"/>
      <c r="K1751" s="25"/>
      <c r="L1751" s="25"/>
      <c r="M1751" s="22"/>
    </row>
    <row r="1752" spans="1:13">
      <c r="A1752" s="14"/>
      <c r="B1752" s="67"/>
      <c r="C1752" s="15"/>
      <c r="D1752" s="22"/>
      <c r="E1752" s="72"/>
      <c r="F1752" s="102"/>
      <c r="G1752" s="90"/>
      <c r="H1752" s="26"/>
      <c r="I1752" s="25"/>
      <c r="J1752" s="22"/>
      <c r="K1752" s="25"/>
      <c r="L1752" s="25"/>
      <c r="M1752" s="22"/>
    </row>
    <row r="1753" spans="1:13">
      <c r="A1753" s="14"/>
      <c r="B1753" s="67"/>
      <c r="C1753" s="15"/>
      <c r="D1753" s="22"/>
      <c r="E1753" s="71"/>
      <c r="F1753" s="102"/>
      <c r="G1753" s="90"/>
      <c r="H1753" s="26"/>
      <c r="I1753" s="25"/>
      <c r="J1753" s="22"/>
      <c r="K1753" s="25"/>
      <c r="L1753" s="25"/>
      <c r="M1753" s="22"/>
    </row>
    <row r="1754" spans="1:13">
      <c r="A1754" s="14"/>
      <c r="B1754" s="67"/>
      <c r="C1754" s="15"/>
      <c r="D1754" s="22"/>
      <c r="E1754" s="72"/>
      <c r="F1754" s="102"/>
      <c r="G1754" s="90"/>
      <c r="H1754" s="26"/>
      <c r="I1754" s="25"/>
      <c r="J1754" s="22"/>
      <c r="K1754" s="25"/>
      <c r="L1754" s="25"/>
      <c r="M1754" s="22"/>
    </row>
    <row r="1755" spans="1:13">
      <c r="A1755" s="14"/>
      <c r="B1755" s="67"/>
      <c r="C1755" s="15"/>
      <c r="D1755" s="22"/>
      <c r="E1755" s="71"/>
      <c r="F1755" s="102"/>
      <c r="G1755" s="90"/>
      <c r="H1755" s="26"/>
      <c r="I1755" s="25"/>
      <c r="J1755" s="22"/>
      <c r="K1755" s="25"/>
      <c r="L1755" s="25"/>
      <c r="M1755" s="22"/>
    </row>
    <row r="1756" spans="1:13">
      <c r="A1756" s="14"/>
      <c r="B1756" s="67"/>
      <c r="C1756" s="15"/>
      <c r="D1756" s="22"/>
      <c r="E1756" s="72"/>
      <c r="F1756" s="102"/>
      <c r="G1756" s="90"/>
      <c r="H1756" s="26"/>
      <c r="I1756" s="25"/>
      <c r="J1756" s="22"/>
      <c r="K1756" s="25"/>
      <c r="L1756" s="25"/>
      <c r="M1756" s="22"/>
    </row>
    <row r="1757" spans="1:13">
      <c r="A1757" s="14"/>
      <c r="B1757" s="67"/>
      <c r="C1757" s="15"/>
      <c r="D1757" s="22"/>
      <c r="E1757" s="71"/>
      <c r="F1757" s="102"/>
      <c r="G1757" s="90"/>
      <c r="H1757" s="26"/>
      <c r="I1757" s="25"/>
      <c r="J1757" s="22"/>
      <c r="K1757" s="25"/>
      <c r="L1757" s="25"/>
      <c r="M1757" s="22"/>
    </row>
    <row r="1758" spans="1:13">
      <c r="A1758" s="14"/>
      <c r="B1758" s="67"/>
      <c r="C1758" s="15"/>
      <c r="D1758" s="22"/>
      <c r="E1758" s="72"/>
      <c r="F1758" s="102"/>
      <c r="G1758" s="90"/>
      <c r="H1758" s="26"/>
      <c r="I1758" s="25"/>
      <c r="J1758" s="22"/>
      <c r="K1758" s="25"/>
      <c r="L1758" s="25"/>
      <c r="M1758" s="22"/>
    </row>
    <row r="1759" spans="1:13">
      <c r="A1759" s="14"/>
      <c r="B1759" s="67"/>
      <c r="C1759" s="15"/>
      <c r="D1759" s="22"/>
      <c r="E1759" s="71"/>
      <c r="F1759" s="102"/>
      <c r="G1759" s="90"/>
      <c r="H1759" s="26"/>
      <c r="I1759" s="25"/>
      <c r="J1759" s="22"/>
      <c r="K1759" s="25"/>
      <c r="L1759" s="25"/>
      <c r="M1759" s="22"/>
    </row>
    <row r="1760" spans="1:13">
      <c r="A1760" s="14"/>
      <c r="B1760" s="67"/>
      <c r="C1760" s="15"/>
      <c r="D1760" s="22"/>
      <c r="E1760" s="72"/>
      <c r="F1760" s="102"/>
      <c r="G1760" s="90"/>
      <c r="H1760" s="26"/>
      <c r="I1760" s="25"/>
      <c r="J1760" s="22"/>
      <c r="K1760" s="25"/>
      <c r="L1760" s="25"/>
      <c r="M1760" s="22"/>
    </row>
    <row r="1761" spans="1:13">
      <c r="A1761" s="14"/>
      <c r="B1761" s="67"/>
      <c r="C1761" s="15"/>
      <c r="D1761" s="22"/>
      <c r="E1761" s="71"/>
      <c r="F1761" s="102"/>
      <c r="G1761" s="90"/>
      <c r="H1761" s="26"/>
      <c r="I1761" s="25"/>
      <c r="J1761" s="22"/>
      <c r="K1761" s="25"/>
      <c r="L1761" s="25"/>
      <c r="M1761" s="22"/>
    </row>
    <row r="1762" spans="1:13">
      <c r="A1762" s="14"/>
      <c r="B1762" s="67"/>
      <c r="C1762" s="15"/>
      <c r="D1762" s="22"/>
      <c r="E1762" s="72"/>
      <c r="F1762" s="102"/>
      <c r="G1762" s="90"/>
      <c r="H1762" s="26"/>
      <c r="I1762" s="25"/>
      <c r="J1762" s="22"/>
      <c r="K1762" s="25"/>
      <c r="L1762" s="25"/>
      <c r="M1762" s="22"/>
    </row>
    <row r="1763" spans="1:13">
      <c r="A1763" s="14"/>
      <c r="B1763" s="67"/>
      <c r="C1763" s="15"/>
      <c r="D1763" s="22"/>
      <c r="E1763" s="71"/>
      <c r="F1763" s="102"/>
      <c r="G1763" s="90"/>
      <c r="H1763" s="26"/>
      <c r="I1763" s="25"/>
      <c r="J1763" s="22"/>
      <c r="K1763" s="25"/>
      <c r="L1763" s="25"/>
      <c r="M1763" s="22"/>
    </row>
    <row r="1764" spans="1:13">
      <c r="A1764" s="14"/>
      <c r="B1764" s="67"/>
      <c r="C1764" s="15"/>
      <c r="D1764" s="22"/>
      <c r="E1764" s="72"/>
      <c r="F1764" s="102"/>
      <c r="G1764" s="90"/>
      <c r="H1764" s="26"/>
      <c r="I1764" s="25"/>
      <c r="J1764" s="22"/>
      <c r="K1764" s="25"/>
      <c r="L1764" s="25"/>
      <c r="M1764" s="22"/>
    </row>
    <row r="1765" spans="1:13">
      <c r="A1765" s="14"/>
      <c r="B1765" s="67"/>
      <c r="C1765" s="15"/>
      <c r="D1765" s="22"/>
      <c r="E1765" s="71"/>
      <c r="F1765" s="102"/>
      <c r="G1765" s="90"/>
      <c r="H1765" s="26"/>
      <c r="I1765" s="25"/>
      <c r="J1765" s="22"/>
      <c r="K1765" s="25"/>
      <c r="L1765" s="25"/>
      <c r="M1765" s="22"/>
    </row>
    <row r="1766" spans="1:13">
      <c r="A1766" s="14"/>
      <c r="B1766" s="67"/>
      <c r="C1766" s="15"/>
      <c r="D1766" s="22"/>
      <c r="E1766" s="72"/>
      <c r="F1766" s="102"/>
      <c r="G1766" s="90"/>
      <c r="H1766" s="26"/>
      <c r="I1766" s="25"/>
      <c r="J1766" s="22"/>
      <c r="K1766" s="25"/>
      <c r="L1766" s="25"/>
      <c r="M1766" s="22"/>
    </row>
    <row r="1767" spans="1:13">
      <c r="A1767" s="14"/>
      <c r="B1767" s="67"/>
      <c r="C1767" s="15"/>
      <c r="D1767" s="22"/>
      <c r="E1767" s="71"/>
      <c r="F1767" s="102"/>
      <c r="G1767" s="90"/>
      <c r="H1767" s="26"/>
      <c r="I1767" s="25"/>
      <c r="J1767" s="22"/>
      <c r="K1767" s="25"/>
      <c r="L1767" s="25"/>
      <c r="M1767" s="22"/>
    </row>
    <row r="1768" spans="1:13">
      <c r="A1768" s="14"/>
      <c r="B1768" s="67"/>
      <c r="C1768" s="15"/>
      <c r="D1768" s="22"/>
      <c r="E1768" s="72"/>
      <c r="F1768" s="102"/>
      <c r="G1768" s="90"/>
      <c r="H1768" s="26"/>
      <c r="I1768" s="25"/>
      <c r="J1768" s="22"/>
      <c r="K1768" s="25"/>
      <c r="L1768" s="25"/>
      <c r="M1768" s="22"/>
    </row>
    <row r="1769" spans="1:13">
      <c r="A1769" s="14"/>
      <c r="B1769" s="67"/>
      <c r="C1769" s="15"/>
      <c r="D1769" s="22"/>
      <c r="E1769" s="71"/>
      <c r="F1769" s="102"/>
      <c r="G1769" s="90"/>
      <c r="H1769" s="26"/>
      <c r="I1769" s="25"/>
      <c r="J1769" s="22"/>
      <c r="K1769" s="25"/>
      <c r="L1769" s="25"/>
      <c r="M1769" s="22"/>
    </row>
    <row r="1770" spans="1:13">
      <c r="A1770" s="14"/>
      <c r="B1770" s="67"/>
      <c r="C1770" s="15"/>
      <c r="D1770" s="22"/>
      <c r="E1770" s="72"/>
      <c r="F1770" s="102"/>
      <c r="G1770" s="90"/>
      <c r="H1770" s="26"/>
      <c r="I1770" s="25"/>
      <c r="J1770" s="22"/>
      <c r="K1770" s="25"/>
      <c r="L1770" s="25"/>
      <c r="M1770" s="22"/>
    </row>
    <row r="1771" spans="1:13">
      <c r="A1771" s="14"/>
      <c r="B1771" s="67"/>
      <c r="C1771" s="15"/>
      <c r="D1771" s="22"/>
      <c r="E1771" s="71"/>
      <c r="F1771" s="102"/>
      <c r="G1771" s="90"/>
      <c r="H1771" s="26"/>
      <c r="I1771" s="25"/>
      <c r="J1771" s="22"/>
      <c r="K1771" s="25"/>
      <c r="L1771" s="25"/>
      <c r="M1771" s="22"/>
    </row>
    <row r="1772" spans="1:13">
      <c r="A1772" s="14"/>
      <c r="B1772" s="67"/>
      <c r="C1772" s="15"/>
      <c r="D1772" s="22"/>
      <c r="E1772" s="72"/>
      <c r="F1772" s="102"/>
      <c r="G1772" s="90"/>
      <c r="H1772" s="26"/>
      <c r="I1772" s="25"/>
      <c r="J1772" s="22"/>
      <c r="K1772" s="25"/>
      <c r="L1772" s="25"/>
      <c r="M1772" s="22"/>
    </row>
    <row r="1773" spans="1:13">
      <c r="A1773" s="14"/>
      <c r="B1773" s="67"/>
      <c r="C1773" s="15"/>
      <c r="D1773" s="22"/>
      <c r="E1773" s="71"/>
      <c r="F1773" s="102"/>
      <c r="G1773" s="90"/>
      <c r="H1773" s="26"/>
      <c r="I1773" s="25"/>
      <c r="J1773" s="22"/>
      <c r="K1773" s="25"/>
      <c r="L1773" s="25"/>
      <c r="M1773" s="22"/>
    </row>
    <row r="1774" spans="1:13">
      <c r="A1774" s="14"/>
      <c r="B1774" s="67"/>
      <c r="C1774" s="15"/>
      <c r="D1774" s="22"/>
      <c r="E1774" s="72"/>
      <c r="F1774" s="102"/>
      <c r="G1774" s="90"/>
      <c r="H1774" s="26"/>
      <c r="I1774" s="25"/>
      <c r="J1774" s="22"/>
      <c r="K1774" s="25"/>
      <c r="L1774" s="25"/>
      <c r="M1774" s="22"/>
    </row>
    <row r="1775" spans="1:13">
      <c r="A1775" s="14"/>
      <c r="B1775" s="67"/>
      <c r="C1775" s="15"/>
      <c r="D1775" s="22"/>
      <c r="E1775" s="71"/>
      <c r="F1775" s="102"/>
      <c r="G1775" s="90"/>
      <c r="H1775" s="26"/>
      <c r="I1775" s="25"/>
      <c r="J1775" s="22"/>
      <c r="K1775" s="25"/>
      <c r="L1775" s="25"/>
      <c r="M1775" s="22"/>
    </row>
    <row r="1776" spans="1:13">
      <c r="A1776" s="14"/>
      <c r="B1776" s="67"/>
      <c r="C1776" s="15"/>
      <c r="D1776" s="22"/>
      <c r="E1776" s="72"/>
      <c r="F1776" s="102"/>
      <c r="G1776" s="90"/>
      <c r="H1776" s="26"/>
      <c r="I1776" s="25"/>
      <c r="J1776" s="22"/>
      <c r="K1776" s="25"/>
      <c r="L1776" s="25"/>
      <c r="M1776" s="22"/>
    </row>
    <row r="1777" spans="1:13">
      <c r="A1777" s="14"/>
      <c r="B1777" s="67"/>
      <c r="C1777" s="15"/>
      <c r="D1777" s="22"/>
      <c r="E1777" s="71"/>
      <c r="F1777" s="102"/>
      <c r="G1777" s="90"/>
      <c r="H1777" s="26"/>
      <c r="I1777" s="25"/>
      <c r="J1777" s="22"/>
      <c r="K1777" s="25"/>
      <c r="L1777" s="25"/>
      <c r="M1777" s="22"/>
    </row>
    <row r="1778" spans="1:13">
      <c r="A1778" s="14"/>
      <c r="B1778" s="67"/>
      <c r="C1778" s="15"/>
      <c r="D1778" s="22"/>
      <c r="E1778" s="72"/>
      <c r="F1778" s="102"/>
      <c r="G1778" s="90"/>
      <c r="H1778" s="26"/>
      <c r="I1778" s="25"/>
      <c r="J1778" s="22"/>
      <c r="K1778" s="25"/>
      <c r="L1778" s="25"/>
      <c r="M1778" s="22"/>
    </row>
    <row r="1779" spans="1:13">
      <c r="A1779" s="14"/>
      <c r="B1779" s="67"/>
      <c r="C1779" s="15"/>
      <c r="D1779" s="22"/>
      <c r="E1779" s="71"/>
      <c r="F1779" s="102"/>
      <c r="G1779" s="90"/>
      <c r="H1779" s="26"/>
      <c r="I1779" s="25"/>
      <c r="J1779" s="22"/>
      <c r="K1779" s="25"/>
      <c r="L1779" s="25"/>
      <c r="M1779" s="22"/>
    </row>
    <row r="1780" spans="1:13">
      <c r="A1780" s="14"/>
      <c r="B1780" s="67"/>
      <c r="C1780" s="15"/>
      <c r="D1780" s="22"/>
      <c r="E1780" s="72"/>
      <c r="F1780" s="102"/>
      <c r="G1780" s="90"/>
      <c r="H1780" s="26"/>
      <c r="I1780" s="25"/>
      <c r="J1780" s="22"/>
      <c r="K1780" s="25"/>
      <c r="L1780" s="25"/>
      <c r="M1780" s="22"/>
    </row>
    <row r="1781" spans="1:13">
      <c r="A1781" s="14"/>
      <c r="B1781" s="67"/>
      <c r="C1781" s="15"/>
      <c r="D1781" s="22"/>
      <c r="E1781" s="71"/>
      <c r="F1781" s="102"/>
      <c r="G1781" s="90"/>
      <c r="H1781" s="26"/>
      <c r="I1781" s="25"/>
      <c r="J1781" s="22"/>
      <c r="K1781" s="25"/>
      <c r="L1781" s="25"/>
      <c r="M1781" s="22"/>
    </row>
    <row r="1782" spans="1:13">
      <c r="A1782" s="14"/>
      <c r="B1782" s="67"/>
      <c r="C1782" s="15"/>
      <c r="D1782" s="22"/>
      <c r="E1782" s="72"/>
      <c r="F1782" s="102"/>
      <c r="G1782" s="90"/>
      <c r="H1782" s="26"/>
      <c r="I1782" s="25"/>
      <c r="J1782" s="22"/>
      <c r="K1782" s="25"/>
      <c r="L1782" s="25"/>
      <c r="M1782" s="22"/>
    </row>
    <row r="1783" spans="1:13">
      <c r="A1783" s="14"/>
      <c r="B1783" s="67"/>
      <c r="C1783" s="15"/>
      <c r="D1783" s="22"/>
      <c r="E1783" s="71"/>
      <c r="F1783" s="102"/>
      <c r="G1783" s="90"/>
      <c r="H1783" s="26"/>
      <c r="I1783" s="25"/>
      <c r="J1783" s="22"/>
      <c r="K1783" s="25"/>
      <c r="L1783" s="25"/>
      <c r="M1783" s="22"/>
    </row>
    <row r="1784" spans="1:13">
      <c r="A1784" s="14"/>
      <c r="B1784" s="67"/>
      <c r="C1784" s="15"/>
      <c r="D1784" s="22"/>
      <c r="E1784" s="72"/>
      <c r="F1784" s="102"/>
      <c r="G1784" s="90"/>
      <c r="H1784" s="26"/>
      <c r="I1784" s="25"/>
      <c r="J1784" s="22"/>
      <c r="K1784" s="25"/>
      <c r="L1784" s="25"/>
      <c r="M1784" s="22"/>
    </row>
    <row r="1785" spans="1:13">
      <c r="A1785" s="14"/>
      <c r="B1785" s="67"/>
      <c r="C1785" s="15"/>
      <c r="D1785" s="22"/>
      <c r="E1785" s="71"/>
      <c r="F1785" s="102"/>
      <c r="G1785" s="90"/>
      <c r="H1785" s="26"/>
      <c r="I1785" s="25"/>
      <c r="J1785" s="22"/>
      <c r="K1785" s="25"/>
      <c r="L1785" s="25"/>
      <c r="M1785" s="22"/>
    </row>
    <row r="1786" spans="1:13">
      <c r="A1786" s="14"/>
      <c r="B1786" s="67"/>
      <c r="C1786" s="15"/>
      <c r="D1786" s="22"/>
      <c r="E1786" s="72"/>
      <c r="F1786" s="102"/>
      <c r="G1786" s="90"/>
      <c r="H1786" s="26"/>
      <c r="I1786" s="25"/>
      <c r="J1786" s="22"/>
      <c r="K1786" s="25"/>
      <c r="L1786" s="25"/>
      <c r="M1786" s="22"/>
    </row>
    <row r="1787" spans="1:13">
      <c r="A1787" s="14"/>
      <c r="B1787" s="67"/>
      <c r="C1787" s="15"/>
      <c r="D1787" s="22"/>
      <c r="E1787" s="71"/>
      <c r="F1787" s="102"/>
      <c r="G1787" s="90"/>
      <c r="H1787" s="26"/>
      <c r="I1787" s="25"/>
      <c r="J1787" s="22"/>
      <c r="K1787" s="25"/>
      <c r="L1787" s="25"/>
      <c r="M1787" s="22"/>
    </row>
    <row r="1788" spans="1:13">
      <c r="A1788" s="14"/>
      <c r="B1788" s="67"/>
      <c r="C1788" s="15"/>
      <c r="D1788" s="22"/>
      <c r="E1788" s="72"/>
      <c r="F1788" s="102"/>
      <c r="G1788" s="90"/>
      <c r="H1788" s="26"/>
      <c r="I1788" s="25"/>
      <c r="J1788" s="22"/>
      <c r="K1788" s="25"/>
      <c r="L1788" s="25"/>
      <c r="M1788" s="22"/>
    </row>
    <row r="1789" spans="1:13">
      <c r="A1789" s="14"/>
      <c r="B1789" s="67"/>
      <c r="C1789" s="15"/>
      <c r="D1789" s="22"/>
      <c r="E1789" s="71"/>
      <c r="F1789" s="102"/>
      <c r="G1789" s="90"/>
      <c r="H1789" s="26"/>
      <c r="I1789" s="25"/>
      <c r="J1789" s="22"/>
      <c r="K1789" s="25"/>
      <c r="L1789" s="25"/>
      <c r="M1789" s="22"/>
    </row>
    <row r="1790" spans="1:13">
      <c r="A1790" s="14"/>
      <c r="B1790" s="67"/>
      <c r="C1790" s="15"/>
      <c r="D1790" s="22"/>
      <c r="E1790" s="72"/>
      <c r="F1790" s="102"/>
      <c r="G1790" s="90"/>
      <c r="H1790" s="26"/>
      <c r="I1790" s="25"/>
      <c r="J1790" s="22"/>
      <c r="K1790" s="25"/>
      <c r="L1790" s="25"/>
      <c r="M1790" s="22"/>
    </row>
    <row r="1791" spans="1:13">
      <c r="A1791" s="14"/>
      <c r="B1791" s="67"/>
      <c r="C1791" s="15"/>
      <c r="D1791" s="22"/>
      <c r="E1791" s="71"/>
      <c r="F1791" s="102"/>
      <c r="G1791" s="90"/>
      <c r="H1791" s="26"/>
      <c r="I1791" s="25"/>
      <c r="J1791" s="22"/>
      <c r="K1791" s="25"/>
      <c r="L1791" s="25"/>
      <c r="M1791" s="22"/>
    </row>
    <row r="1792" spans="1:13">
      <c r="A1792" s="14"/>
      <c r="B1792" s="67"/>
      <c r="C1792" s="15"/>
      <c r="D1792" s="22"/>
      <c r="E1792" s="72"/>
      <c r="F1792" s="102"/>
      <c r="G1792" s="90"/>
      <c r="H1792" s="26"/>
      <c r="I1792" s="25"/>
      <c r="J1792" s="22"/>
      <c r="K1792" s="25"/>
      <c r="L1792" s="25"/>
      <c r="M1792" s="22"/>
    </row>
    <row r="1793" spans="1:13">
      <c r="A1793" s="14"/>
      <c r="B1793" s="67"/>
      <c r="C1793" s="15"/>
      <c r="D1793" s="22"/>
      <c r="E1793" s="71"/>
      <c r="F1793" s="102"/>
      <c r="G1793" s="90"/>
      <c r="H1793" s="26"/>
      <c r="I1793" s="25"/>
      <c r="J1793" s="22"/>
      <c r="K1793" s="25"/>
      <c r="L1793" s="25"/>
      <c r="M1793" s="22"/>
    </row>
    <row r="1794" spans="1:13">
      <c r="A1794" s="14"/>
      <c r="B1794" s="67"/>
      <c r="C1794" s="15"/>
      <c r="D1794" s="22"/>
      <c r="E1794" s="72"/>
      <c r="F1794" s="102"/>
      <c r="G1794" s="90"/>
      <c r="H1794" s="26"/>
      <c r="I1794" s="25"/>
      <c r="J1794" s="22"/>
      <c r="K1794" s="25"/>
      <c r="L1794" s="25"/>
      <c r="M1794" s="22"/>
    </row>
    <row r="1795" spans="1:13">
      <c r="A1795" s="14"/>
      <c r="B1795" s="67"/>
      <c r="C1795" s="15"/>
      <c r="D1795" s="22"/>
      <c r="E1795" s="71"/>
      <c r="F1795" s="102"/>
      <c r="G1795" s="90"/>
      <c r="H1795" s="26"/>
      <c r="I1795" s="25"/>
      <c r="J1795" s="22"/>
      <c r="K1795" s="25"/>
      <c r="L1795" s="25"/>
      <c r="M1795" s="22"/>
    </row>
    <row r="1796" spans="1:13">
      <c r="A1796" s="14"/>
      <c r="B1796" s="67"/>
      <c r="C1796" s="15"/>
      <c r="D1796" s="22"/>
      <c r="E1796" s="72"/>
      <c r="F1796" s="102"/>
      <c r="G1796" s="90"/>
      <c r="H1796" s="26"/>
      <c r="I1796" s="25"/>
      <c r="J1796" s="22"/>
      <c r="K1796" s="25"/>
      <c r="L1796" s="25"/>
      <c r="M1796" s="22"/>
    </row>
    <row r="1797" spans="1:13">
      <c r="A1797" s="14"/>
      <c r="B1797" s="67"/>
      <c r="C1797" s="15"/>
      <c r="D1797" s="22"/>
      <c r="E1797" s="71"/>
      <c r="F1797" s="102"/>
      <c r="G1797" s="90"/>
      <c r="H1797" s="26"/>
      <c r="I1797" s="25"/>
      <c r="J1797" s="22"/>
      <c r="K1797" s="25"/>
      <c r="L1797" s="25"/>
      <c r="M1797" s="22"/>
    </row>
    <row r="1798" spans="1:13">
      <c r="A1798" s="14"/>
      <c r="B1798" s="67"/>
      <c r="C1798" s="15"/>
      <c r="D1798" s="22"/>
      <c r="E1798" s="72"/>
      <c r="F1798" s="102"/>
      <c r="G1798" s="90"/>
      <c r="H1798" s="26"/>
      <c r="I1798" s="25"/>
      <c r="J1798" s="22"/>
      <c r="K1798" s="25"/>
      <c r="L1798" s="25"/>
      <c r="M1798" s="22"/>
    </row>
    <row r="1799" spans="1:13">
      <c r="A1799" s="14"/>
      <c r="B1799" s="67"/>
      <c r="C1799" s="15"/>
      <c r="D1799" s="22"/>
      <c r="E1799" s="71"/>
      <c r="F1799" s="102"/>
      <c r="G1799" s="90"/>
      <c r="H1799" s="26"/>
      <c r="I1799" s="25"/>
      <c r="J1799" s="22"/>
      <c r="K1799" s="25"/>
      <c r="L1799" s="25"/>
      <c r="M1799" s="22"/>
    </row>
    <row r="1800" spans="1:13">
      <c r="A1800" s="14"/>
      <c r="B1800" s="67"/>
      <c r="C1800" s="15"/>
      <c r="D1800" s="22"/>
      <c r="E1800" s="72"/>
      <c r="F1800" s="102"/>
      <c r="G1800" s="90"/>
      <c r="H1800" s="26"/>
      <c r="I1800" s="25"/>
      <c r="J1800" s="22"/>
      <c r="K1800" s="25"/>
      <c r="L1800" s="25"/>
      <c r="M1800" s="22"/>
    </row>
    <row r="1801" spans="1:13">
      <c r="A1801" s="14"/>
      <c r="B1801" s="67"/>
      <c r="C1801" s="15"/>
      <c r="D1801" s="22"/>
      <c r="E1801" s="71"/>
      <c r="F1801" s="102"/>
      <c r="G1801" s="90"/>
      <c r="H1801" s="26"/>
      <c r="I1801" s="25"/>
      <c r="J1801" s="22"/>
      <c r="K1801" s="25"/>
      <c r="L1801" s="25"/>
      <c r="M1801" s="22"/>
    </row>
    <row r="1802" spans="1:13">
      <c r="A1802" s="14"/>
      <c r="B1802" s="67"/>
      <c r="C1802" s="15"/>
      <c r="D1802" s="22"/>
      <c r="E1802" s="72"/>
      <c r="F1802" s="102"/>
      <c r="G1802" s="90"/>
      <c r="H1802" s="26"/>
      <c r="I1802" s="25"/>
      <c r="J1802" s="22"/>
      <c r="K1802" s="25"/>
      <c r="L1802" s="25"/>
      <c r="M1802" s="22"/>
    </row>
    <row r="1803" spans="1:13">
      <c r="A1803" s="14"/>
      <c r="B1803" s="67"/>
      <c r="C1803" s="15"/>
      <c r="D1803" s="22"/>
      <c r="E1803" s="71"/>
      <c r="F1803" s="102"/>
      <c r="G1803" s="90"/>
      <c r="H1803" s="26"/>
      <c r="I1803" s="25"/>
      <c r="J1803" s="22"/>
      <c r="K1803" s="25"/>
      <c r="L1803" s="25"/>
      <c r="M1803" s="22"/>
    </row>
    <row r="1804" spans="1:13">
      <c r="A1804" s="14"/>
      <c r="B1804" s="67"/>
      <c r="C1804" s="15"/>
      <c r="D1804" s="22"/>
      <c r="E1804" s="72"/>
      <c r="F1804" s="102"/>
      <c r="G1804" s="90"/>
      <c r="H1804" s="26"/>
      <c r="I1804" s="25"/>
      <c r="J1804" s="22"/>
      <c r="K1804" s="25"/>
      <c r="L1804" s="25"/>
      <c r="M1804" s="22"/>
    </row>
    <row r="1805" spans="1:13">
      <c r="A1805" s="14"/>
      <c r="B1805" s="67"/>
      <c r="C1805" s="15"/>
      <c r="D1805" s="22"/>
      <c r="E1805" s="71"/>
      <c r="F1805" s="102"/>
      <c r="G1805" s="90"/>
      <c r="H1805" s="26"/>
      <c r="I1805" s="25"/>
      <c r="J1805" s="22"/>
      <c r="K1805" s="25"/>
      <c r="L1805" s="25"/>
      <c r="M1805" s="22"/>
    </row>
    <row r="1806" spans="1:13">
      <c r="A1806" s="14"/>
      <c r="B1806" s="67"/>
      <c r="C1806" s="15"/>
      <c r="D1806" s="22"/>
      <c r="E1806" s="72"/>
      <c r="F1806" s="102"/>
      <c r="G1806" s="90"/>
      <c r="H1806" s="26"/>
      <c r="I1806" s="25"/>
      <c r="J1806" s="22"/>
      <c r="K1806" s="25"/>
      <c r="L1806" s="25"/>
      <c r="M1806" s="22"/>
    </row>
    <row r="1807" spans="1:13">
      <c r="A1807" s="14"/>
      <c r="B1807" s="67"/>
      <c r="C1807" s="15"/>
      <c r="D1807" s="22"/>
      <c r="E1807" s="71"/>
      <c r="F1807" s="102"/>
      <c r="G1807" s="90"/>
      <c r="H1807" s="26"/>
      <c r="I1807" s="25"/>
      <c r="J1807" s="22"/>
      <c r="K1807" s="25"/>
      <c r="L1807" s="25"/>
      <c r="M1807" s="22"/>
    </row>
    <row r="1808" spans="1:13">
      <c r="A1808" s="14"/>
      <c r="B1808" s="67"/>
      <c r="C1808" s="15"/>
      <c r="D1808" s="22"/>
      <c r="E1808" s="72"/>
      <c r="F1808" s="102"/>
      <c r="G1808" s="90"/>
      <c r="H1808" s="26"/>
      <c r="I1808" s="25"/>
      <c r="J1808" s="22"/>
      <c r="K1808" s="25"/>
      <c r="L1808" s="25"/>
      <c r="M1808" s="22"/>
    </row>
    <row r="1809" spans="1:13">
      <c r="A1809" s="14"/>
      <c r="B1809" s="67"/>
      <c r="C1809" s="15"/>
      <c r="D1809" s="22"/>
      <c r="E1809" s="71"/>
      <c r="F1809" s="102"/>
      <c r="G1809" s="90"/>
      <c r="H1809" s="26"/>
      <c r="I1809" s="25"/>
      <c r="J1809" s="22"/>
      <c r="K1809" s="25"/>
      <c r="L1809" s="25"/>
      <c r="M1809" s="22"/>
    </row>
    <row r="1810" spans="1:13">
      <c r="A1810" s="14"/>
      <c r="B1810" s="67"/>
      <c r="C1810" s="15"/>
      <c r="D1810" s="22"/>
      <c r="E1810" s="72"/>
      <c r="F1810" s="102"/>
      <c r="G1810" s="90"/>
      <c r="H1810" s="26"/>
      <c r="I1810" s="25"/>
      <c r="J1810" s="22"/>
      <c r="K1810" s="25"/>
      <c r="L1810" s="25"/>
      <c r="M1810" s="22"/>
    </row>
    <row r="1811" spans="1:13">
      <c r="A1811" s="14"/>
      <c r="B1811" s="67"/>
      <c r="C1811" s="15"/>
      <c r="D1811" s="22"/>
      <c r="E1811" s="71"/>
      <c r="F1811" s="102"/>
      <c r="G1811" s="90"/>
      <c r="H1811" s="26"/>
      <c r="I1811" s="25"/>
      <c r="J1811" s="22"/>
      <c r="K1811" s="25"/>
      <c r="L1811" s="25"/>
      <c r="M1811" s="22"/>
    </row>
    <row r="1812" spans="1:13">
      <c r="A1812" s="14"/>
      <c r="B1812" s="67"/>
      <c r="C1812" s="15"/>
      <c r="D1812" s="22"/>
      <c r="E1812" s="72"/>
      <c r="F1812" s="102"/>
      <c r="G1812" s="90"/>
      <c r="H1812" s="26"/>
      <c r="I1812" s="25"/>
      <c r="J1812" s="22"/>
      <c r="K1812" s="25"/>
      <c r="L1812" s="25"/>
      <c r="M1812" s="22"/>
    </row>
    <row r="1813" spans="1:13">
      <c r="A1813" s="14"/>
      <c r="B1813" s="67"/>
      <c r="C1813" s="15"/>
      <c r="D1813" s="22"/>
      <c r="E1813" s="71"/>
      <c r="F1813" s="102"/>
      <c r="G1813" s="90"/>
      <c r="H1813" s="26"/>
      <c r="I1813" s="25"/>
      <c r="J1813" s="22"/>
      <c r="K1813" s="25"/>
      <c r="L1813" s="25"/>
      <c r="M1813" s="22"/>
    </row>
    <row r="1814" spans="1:13">
      <c r="A1814" s="14"/>
      <c r="B1814" s="67"/>
      <c r="C1814" s="15"/>
      <c r="D1814" s="22"/>
      <c r="E1814" s="72"/>
      <c r="F1814" s="102"/>
      <c r="G1814" s="90"/>
      <c r="H1814" s="26"/>
      <c r="I1814" s="25"/>
      <c r="J1814" s="22"/>
      <c r="K1814" s="25"/>
      <c r="L1814" s="25"/>
      <c r="M1814" s="22"/>
    </row>
    <row r="1815" spans="1:13">
      <c r="A1815" s="14"/>
      <c r="B1815" s="67"/>
      <c r="C1815" s="15"/>
      <c r="D1815" s="22"/>
      <c r="E1815" s="71"/>
      <c r="F1815" s="102"/>
      <c r="G1815" s="90"/>
      <c r="H1815" s="26"/>
      <c r="I1815" s="25"/>
      <c r="J1815" s="22"/>
      <c r="K1815" s="25"/>
      <c r="L1815" s="25"/>
      <c r="M1815" s="22"/>
    </row>
    <row r="1816" spans="1:13">
      <c r="A1816" s="14"/>
      <c r="B1816" s="67"/>
      <c r="C1816" s="15"/>
      <c r="D1816" s="22"/>
      <c r="E1816" s="72"/>
      <c r="F1816" s="102"/>
      <c r="G1816" s="90"/>
      <c r="H1816" s="26"/>
      <c r="I1816" s="25"/>
      <c r="J1816" s="22"/>
      <c r="K1816" s="25"/>
      <c r="L1816" s="25"/>
      <c r="M1816" s="22"/>
    </row>
    <row r="1817" spans="1:13">
      <c r="A1817" s="14"/>
      <c r="B1817" s="67"/>
      <c r="C1817" s="15"/>
      <c r="D1817" s="22"/>
      <c r="E1817" s="71"/>
      <c r="F1817" s="102"/>
      <c r="G1817" s="90"/>
      <c r="H1817" s="26"/>
      <c r="I1817" s="25"/>
      <c r="J1817" s="22"/>
      <c r="K1817" s="25"/>
      <c r="L1817" s="25"/>
      <c r="M1817" s="22"/>
    </row>
    <row r="1818" spans="1:13">
      <c r="A1818" s="14"/>
      <c r="B1818" s="67"/>
      <c r="C1818" s="15"/>
      <c r="D1818" s="22"/>
      <c r="E1818" s="72"/>
      <c r="F1818" s="102"/>
      <c r="G1818" s="90"/>
      <c r="H1818" s="26"/>
      <c r="I1818" s="25"/>
      <c r="J1818" s="22"/>
      <c r="K1818" s="25"/>
      <c r="L1818" s="25"/>
      <c r="M1818" s="22"/>
    </row>
    <row r="1819" spans="1:13">
      <c r="A1819" s="14"/>
      <c r="B1819" s="67"/>
      <c r="C1819" s="15"/>
      <c r="D1819" s="22"/>
      <c r="E1819" s="71"/>
      <c r="F1819" s="102"/>
      <c r="G1819" s="90"/>
      <c r="H1819" s="26"/>
      <c r="I1819" s="25"/>
      <c r="J1819" s="22"/>
      <c r="K1819" s="25"/>
      <c r="L1819" s="25"/>
      <c r="M1819" s="22"/>
    </row>
    <row r="1820" spans="1:13">
      <c r="A1820" s="14"/>
      <c r="B1820" s="67"/>
      <c r="C1820" s="15"/>
      <c r="D1820" s="22"/>
      <c r="E1820" s="72"/>
      <c r="F1820" s="102"/>
      <c r="G1820" s="90"/>
      <c r="H1820" s="26"/>
      <c r="I1820" s="25"/>
      <c r="J1820" s="22"/>
      <c r="K1820" s="25"/>
      <c r="L1820" s="25"/>
      <c r="M1820" s="22"/>
    </row>
    <row r="1821" spans="1:13">
      <c r="A1821" s="14"/>
      <c r="B1821" s="67"/>
      <c r="C1821" s="15"/>
      <c r="D1821" s="22"/>
      <c r="E1821" s="71"/>
      <c r="F1821" s="102"/>
      <c r="G1821" s="90"/>
      <c r="H1821" s="26"/>
      <c r="I1821" s="25"/>
      <c r="J1821" s="22"/>
      <c r="K1821" s="25"/>
      <c r="L1821" s="25"/>
      <c r="M1821" s="22"/>
    </row>
    <row r="1822" spans="1:13">
      <c r="A1822" s="14"/>
      <c r="B1822" s="67"/>
      <c r="C1822" s="15"/>
      <c r="D1822" s="22"/>
      <c r="E1822" s="72"/>
      <c r="F1822" s="102"/>
      <c r="G1822" s="90"/>
      <c r="H1822" s="26"/>
      <c r="I1822" s="25"/>
      <c r="J1822" s="22"/>
      <c r="K1822" s="25"/>
      <c r="L1822" s="25"/>
      <c r="M1822" s="22"/>
    </row>
    <row r="1823" spans="1:13">
      <c r="A1823" s="14"/>
      <c r="B1823" s="67"/>
      <c r="C1823" s="15"/>
      <c r="D1823" s="22"/>
      <c r="E1823" s="71"/>
      <c r="F1823" s="102"/>
      <c r="G1823" s="90"/>
      <c r="H1823" s="26"/>
      <c r="I1823" s="25"/>
      <c r="J1823" s="22"/>
      <c r="K1823" s="25"/>
      <c r="L1823" s="25"/>
      <c r="M1823" s="22"/>
    </row>
    <row r="1824" spans="1:13">
      <c r="A1824" s="14"/>
      <c r="B1824" s="67"/>
      <c r="C1824" s="15"/>
      <c r="D1824" s="22"/>
      <c r="E1824" s="72"/>
      <c r="F1824" s="102"/>
      <c r="G1824" s="90"/>
      <c r="H1824" s="26"/>
      <c r="I1824" s="25"/>
      <c r="J1824" s="22"/>
      <c r="K1824" s="25"/>
      <c r="L1824" s="25"/>
      <c r="M1824" s="22"/>
    </row>
    <row r="1825" spans="1:13">
      <c r="A1825" s="14"/>
      <c r="B1825" s="67"/>
      <c r="C1825" s="15"/>
      <c r="D1825" s="22"/>
      <c r="E1825" s="71"/>
      <c r="F1825" s="102"/>
      <c r="G1825" s="90"/>
      <c r="H1825" s="26"/>
      <c r="I1825" s="25"/>
      <c r="J1825" s="22"/>
      <c r="K1825" s="25"/>
      <c r="L1825" s="25"/>
      <c r="M1825" s="22"/>
    </row>
    <row r="1826" spans="1:13">
      <c r="A1826" s="14"/>
      <c r="B1826" s="67"/>
      <c r="C1826" s="15"/>
      <c r="D1826" s="22"/>
      <c r="E1826" s="72"/>
      <c r="F1826" s="102"/>
      <c r="G1826" s="90"/>
      <c r="H1826" s="26"/>
      <c r="I1826" s="25"/>
      <c r="J1826" s="22"/>
      <c r="K1826" s="25"/>
      <c r="L1826" s="25"/>
      <c r="M1826" s="22"/>
    </row>
    <row r="1827" spans="1:13">
      <c r="A1827" s="14"/>
      <c r="B1827" s="67"/>
      <c r="C1827" s="15"/>
      <c r="D1827" s="22"/>
      <c r="E1827" s="71"/>
      <c r="F1827" s="102"/>
      <c r="G1827" s="90"/>
      <c r="H1827" s="26"/>
      <c r="I1827" s="25"/>
      <c r="J1827" s="22"/>
      <c r="K1827" s="25"/>
      <c r="L1827" s="25"/>
      <c r="M1827" s="22"/>
    </row>
    <row r="1828" spans="1:13">
      <c r="A1828" s="14"/>
      <c r="B1828" s="67"/>
      <c r="C1828" s="15"/>
      <c r="D1828" s="22"/>
      <c r="E1828" s="72"/>
      <c r="F1828" s="102"/>
      <c r="G1828" s="90"/>
      <c r="H1828" s="26"/>
      <c r="I1828" s="25"/>
      <c r="J1828" s="22"/>
      <c r="K1828" s="25"/>
      <c r="L1828" s="25"/>
      <c r="M1828" s="22"/>
    </row>
    <row r="1829" spans="1:13">
      <c r="A1829" s="14"/>
      <c r="B1829" s="67"/>
      <c r="C1829" s="15"/>
      <c r="D1829" s="22"/>
      <c r="E1829" s="71"/>
      <c r="F1829" s="102"/>
      <c r="G1829" s="90"/>
      <c r="H1829" s="26"/>
      <c r="I1829" s="25"/>
      <c r="J1829" s="22"/>
      <c r="K1829" s="25"/>
      <c r="L1829" s="25"/>
      <c r="M1829" s="22"/>
    </row>
    <row r="1830" spans="1:13">
      <c r="A1830" s="14"/>
      <c r="B1830" s="67"/>
      <c r="C1830" s="15"/>
      <c r="D1830" s="22"/>
      <c r="E1830" s="72"/>
      <c r="F1830" s="102"/>
      <c r="G1830" s="90"/>
      <c r="H1830" s="26"/>
      <c r="I1830" s="25"/>
      <c r="J1830" s="22"/>
      <c r="K1830" s="25"/>
      <c r="L1830" s="25"/>
      <c r="M1830" s="22"/>
    </row>
    <row r="1831" spans="1:13">
      <c r="A1831" s="14"/>
      <c r="B1831" s="67"/>
      <c r="C1831" s="15"/>
      <c r="D1831" s="22"/>
      <c r="E1831" s="71"/>
      <c r="F1831" s="102"/>
      <c r="G1831" s="90"/>
      <c r="H1831" s="26"/>
      <c r="I1831" s="25"/>
      <c r="J1831" s="22"/>
      <c r="K1831" s="25"/>
      <c r="L1831" s="25"/>
      <c r="M1831" s="22"/>
    </row>
    <row r="1832" spans="1:13">
      <c r="A1832" s="14"/>
      <c r="B1832" s="67"/>
      <c r="C1832" s="15"/>
      <c r="D1832" s="22"/>
      <c r="E1832" s="72"/>
      <c r="F1832" s="102"/>
      <c r="G1832" s="90"/>
      <c r="H1832" s="26"/>
      <c r="I1832" s="25"/>
      <c r="J1832" s="22"/>
      <c r="K1832" s="25"/>
      <c r="L1832" s="25"/>
      <c r="M1832" s="22"/>
    </row>
    <row r="1833" spans="1:13">
      <c r="A1833" s="14"/>
      <c r="B1833" s="67"/>
      <c r="C1833" s="15"/>
      <c r="D1833" s="22"/>
      <c r="E1833" s="71"/>
      <c r="F1833" s="102"/>
      <c r="G1833" s="90"/>
      <c r="H1833" s="26"/>
      <c r="I1833" s="25"/>
      <c r="J1833" s="22"/>
      <c r="K1833" s="25"/>
      <c r="L1833" s="25"/>
      <c r="M1833" s="22"/>
    </row>
    <row r="1834" spans="1:13">
      <c r="A1834" s="14"/>
      <c r="B1834" s="67"/>
      <c r="C1834" s="15"/>
      <c r="D1834" s="22"/>
      <c r="E1834" s="72"/>
      <c r="F1834" s="102"/>
      <c r="G1834" s="90"/>
      <c r="H1834" s="26"/>
      <c r="I1834" s="25"/>
      <c r="J1834" s="22"/>
      <c r="K1834" s="25"/>
      <c r="L1834" s="25"/>
      <c r="M1834" s="22"/>
    </row>
    <row r="1835" spans="1:13">
      <c r="A1835" s="14"/>
      <c r="B1835" s="67"/>
      <c r="C1835" s="15"/>
      <c r="D1835" s="22"/>
      <c r="E1835" s="71"/>
      <c r="F1835" s="102"/>
      <c r="G1835" s="90"/>
      <c r="H1835" s="26"/>
      <c r="I1835" s="25"/>
      <c r="J1835" s="22"/>
      <c r="K1835" s="25"/>
      <c r="L1835" s="25"/>
      <c r="M1835" s="22"/>
    </row>
    <row r="1836" spans="1:13">
      <c r="A1836" s="14"/>
      <c r="B1836" s="67"/>
      <c r="C1836" s="15"/>
      <c r="D1836" s="22"/>
      <c r="E1836" s="72"/>
      <c r="F1836" s="102"/>
      <c r="G1836" s="90"/>
      <c r="H1836" s="26"/>
      <c r="I1836" s="25"/>
      <c r="J1836" s="22"/>
      <c r="K1836" s="25"/>
      <c r="L1836" s="25"/>
      <c r="M1836" s="22"/>
    </row>
    <row r="1837" spans="1:13">
      <c r="A1837" s="14"/>
      <c r="B1837" s="67"/>
      <c r="C1837" s="15"/>
      <c r="D1837" s="22"/>
      <c r="E1837" s="71"/>
      <c r="F1837" s="102"/>
      <c r="G1837" s="90"/>
      <c r="H1837" s="26"/>
      <c r="I1837" s="25"/>
      <c r="J1837" s="22"/>
      <c r="K1837" s="25"/>
      <c r="L1837" s="25"/>
      <c r="M1837" s="22"/>
    </row>
    <row r="1838" spans="1:13">
      <c r="A1838" s="14"/>
      <c r="B1838" s="67"/>
      <c r="C1838" s="15"/>
      <c r="D1838" s="22"/>
      <c r="E1838" s="72"/>
      <c r="F1838" s="102"/>
      <c r="G1838" s="90"/>
      <c r="H1838" s="26"/>
      <c r="I1838" s="25"/>
      <c r="J1838" s="22"/>
      <c r="K1838" s="25"/>
      <c r="L1838" s="25"/>
      <c r="M1838" s="22"/>
    </row>
    <row r="1839" spans="1:13">
      <c r="A1839" s="14"/>
      <c r="B1839" s="67"/>
      <c r="C1839" s="15"/>
      <c r="D1839" s="22"/>
      <c r="E1839" s="71"/>
      <c r="F1839" s="102"/>
      <c r="G1839" s="90"/>
      <c r="H1839" s="26"/>
      <c r="I1839" s="25"/>
      <c r="J1839" s="22"/>
      <c r="K1839" s="25"/>
      <c r="L1839" s="25"/>
      <c r="M1839" s="22"/>
    </row>
    <row r="1840" spans="1:13">
      <c r="A1840" s="14"/>
      <c r="B1840" s="67"/>
      <c r="C1840" s="15"/>
      <c r="D1840" s="22"/>
      <c r="E1840" s="72"/>
      <c r="F1840" s="102"/>
      <c r="G1840" s="90"/>
      <c r="H1840" s="26"/>
      <c r="I1840" s="25"/>
      <c r="J1840" s="22"/>
      <c r="K1840" s="25"/>
      <c r="L1840" s="25"/>
      <c r="M1840" s="22"/>
    </row>
    <row r="1841" spans="1:13">
      <c r="A1841" s="14"/>
      <c r="B1841" s="67"/>
      <c r="C1841" s="15"/>
      <c r="D1841" s="22"/>
      <c r="E1841" s="71"/>
      <c r="F1841" s="102"/>
      <c r="G1841" s="90"/>
      <c r="H1841" s="26"/>
      <c r="I1841" s="25"/>
      <c r="J1841" s="22"/>
      <c r="K1841" s="25"/>
      <c r="L1841" s="25"/>
      <c r="M1841" s="22"/>
    </row>
    <row r="1842" spans="1:13">
      <c r="A1842" s="14"/>
      <c r="B1842" s="67"/>
      <c r="C1842" s="15"/>
      <c r="D1842" s="22"/>
      <c r="E1842" s="72"/>
      <c r="F1842" s="102"/>
      <c r="G1842" s="90"/>
      <c r="H1842" s="26"/>
      <c r="I1842" s="25"/>
      <c r="J1842" s="22"/>
      <c r="K1842" s="25"/>
      <c r="L1842" s="25"/>
      <c r="M1842" s="22"/>
    </row>
    <row r="1843" spans="1:13">
      <c r="A1843" s="14"/>
      <c r="B1843" s="67"/>
      <c r="C1843" s="15"/>
      <c r="D1843" s="22"/>
      <c r="E1843" s="71"/>
      <c r="F1843" s="102"/>
      <c r="G1843" s="90"/>
      <c r="H1843" s="26"/>
      <c r="I1843" s="25"/>
      <c r="J1843" s="22"/>
      <c r="K1843" s="25"/>
      <c r="L1843" s="25"/>
      <c r="M1843" s="22"/>
    </row>
    <row r="1844" spans="1:13">
      <c r="A1844" s="14"/>
      <c r="B1844" s="67"/>
      <c r="C1844" s="15"/>
      <c r="D1844" s="22"/>
      <c r="E1844" s="72"/>
      <c r="F1844" s="102"/>
      <c r="G1844" s="90"/>
      <c r="H1844" s="26"/>
      <c r="I1844" s="25"/>
      <c r="J1844" s="22"/>
      <c r="K1844" s="25"/>
      <c r="L1844" s="25"/>
      <c r="M1844" s="22"/>
    </row>
    <row r="1845" spans="1:13">
      <c r="A1845" s="14"/>
      <c r="B1845" s="67"/>
      <c r="C1845" s="15"/>
      <c r="D1845" s="22"/>
      <c r="E1845" s="71"/>
      <c r="F1845" s="102"/>
      <c r="G1845" s="90"/>
      <c r="H1845" s="26"/>
      <c r="I1845" s="25"/>
      <c r="J1845" s="22"/>
      <c r="K1845" s="25"/>
      <c r="L1845" s="25"/>
      <c r="M1845" s="22"/>
    </row>
    <row r="1846" spans="1:13">
      <c r="A1846" s="14"/>
      <c r="B1846" s="67"/>
      <c r="C1846" s="15"/>
      <c r="D1846" s="22"/>
      <c r="E1846" s="72"/>
      <c r="F1846" s="102"/>
      <c r="G1846" s="90"/>
      <c r="H1846" s="26"/>
      <c r="I1846" s="25"/>
      <c r="J1846" s="22"/>
      <c r="K1846" s="25"/>
      <c r="L1846" s="25"/>
      <c r="M1846" s="22"/>
    </row>
    <row r="1847" spans="1:13">
      <c r="A1847" s="14"/>
      <c r="B1847" s="67"/>
      <c r="C1847" s="15"/>
      <c r="D1847" s="22"/>
      <c r="E1847" s="71"/>
      <c r="F1847" s="102"/>
      <c r="G1847" s="90"/>
      <c r="H1847" s="26"/>
      <c r="I1847" s="25"/>
      <c r="J1847" s="22"/>
      <c r="K1847" s="25"/>
      <c r="L1847" s="25"/>
      <c r="M1847" s="22"/>
    </row>
    <row r="1848" spans="1:13">
      <c r="A1848" s="14"/>
      <c r="B1848" s="67"/>
      <c r="C1848" s="15"/>
      <c r="D1848" s="22"/>
      <c r="E1848" s="72"/>
      <c r="F1848" s="102"/>
      <c r="G1848" s="90"/>
      <c r="H1848" s="26"/>
      <c r="I1848" s="25"/>
      <c r="J1848" s="22"/>
      <c r="K1848" s="25"/>
      <c r="L1848" s="25"/>
      <c r="M1848" s="22"/>
    </row>
    <row r="1849" spans="1:13">
      <c r="A1849" s="14"/>
      <c r="B1849" s="67"/>
      <c r="C1849" s="15"/>
      <c r="D1849" s="22"/>
      <c r="E1849" s="71"/>
      <c r="F1849" s="102"/>
      <c r="G1849" s="90"/>
      <c r="H1849" s="26"/>
      <c r="I1849" s="25"/>
      <c r="J1849" s="22"/>
      <c r="K1849" s="25"/>
      <c r="L1849" s="25"/>
      <c r="M1849" s="22"/>
    </row>
    <row r="1850" spans="1:13">
      <c r="A1850" s="14"/>
      <c r="B1850" s="67"/>
      <c r="C1850" s="15"/>
      <c r="D1850" s="22"/>
      <c r="E1850" s="72"/>
      <c r="F1850" s="102"/>
      <c r="G1850" s="90"/>
      <c r="H1850" s="26"/>
      <c r="I1850" s="25"/>
      <c r="J1850" s="22"/>
      <c r="K1850" s="25"/>
      <c r="L1850" s="25"/>
      <c r="M1850" s="22"/>
    </row>
    <row r="1851" spans="1:13">
      <c r="A1851" s="14"/>
      <c r="B1851" s="67"/>
      <c r="C1851" s="15"/>
      <c r="D1851" s="22"/>
      <c r="E1851" s="71"/>
      <c r="F1851" s="102"/>
      <c r="G1851" s="90"/>
      <c r="H1851" s="26"/>
      <c r="I1851" s="25"/>
      <c r="J1851" s="22"/>
      <c r="K1851" s="25"/>
      <c r="L1851" s="25"/>
      <c r="M1851" s="22"/>
    </row>
    <row r="1852" spans="1:13">
      <c r="A1852" s="14"/>
      <c r="B1852" s="67"/>
      <c r="C1852" s="15"/>
      <c r="D1852" s="22"/>
      <c r="E1852" s="72"/>
      <c r="F1852" s="102"/>
      <c r="G1852" s="90"/>
      <c r="H1852" s="26"/>
      <c r="I1852" s="25"/>
      <c r="J1852" s="22"/>
      <c r="K1852" s="25"/>
      <c r="L1852" s="25"/>
      <c r="M1852" s="22"/>
    </row>
    <row r="1853" spans="1:13">
      <c r="A1853" s="14"/>
      <c r="B1853" s="67"/>
      <c r="C1853" s="15"/>
      <c r="D1853" s="22"/>
      <c r="E1853" s="71"/>
      <c r="F1853" s="102"/>
      <c r="G1853" s="90"/>
      <c r="H1853" s="26"/>
      <c r="I1853" s="25"/>
      <c r="J1853" s="22"/>
      <c r="K1853" s="25"/>
      <c r="L1853" s="25"/>
      <c r="M1853" s="22"/>
    </row>
    <row r="1854" spans="1:13">
      <c r="A1854" s="14"/>
      <c r="B1854" s="67"/>
      <c r="C1854" s="15"/>
      <c r="D1854" s="22"/>
      <c r="E1854" s="72"/>
      <c r="F1854" s="102"/>
      <c r="G1854" s="90"/>
      <c r="H1854" s="26"/>
      <c r="I1854" s="25"/>
      <c r="J1854" s="22"/>
      <c r="K1854" s="25"/>
      <c r="L1854" s="25"/>
      <c r="M1854" s="22"/>
    </row>
    <row r="1855" spans="1:13">
      <c r="A1855" s="14"/>
      <c r="B1855" s="67"/>
      <c r="C1855" s="15"/>
      <c r="D1855" s="22"/>
      <c r="E1855" s="71"/>
      <c r="F1855" s="102"/>
      <c r="G1855" s="90"/>
      <c r="H1855" s="26"/>
      <c r="I1855" s="25"/>
      <c r="J1855" s="22"/>
      <c r="K1855" s="25"/>
      <c r="L1855" s="25"/>
      <c r="M1855" s="22"/>
    </row>
    <row r="1856" spans="1:13">
      <c r="A1856" s="14"/>
      <c r="B1856" s="67"/>
      <c r="C1856" s="15"/>
      <c r="D1856" s="22"/>
      <c r="E1856" s="72"/>
      <c r="F1856" s="102"/>
      <c r="G1856" s="90"/>
      <c r="H1856" s="26"/>
      <c r="I1856" s="25"/>
      <c r="J1856" s="22"/>
      <c r="K1856" s="25"/>
      <c r="L1856" s="25"/>
      <c r="M1856" s="22"/>
    </row>
    <row r="1857" spans="1:13">
      <c r="A1857" s="14"/>
      <c r="B1857" s="67"/>
      <c r="C1857" s="15"/>
      <c r="D1857" s="22"/>
      <c r="E1857" s="71"/>
      <c r="F1857" s="102"/>
      <c r="G1857" s="90"/>
      <c r="H1857" s="26"/>
      <c r="I1857" s="25"/>
      <c r="J1857" s="22"/>
      <c r="K1857" s="25"/>
      <c r="L1857" s="25"/>
      <c r="M1857" s="22"/>
    </row>
    <row r="1858" spans="1:13">
      <c r="A1858" s="14"/>
      <c r="B1858" s="67"/>
      <c r="C1858" s="15"/>
      <c r="D1858" s="22"/>
      <c r="E1858" s="72"/>
      <c r="F1858" s="102"/>
      <c r="G1858" s="90"/>
      <c r="H1858" s="26"/>
      <c r="I1858" s="25"/>
      <c r="J1858" s="22"/>
      <c r="K1858" s="25"/>
      <c r="L1858" s="25"/>
      <c r="M1858" s="22"/>
    </row>
    <row r="1859" spans="1:13">
      <c r="A1859" s="14"/>
      <c r="B1859" s="67"/>
      <c r="C1859" s="15"/>
      <c r="D1859" s="22"/>
      <c r="E1859" s="71"/>
      <c r="F1859" s="102"/>
      <c r="G1859" s="90"/>
      <c r="H1859" s="26"/>
      <c r="I1859" s="25"/>
      <c r="J1859" s="22"/>
      <c r="K1859" s="25"/>
      <c r="L1859" s="25"/>
      <c r="M1859" s="22"/>
    </row>
    <row r="1860" spans="1:13">
      <c r="A1860" s="14"/>
      <c r="B1860" s="67"/>
      <c r="C1860" s="15"/>
      <c r="D1860" s="22"/>
      <c r="E1860" s="72"/>
      <c r="F1860" s="102"/>
      <c r="G1860" s="90"/>
      <c r="H1860" s="26"/>
      <c r="I1860" s="25"/>
      <c r="J1860" s="22"/>
      <c r="K1860" s="25"/>
      <c r="L1860" s="25"/>
      <c r="M1860" s="22"/>
    </row>
    <row r="1861" spans="1:13">
      <c r="A1861" s="14"/>
      <c r="B1861" s="67"/>
      <c r="C1861" s="15"/>
      <c r="D1861" s="22"/>
      <c r="E1861" s="71"/>
      <c r="F1861" s="102"/>
      <c r="G1861" s="90"/>
      <c r="H1861" s="26"/>
      <c r="I1861" s="25"/>
      <c r="J1861" s="22"/>
      <c r="K1861" s="25"/>
      <c r="L1861" s="25"/>
      <c r="M1861" s="22"/>
    </row>
    <row r="1862" spans="1:13">
      <c r="A1862" s="14"/>
      <c r="B1862" s="67"/>
      <c r="C1862" s="15"/>
      <c r="D1862" s="22"/>
      <c r="E1862" s="72"/>
      <c r="F1862" s="102"/>
      <c r="G1862" s="90"/>
      <c r="H1862" s="26"/>
      <c r="I1862" s="25"/>
      <c r="J1862" s="22"/>
      <c r="K1862" s="25"/>
      <c r="L1862" s="25"/>
      <c r="M1862" s="22"/>
    </row>
    <row r="1863" spans="1:13">
      <c r="A1863" s="14"/>
      <c r="B1863" s="67"/>
      <c r="C1863" s="15"/>
      <c r="D1863" s="22"/>
      <c r="E1863" s="71"/>
      <c r="F1863" s="102"/>
      <c r="G1863" s="90"/>
      <c r="H1863" s="26"/>
      <c r="I1863" s="25"/>
      <c r="J1863" s="22"/>
      <c r="K1863" s="25"/>
      <c r="L1863" s="25"/>
      <c r="M1863" s="22"/>
    </row>
    <row r="1864" spans="1:13">
      <c r="A1864" s="14"/>
      <c r="B1864" s="67"/>
      <c r="C1864" s="15"/>
      <c r="D1864" s="22"/>
      <c r="E1864" s="72"/>
      <c r="F1864" s="102"/>
      <c r="G1864" s="90"/>
      <c r="H1864" s="26"/>
      <c r="I1864" s="25"/>
      <c r="J1864" s="22"/>
      <c r="K1864" s="25"/>
      <c r="L1864" s="25"/>
      <c r="M1864" s="22"/>
    </row>
    <row r="1865" spans="1:13">
      <c r="A1865" s="14"/>
      <c r="B1865" s="67"/>
      <c r="C1865" s="15"/>
      <c r="D1865" s="22"/>
      <c r="E1865" s="71"/>
      <c r="F1865" s="102"/>
      <c r="G1865" s="90"/>
      <c r="H1865" s="26"/>
      <c r="I1865" s="25"/>
      <c r="J1865" s="22"/>
      <c r="K1865" s="25"/>
      <c r="L1865" s="25"/>
      <c r="M1865" s="22"/>
    </row>
    <row r="1866" spans="1:13">
      <c r="A1866" s="14"/>
      <c r="B1866" s="67"/>
      <c r="C1866" s="15"/>
      <c r="D1866" s="22"/>
      <c r="E1866" s="72"/>
      <c r="F1866" s="102"/>
      <c r="G1866" s="90"/>
      <c r="H1866" s="26"/>
      <c r="I1866" s="25"/>
      <c r="J1866" s="22"/>
      <c r="K1866" s="25"/>
      <c r="L1866" s="25"/>
      <c r="M1866" s="22"/>
    </row>
    <row r="1867" spans="1:13">
      <c r="A1867" s="14"/>
      <c r="B1867" s="67"/>
      <c r="C1867" s="15"/>
      <c r="D1867" s="22"/>
      <c r="E1867" s="71"/>
      <c r="F1867" s="102"/>
      <c r="G1867" s="90"/>
      <c r="H1867" s="26"/>
      <c r="I1867" s="25"/>
      <c r="J1867" s="22"/>
      <c r="K1867" s="25"/>
      <c r="L1867" s="25"/>
      <c r="M1867" s="22"/>
    </row>
    <row r="1868" spans="1:13">
      <c r="A1868" s="14"/>
      <c r="B1868" s="67"/>
      <c r="C1868" s="15"/>
      <c r="D1868" s="22"/>
      <c r="E1868" s="72"/>
      <c r="F1868" s="102"/>
      <c r="G1868" s="90"/>
      <c r="H1868" s="26"/>
      <c r="I1868" s="25"/>
      <c r="J1868" s="22"/>
      <c r="K1868" s="25"/>
      <c r="L1868" s="25"/>
      <c r="M1868" s="22"/>
    </row>
    <row r="1869" spans="1:13">
      <c r="A1869" s="14"/>
      <c r="B1869" s="67"/>
      <c r="C1869" s="15"/>
      <c r="D1869" s="22"/>
      <c r="E1869" s="71"/>
      <c r="F1869" s="102"/>
      <c r="G1869" s="90"/>
      <c r="H1869" s="26"/>
      <c r="I1869" s="25"/>
      <c r="J1869" s="22"/>
      <c r="K1869" s="25"/>
      <c r="L1869" s="25"/>
      <c r="M1869" s="22"/>
    </row>
    <row r="1870" spans="1:13">
      <c r="A1870" s="14"/>
      <c r="B1870" s="67"/>
      <c r="C1870" s="15"/>
      <c r="D1870" s="22"/>
      <c r="E1870" s="72"/>
      <c r="F1870" s="102"/>
      <c r="G1870" s="90"/>
      <c r="H1870" s="26"/>
      <c r="I1870" s="25"/>
      <c r="J1870" s="22"/>
      <c r="K1870" s="25"/>
      <c r="L1870" s="25"/>
      <c r="M1870" s="22"/>
    </row>
    <row r="1871" spans="1:13">
      <c r="A1871" s="14"/>
      <c r="B1871" s="67"/>
      <c r="C1871" s="15"/>
      <c r="D1871" s="22"/>
      <c r="E1871" s="71"/>
      <c r="F1871" s="102"/>
      <c r="G1871" s="90"/>
      <c r="H1871" s="26"/>
      <c r="I1871" s="25"/>
      <c r="J1871" s="22"/>
      <c r="K1871" s="25"/>
      <c r="L1871" s="25"/>
      <c r="M1871" s="22"/>
    </row>
    <row r="1872" spans="1:13">
      <c r="A1872" s="14"/>
      <c r="B1872" s="67"/>
      <c r="C1872" s="15"/>
      <c r="D1872" s="22"/>
      <c r="E1872" s="72"/>
      <c r="F1872" s="102"/>
      <c r="G1872" s="90"/>
      <c r="H1872" s="26"/>
      <c r="I1872" s="25"/>
      <c r="J1872" s="22"/>
      <c r="K1872" s="25"/>
      <c r="L1872" s="25"/>
      <c r="M1872" s="22"/>
    </row>
    <row r="1873" spans="1:13">
      <c r="A1873" s="14"/>
      <c r="B1873" s="67"/>
      <c r="C1873" s="15"/>
      <c r="D1873" s="22"/>
      <c r="E1873" s="71"/>
      <c r="F1873" s="102"/>
      <c r="G1873" s="90"/>
      <c r="H1873" s="26"/>
      <c r="I1873" s="25"/>
      <c r="J1873" s="22"/>
      <c r="K1873" s="25"/>
      <c r="L1873" s="25"/>
      <c r="M1873" s="22"/>
    </row>
    <row r="1874" spans="1:13">
      <c r="A1874" s="14"/>
      <c r="B1874" s="67"/>
      <c r="C1874" s="15"/>
      <c r="D1874" s="22"/>
      <c r="E1874" s="72"/>
      <c r="F1874" s="102"/>
      <c r="G1874" s="90"/>
      <c r="H1874" s="26"/>
      <c r="I1874" s="25"/>
      <c r="J1874" s="22"/>
      <c r="K1874" s="25"/>
      <c r="L1874" s="25"/>
      <c r="M1874" s="22"/>
    </row>
    <row r="1875" spans="1:13">
      <c r="A1875" s="14"/>
      <c r="B1875" s="67"/>
      <c r="C1875" s="15"/>
      <c r="D1875" s="22"/>
      <c r="E1875" s="71"/>
      <c r="F1875" s="102"/>
      <c r="G1875" s="90"/>
      <c r="H1875" s="26"/>
      <c r="I1875" s="25"/>
      <c r="J1875" s="22"/>
      <c r="K1875" s="25"/>
      <c r="L1875" s="25"/>
      <c r="M1875" s="22"/>
    </row>
    <row r="1876" spans="1:13">
      <c r="A1876" s="14"/>
      <c r="B1876" s="67"/>
      <c r="C1876" s="15"/>
      <c r="D1876" s="22"/>
      <c r="E1876" s="72"/>
      <c r="F1876" s="102"/>
      <c r="G1876" s="90"/>
      <c r="H1876" s="26"/>
      <c r="I1876" s="25"/>
      <c r="J1876" s="22"/>
      <c r="K1876" s="25"/>
      <c r="L1876" s="25"/>
      <c r="M1876" s="22"/>
    </row>
    <row r="1877" spans="1:13">
      <c r="A1877" s="14"/>
      <c r="B1877" s="67"/>
      <c r="C1877" s="15"/>
      <c r="D1877" s="22"/>
      <c r="E1877" s="71"/>
      <c r="F1877" s="102"/>
      <c r="G1877" s="90"/>
      <c r="H1877" s="26"/>
      <c r="I1877" s="25"/>
      <c r="J1877" s="22"/>
      <c r="K1877" s="25"/>
      <c r="L1877" s="25"/>
      <c r="M1877" s="22"/>
    </row>
    <row r="1878" spans="1:13">
      <c r="A1878" s="14"/>
      <c r="B1878" s="67"/>
      <c r="C1878" s="15"/>
      <c r="D1878" s="22"/>
      <c r="E1878" s="72"/>
      <c r="F1878" s="102"/>
      <c r="G1878" s="90"/>
      <c r="H1878" s="26"/>
      <c r="I1878" s="25"/>
      <c r="J1878" s="22"/>
      <c r="K1878" s="25"/>
      <c r="L1878" s="25"/>
      <c r="M1878" s="22"/>
    </row>
    <row r="1879" spans="1:13">
      <c r="A1879" s="14"/>
      <c r="B1879" s="67"/>
      <c r="C1879" s="15"/>
      <c r="D1879" s="22"/>
      <c r="E1879" s="71"/>
      <c r="F1879" s="102"/>
      <c r="G1879" s="90"/>
      <c r="H1879" s="26"/>
      <c r="I1879" s="25"/>
      <c r="J1879" s="22"/>
      <c r="K1879" s="25"/>
      <c r="L1879" s="25"/>
      <c r="M1879" s="22"/>
    </row>
    <row r="1880" spans="1:13">
      <c r="A1880" s="14"/>
      <c r="B1880" s="67"/>
      <c r="C1880" s="15"/>
      <c r="D1880" s="22"/>
      <c r="E1880" s="72"/>
      <c r="F1880" s="102"/>
      <c r="G1880" s="90"/>
      <c r="H1880" s="26"/>
      <c r="I1880" s="25"/>
      <c r="J1880" s="22"/>
      <c r="K1880" s="25"/>
      <c r="L1880" s="25"/>
      <c r="M1880" s="22"/>
    </row>
    <row r="1881" spans="1:13">
      <c r="A1881" s="14"/>
      <c r="B1881" s="67"/>
      <c r="C1881" s="15"/>
      <c r="D1881" s="22"/>
      <c r="E1881" s="71"/>
      <c r="F1881" s="102"/>
      <c r="G1881" s="90"/>
      <c r="H1881" s="26"/>
      <c r="I1881" s="25"/>
      <c r="J1881" s="22"/>
      <c r="K1881" s="25"/>
      <c r="L1881" s="25"/>
      <c r="M1881" s="22"/>
    </row>
    <row r="1882" spans="1:13">
      <c r="A1882" s="14"/>
      <c r="B1882" s="67"/>
      <c r="C1882" s="15"/>
      <c r="D1882" s="22"/>
      <c r="E1882" s="72"/>
      <c r="F1882" s="102"/>
      <c r="G1882" s="90"/>
      <c r="H1882" s="26"/>
      <c r="I1882" s="25"/>
      <c r="J1882" s="22"/>
      <c r="K1882" s="25"/>
      <c r="L1882" s="25"/>
      <c r="M1882" s="22"/>
    </row>
    <row r="1883" spans="1:13">
      <c r="A1883" s="14"/>
      <c r="B1883" s="67"/>
      <c r="C1883" s="15"/>
      <c r="D1883" s="22"/>
      <c r="E1883" s="71"/>
      <c r="F1883" s="102"/>
      <c r="G1883" s="90"/>
      <c r="H1883" s="26"/>
      <c r="I1883" s="25"/>
      <c r="J1883" s="22"/>
      <c r="K1883" s="25"/>
      <c r="L1883" s="25"/>
      <c r="M1883" s="22"/>
    </row>
    <row r="1884" spans="1:13">
      <c r="A1884" s="14"/>
      <c r="B1884" s="67"/>
      <c r="C1884" s="15"/>
      <c r="D1884" s="22"/>
      <c r="E1884" s="72"/>
      <c r="F1884" s="102"/>
      <c r="G1884" s="90"/>
      <c r="H1884" s="26"/>
      <c r="I1884" s="25"/>
      <c r="J1884" s="22"/>
      <c r="K1884" s="25"/>
      <c r="L1884" s="25"/>
      <c r="M1884" s="22"/>
    </row>
    <row r="1885" spans="1:13">
      <c r="A1885" s="14"/>
      <c r="B1885" s="67"/>
      <c r="C1885" s="15"/>
      <c r="D1885" s="22"/>
      <c r="E1885" s="71"/>
      <c r="F1885" s="102"/>
      <c r="G1885" s="90"/>
      <c r="H1885" s="26"/>
      <c r="I1885" s="25"/>
      <c r="J1885" s="22"/>
      <c r="K1885" s="25"/>
      <c r="L1885" s="25"/>
      <c r="M1885" s="22"/>
    </row>
    <row r="1886" spans="1:13">
      <c r="A1886" s="14"/>
      <c r="B1886" s="67"/>
      <c r="C1886" s="15"/>
      <c r="D1886" s="22"/>
      <c r="E1886" s="72"/>
      <c r="F1886" s="102"/>
      <c r="G1886" s="90"/>
      <c r="H1886" s="26"/>
      <c r="I1886" s="25"/>
      <c r="J1886" s="22"/>
      <c r="K1886" s="25"/>
      <c r="L1886" s="25"/>
      <c r="M1886" s="22"/>
    </row>
    <row r="1887" spans="1:13">
      <c r="A1887" s="14"/>
      <c r="B1887" s="67"/>
      <c r="C1887" s="15"/>
      <c r="D1887" s="22"/>
      <c r="E1887" s="71"/>
      <c r="F1887" s="102"/>
      <c r="G1887" s="90"/>
      <c r="H1887" s="26"/>
      <c r="I1887" s="25"/>
      <c r="J1887" s="22"/>
      <c r="K1887" s="25"/>
      <c r="L1887" s="25"/>
      <c r="M1887" s="22"/>
    </row>
    <row r="1888" spans="1:13">
      <c r="A1888" s="14"/>
      <c r="B1888" s="67"/>
      <c r="C1888" s="15"/>
      <c r="D1888" s="22"/>
      <c r="E1888" s="72"/>
      <c r="F1888" s="102"/>
      <c r="G1888" s="90"/>
      <c r="H1888" s="26"/>
      <c r="I1888" s="25"/>
      <c r="J1888" s="22"/>
      <c r="K1888" s="25"/>
      <c r="L1888" s="25"/>
      <c r="M1888" s="22"/>
    </row>
    <row r="1889" spans="1:13">
      <c r="A1889" s="14"/>
      <c r="B1889" s="67"/>
      <c r="C1889" s="15"/>
      <c r="D1889" s="22"/>
      <c r="E1889" s="71"/>
      <c r="F1889" s="102"/>
      <c r="G1889" s="90"/>
      <c r="H1889" s="26"/>
      <c r="I1889" s="25"/>
      <c r="J1889" s="22"/>
      <c r="K1889" s="25"/>
      <c r="L1889" s="25"/>
      <c r="M1889" s="22"/>
    </row>
    <row r="1890" spans="1:13">
      <c r="A1890" s="14"/>
      <c r="B1890" s="67"/>
      <c r="C1890" s="15"/>
      <c r="D1890" s="22"/>
      <c r="E1890" s="72"/>
      <c r="F1890" s="102"/>
      <c r="G1890" s="90"/>
      <c r="H1890" s="26"/>
      <c r="I1890" s="25"/>
      <c r="J1890" s="22"/>
      <c r="K1890" s="25"/>
      <c r="L1890" s="25"/>
      <c r="M1890" s="22"/>
    </row>
    <row r="1891" spans="1:13">
      <c r="A1891" s="14"/>
      <c r="B1891" s="67"/>
      <c r="C1891" s="15"/>
      <c r="D1891" s="22"/>
      <c r="E1891" s="71"/>
      <c r="F1891" s="102"/>
      <c r="G1891" s="90"/>
      <c r="H1891" s="26"/>
      <c r="I1891" s="25"/>
      <c r="J1891" s="22"/>
      <c r="K1891" s="25"/>
      <c r="L1891" s="25"/>
      <c r="M1891" s="22"/>
    </row>
    <row r="1892" spans="1:13">
      <c r="A1892" s="14"/>
      <c r="B1892" s="67"/>
      <c r="C1892" s="15"/>
      <c r="D1892" s="22"/>
      <c r="E1892" s="72"/>
      <c r="F1892" s="102"/>
      <c r="G1892" s="90"/>
      <c r="H1892" s="26"/>
      <c r="I1892" s="25"/>
      <c r="J1892" s="22"/>
      <c r="K1892" s="25"/>
      <c r="L1892" s="25"/>
      <c r="M1892" s="22"/>
    </row>
    <row r="1893" spans="1:13">
      <c r="A1893" s="14"/>
      <c r="B1893" s="67"/>
      <c r="C1893" s="15"/>
      <c r="D1893" s="22"/>
      <c r="E1893" s="71"/>
      <c r="F1893" s="102"/>
      <c r="G1893" s="90"/>
      <c r="H1893" s="26"/>
      <c r="I1893" s="25"/>
      <c r="J1893" s="22"/>
      <c r="K1893" s="25"/>
      <c r="L1893" s="25"/>
      <c r="M1893" s="22"/>
    </row>
    <row r="1894" spans="1:13">
      <c r="A1894" s="14"/>
      <c r="B1894" s="67"/>
      <c r="C1894" s="15"/>
      <c r="D1894" s="22"/>
      <c r="E1894" s="72"/>
      <c r="F1894" s="102"/>
      <c r="G1894" s="90"/>
      <c r="H1894" s="26"/>
      <c r="I1894" s="25"/>
      <c r="J1894" s="22"/>
      <c r="K1894" s="25"/>
      <c r="L1894" s="25"/>
      <c r="M1894" s="22"/>
    </row>
    <row r="1895" spans="1:13">
      <c r="A1895" s="14"/>
      <c r="B1895" s="67"/>
      <c r="C1895" s="15"/>
      <c r="D1895" s="22"/>
      <c r="E1895" s="71"/>
      <c r="F1895" s="102"/>
      <c r="G1895" s="90"/>
      <c r="H1895" s="26"/>
      <c r="I1895" s="25"/>
      <c r="J1895" s="22"/>
      <c r="K1895" s="25"/>
      <c r="L1895" s="25"/>
      <c r="M1895" s="22"/>
    </row>
    <row r="1896" spans="1:13">
      <c r="A1896" s="14"/>
      <c r="B1896" s="67"/>
      <c r="C1896" s="15"/>
      <c r="D1896" s="22"/>
      <c r="E1896" s="72"/>
      <c r="F1896" s="102"/>
      <c r="G1896" s="90"/>
      <c r="H1896" s="26"/>
      <c r="I1896" s="25"/>
      <c r="J1896" s="22"/>
      <c r="K1896" s="25"/>
      <c r="L1896" s="25"/>
      <c r="M1896" s="22"/>
    </row>
    <row r="1897" spans="1:13">
      <c r="A1897" s="14"/>
      <c r="B1897" s="67"/>
      <c r="C1897" s="15"/>
      <c r="D1897" s="22"/>
      <c r="E1897" s="71"/>
      <c r="F1897" s="102"/>
      <c r="G1897" s="90"/>
      <c r="H1897" s="26"/>
      <c r="I1897" s="25"/>
      <c r="J1897" s="22"/>
      <c r="K1897" s="25"/>
      <c r="L1897" s="25"/>
      <c r="M1897" s="22"/>
    </row>
    <row r="1898" spans="1:13">
      <c r="A1898" s="14"/>
      <c r="B1898" s="67"/>
      <c r="C1898" s="15"/>
      <c r="D1898" s="22"/>
      <c r="E1898" s="72"/>
      <c r="F1898" s="102"/>
      <c r="G1898" s="90"/>
      <c r="H1898" s="26"/>
      <c r="I1898" s="25"/>
      <c r="J1898" s="22"/>
      <c r="K1898" s="25"/>
      <c r="L1898" s="25"/>
      <c r="M1898" s="22"/>
    </row>
    <row r="1899" spans="1:13">
      <c r="A1899" s="14"/>
      <c r="B1899" s="67"/>
      <c r="C1899" s="15"/>
      <c r="D1899" s="22"/>
      <c r="E1899" s="71"/>
      <c r="F1899" s="102"/>
      <c r="G1899" s="90"/>
      <c r="H1899" s="26"/>
      <c r="I1899" s="25"/>
      <c r="J1899" s="22"/>
      <c r="K1899" s="25"/>
      <c r="L1899" s="25"/>
      <c r="M1899" s="22"/>
    </row>
    <row r="1900" spans="1:13">
      <c r="A1900" s="14"/>
      <c r="B1900" s="67"/>
      <c r="C1900" s="15"/>
      <c r="D1900" s="22"/>
      <c r="E1900" s="72"/>
      <c r="F1900" s="102"/>
      <c r="G1900" s="90"/>
      <c r="H1900" s="26"/>
      <c r="I1900" s="25"/>
      <c r="J1900" s="22"/>
      <c r="K1900" s="25"/>
      <c r="L1900" s="25"/>
      <c r="M1900" s="22"/>
    </row>
    <row r="1901" spans="1:13">
      <c r="A1901" s="14"/>
      <c r="B1901" s="67"/>
      <c r="C1901" s="15"/>
      <c r="D1901" s="22"/>
      <c r="E1901" s="71"/>
      <c r="F1901" s="102"/>
      <c r="G1901" s="90"/>
      <c r="H1901" s="26"/>
      <c r="I1901" s="25"/>
      <c r="J1901" s="22"/>
      <c r="K1901" s="25"/>
      <c r="L1901" s="25"/>
      <c r="M1901" s="22"/>
    </row>
    <row r="1902" spans="1:13">
      <c r="A1902" s="14"/>
      <c r="B1902" s="67"/>
      <c r="C1902" s="15"/>
      <c r="D1902" s="22"/>
      <c r="E1902" s="72"/>
      <c r="F1902" s="102"/>
      <c r="G1902" s="90"/>
      <c r="H1902" s="26"/>
      <c r="I1902" s="25"/>
      <c r="J1902" s="22"/>
      <c r="K1902" s="25"/>
      <c r="L1902" s="25"/>
      <c r="M1902" s="22"/>
    </row>
    <row r="1903" spans="1:13">
      <c r="A1903" s="14"/>
      <c r="B1903" s="67"/>
      <c r="C1903" s="15"/>
      <c r="D1903" s="22"/>
      <c r="E1903" s="71"/>
      <c r="F1903" s="102"/>
      <c r="G1903" s="90"/>
      <c r="H1903" s="26"/>
      <c r="I1903" s="25"/>
      <c r="J1903" s="22"/>
      <c r="K1903" s="25"/>
      <c r="L1903" s="25"/>
      <c r="M1903" s="22"/>
    </row>
    <row r="1904" spans="1:13">
      <c r="A1904" s="14"/>
      <c r="B1904" s="67"/>
      <c r="C1904" s="15"/>
      <c r="D1904" s="22"/>
      <c r="E1904" s="72"/>
      <c r="F1904" s="102"/>
      <c r="G1904" s="90"/>
      <c r="H1904" s="26"/>
      <c r="I1904" s="25"/>
      <c r="J1904" s="22"/>
      <c r="K1904" s="25"/>
      <c r="L1904" s="25"/>
      <c r="M1904" s="22"/>
    </row>
    <row r="1905" spans="1:13">
      <c r="A1905" s="14"/>
      <c r="B1905" s="67"/>
      <c r="C1905" s="15"/>
      <c r="D1905" s="22"/>
      <c r="E1905" s="71"/>
      <c r="F1905" s="102"/>
      <c r="G1905" s="90"/>
      <c r="H1905" s="26"/>
      <c r="I1905" s="25"/>
      <c r="J1905" s="22"/>
      <c r="K1905" s="25"/>
      <c r="L1905" s="25"/>
      <c r="M1905" s="22"/>
    </row>
    <row r="1906" spans="1:13">
      <c r="A1906" s="14"/>
      <c r="B1906" s="67"/>
      <c r="C1906" s="15"/>
      <c r="D1906" s="22"/>
      <c r="E1906" s="72"/>
      <c r="F1906" s="102"/>
      <c r="G1906" s="90"/>
      <c r="H1906" s="26"/>
      <c r="I1906" s="25"/>
      <c r="J1906" s="22"/>
      <c r="K1906" s="25"/>
      <c r="L1906" s="25"/>
      <c r="M1906" s="22"/>
    </row>
    <row r="1907" spans="1:13">
      <c r="A1907" s="14"/>
      <c r="B1907" s="67"/>
      <c r="C1907" s="15"/>
      <c r="D1907" s="22"/>
      <c r="E1907" s="71"/>
      <c r="F1907" s="102"/>
      <c r="G1907" s="90"/>
      <c r="H1907" s="26"/>
      <c r="I1907" s="25"/>
      <c r="J1907" s="22"/>
      <c r="K1907" s="25"/>
      <c r="L1907" s="25"/>
      <c r="M1907" s="22"/>
    </row>
    <row r="1908" spans="1:13">
      <c r="A1908" s="14"/>
      <c r="B1908" s="67"/>
      <c r="C1908" s="15"/>
      <c r="D1908" s="22"/>
      <c r="E1908" s="72"/>
      <c r="F1908" s="102"/>
      <c r="G1908" s="90"/>
      <c r="H1908" s="26"/>
      <c r="I1908" s="25"/>
      <c r="J1908" s="22"/>
      <c r="K1908" s="25"/>
      <c r="L1908" s="25"/>
      <c r="M1908" s="22"/>
    </row>
    <row r="1909" spans="1:13">
      <c r="A1909" s="14"/>
      <c r="B1909" s="67"/>
      <c r="C1909" s="15"/>
      <c r="D1909" s="22"/>
      <c r="E1909" s="71"/>
      <c r="F1909" s="102"/>
      <c r="G1909" s="90"/>
      <c r="H1909" s="26"/>
      <c r="I1909" s="25"/>
      <c r="J1909" s="22"/>
      <c r="K1909" s="25"/>
      <c r="L1909" s="25"/>
      <c r="M1909" s="22"/>
    </row>
    <row r="1910" spans="1:13">
      <c r="A1910" s="14"/>
      <c r="B1910" s="67"/>
      <c r="C1910" s="15"/>
      <c r="D1910" s="22"/>
      <c r="E1910" s="72"/>
      <c r="F1910" s="102"/>
      <c r="G1910" s="90"/>
      <c r="H1910" s="26"/>
      <c r="I1910" s="25"/>
      <c r="J1910" s="22"/>
      <c r="K1910" s="25"/>
      <c r="L1910" s="25"/>
      <c r="M1910" s="22"/>
    </row>
    <row r="1911" spans="1:13">
      <c r="A1911" s="14"/>
      <c r="B1911" s="67"/>
      <c r="C1911" s="15"/>
      <c r="D1911" s="22"/>
      <c r="E1911" s="71"/>
      <c r="F1911" s="102"/>
      <c r="G1911" s="90"/>
      <c r="H1911" s="26"/>
      <c r="I1911" s="25"/>
      <c r="J1911" s="22"/>
      <c r="K1911" s="25"/>
      <c r="L1911" s="25"/>
      <c r="M1911" s="22"/>
    </row>
    <row r="1912" spans="1:13">
      <c r="A1912" s="14"/>
      <c r="B1912" s="67"/>
      <c r="C1912" s="15"/>
      <c r="D1912" s="22"/>
      <c r="E1912" s="72"/>
      <c r="F1912" s="102"/>
      <c r="G1912" s="90"/>
      <c r="H1912" s="26"/>
      <c r="I1912" s="25"/>
      <c r="J1912" s="22"/>
      <c r="K1912" s="25"/>
      <c r="L1912" s="25"/>
      <c r="M1912" s="22"/>
    </row>
    <row r="1913" spans="1:13">
      <c r="A1913" s="14"/>
      <c r="B1913" s="67"/>
      <c r="C1913" s="15"/>
      <c r="D1913" s="22"/>
      <c r="E1913" s="71"/>
      <c r="F1913" s="102"/>
      <c r="G1913" s="90"/>
      <c r="H1913" s="26"/>
      <c r="I1913" s="25"/>
      <c r="J1913" s="22"/>
      <c r="K1913" s="25"/>
      <c r="L1913" s="25"/>
      <c r="M1913" s="22"/>
    </row>
    <row r="1914" spans="1:13">
      <c r="A1914" s="14"/>
      <c r="B1914" s="67"/>
      <c r="C1914" s="15"/>
      <c r="D1914" s="22"/>
      <c r="E1914" s="72"/>
      <c r="F1914" s="102"/>
      <c r="G1914" s="90"/>
      <c r="H1914" s="26"/>
      <c r="I1914" s="25"/>
      <c r="J1914" s="22"/>
      <c r="K1914" s="25"/>
      <c r="L1914" s="25"/>
      <c r="M1914" s="22"/>
    </row>
    <row r="1915" spans="1:13">
      <c r="A1915" s="14"/>
      <c r="B1915" s="67"/>
      <c r="C1915" s="15"/>
      <c r="D1915" s="22"/>
      <c r="E1915" s="71"/>
      <c r="F1915" s="102"/>
      <c r="G1915" s="90"/>
      <c r="H1915" s="26"/>
      <c r="I1915" s="25"/>
      <c r="J1915" s="22"/>
      <c r="K1915" s="25"/>
      <c r="L1915" s="25"/>
      <c r="M1915" s="22"/>
    </row>
    <row r="1916" spans="1:13">
      <c r="A1916" s="14"/>
      <c r="B1916" s="67"/>
      <c r="C1916" s="15"/>
      <c r="D1916" s="22"/>
      <c r="E1916" s="72"/>
      <c r="F1916" s="102"/>
      <c r="G1916" s="90"/>
      <c r="H1916" s="26"/>
      <c r="I1916" s="25"/>
      <c r="J1916" s="22"/>
      <c r="K1916" s="25"/>
      <c r="L1916" s="25"/>
      <c r="M1916" s="22"/>
    </row>
    <row r="1917" spans="1:13">
      <c r="A1917" s="14"/>
      <c r="B1917" s="67"/>
      <c r="C1917" s="15"/>
      <c r="D1917" s="22"/>
      <c r="E1917" s="71"/>
      <c r="F1917" s="102"/>
      <c r="G1917" s="90"/>
      <c r="H1917" s="26"/>
      <c r="I1917" s="25"/>
      <c r="J1917" s="22"/>
      <c r="K1917" s="25"/>
      <c r="L1917" s="25"/>
      <c r="M1917" s="22"/>
    </row>
    <row r="1918" spans="1:13">
      <c r="A1918" s="14"/>
      <c r="B1918" s="67"/>
      <c r="C1918" s="15"/>
      <c r="D1918" s="22"/>
      <c r="E1918" s="72"/>
      <c r="F1918" s="102"/>
      <c r="G1918" s="90"/>
      <c r="H1918" s="26"/>
      <c r="I1918" s="25"/>
      <c r="J1918" s="22"/>
      <c r="K1918" s="25"/>
      <c r="L1918" s="25"/>
      <c r="M1918" s="22"/>
    </row>
    <row r="1919" spans="1:13">
      <c r="A1919" s="14"/>
      <c r="B1919" s="67"/>
      <c r="C1919" s="15"/>
      <c r="D1919" s="22"/>
      <c r="E1919" s="71"/>
      <c r="F1919" s="102"/>
      <c r="G1919" s="90"/>
      <c r="H1919" s="26"/>
      <c r="I1919" s="25"/>
      <c r="J1919" s="22"/>
      <c r="K1919" s="25"/>
      <c r="L1919" s="25"/>
      <c r="M1919" s="22"/>
    </row>
    <row r="1920" spans="1:13">
      <c r="A1920" s="14"/>
      <c r="B1920" s="67"/>
      <c r="C1920" s="15"/>
      <c r="D1920" s="22"/>
      <c r="E1920" s="72"/>
      <c r="F1920" s="102"/>
      <c r="G1920" s="90"/>
      <c r="H1920" s="26"/>
      <c r="I1920" s="25"/>
      <c r="J1920" s="22"/>
      <c r="K1920" s="25"/>
      <c r="L1920" s="25"/>
      <c r="M1920" s="22"/>
    </row>
    <row r="1921" spans="1:13">
      <c r="A1921" s="14"/>
      <c r="B1921" s="67"/>
      <c r="C1921" s="15"/>
      <c r="D1921" s="22"/>
      <c r="E1921" s="71"/>
      <c r="F1921" s="102"/>
      <c r="G1921" s="90"/>
      <c r="H1921" s="26"/>
      <c r="I1921" s="25"/>
      <c r="J1921" s="22"/>
      <c r="K1921" s="25"/>
      <c r="L1921" s="25"/>
      <c r="M1921" s="22"/>
    </row>
    <row r="1922" spans="1:13">
      <c r="A1922" s="14"/>
      <c r="B1922" s="67"/>
      <c r="C1922" s="15"/>
      <c r="D1922" s="22"/>
      <c r="E1922" s="72"/>
      <c r="F1922" s="102"/>
      <c r="G1922" s="90"/>
      <c r="H1922" s="26"/>
      <c r="I1922" s="25"/>
      <c r="J1922" s="22"/>
      <c r="K1922" s="25"/>
      <c r="L1922" s="25"/>
      <c r="M1922" s="22"/>
    </row>
    <row r="1923" spans="1:13">
      <c r="A1923" s="14"/>
      <c r="B1923" s="67"/>
      <c r="C1923" s="15"/>
      <c r="D1923" s="22"/>
      <c r="E1923" s="71"/>
      <c r="F1923" s="102"/>
      <c r="G1923" s="90"/>
      <c r="H1923" s="26"/>
      <c r="I1923" s="25"/>
      <c r="J1923" s="22"/>
      <c r="K1923" s="25"/>
      <c r="L1923" s="25"/>
      <c r="M1923" s="22"/>
    </row>
    <row r="1924" spans="1:13">
      <c r="A1924" s="14"/>
      <c r="B1924" s="67"/>
      <c r="C1924" s="15"/>
      <c r="D1924" s="22"/>
      <c r="E1924" s="72"/>
      <c r="F1924" s="102"/>
      <c r="G1924" s="90"/>
      <c r="H1924" s="26"/>
      <c r="I1924" s="25"/>
      <c r="J1924" s="22"/>
      <c r="K1924" s="25"/>
      <c r="L1924" s="25"/>
      <c r="M1924" s="22"/>
    </row>
    <row r="1925" spans="1:13">
      <c r="A1925" s="14"/>
      <c r="B1925" s="67"/>
      <c r="C1925" s="15"/>
      <c r="D1925" s="22"/>
      <c r="E1925" s="71"/>
      <c r="F1925" s="102"/>
      <c r="G1925" s="90"/>
      <c r="H1925" s="26"/>
      <c r="I1925" s="25"/>
      <c r="J1925" s="22"/>
      <c r="K1925" s="25"/>
      <c r="L1925" s="25"/>
      <c r="M1925" s="22"/>
    </row>
    <row r="1926" spans="1:13">
      <c r="A1926" s="14"/>
      <c r="B1926" s="67"/>
      <c r="C1926" s="15"/>
      <c r="D1926" s="22"/>
      <c r="E1926" s="72"/>
      <c r="F1926" s="102"/>
      <c r="G1926" s="90"/>
      <c r="H1926" s="26"/>
      <c r="I1926" s="25"/>
      <c r="J1926" s="22"/>
      <c r="K1926" s="25"/>
      <c r="L1926" s="25"/>
      <c r="M1926" s="22"/>
    </row>
    <row r="1927" spans="1:13">
      <c r="A1927" s="14"/>
      <c r="B1927" s="67"/>
      <c r="C1927" s="15"/>
      <c r="D1927" s="22"/>
      <c r="E1927" s="71"/>
      <c r="F1927" s="102"/>
      <c r="G1927" s="90"/>
      <c r="H1927" s="26"/>
      <c r="I1927" s="25"/>
      <c r="J1927" s="22"/>
      <c r="K1927" s="25"/>
      <c r="L1927" s="25"/>
      <c r="M1927" s="22"/>
    </row>
    <row r="1928" spans="1:13">
      <c r="A1928" s="14"/>
      <c r="B1928" s="67"/>
      <c r="C1928" s="15"/>
      <c r="D1928" s="22"/>
      <c r="E1928" s="72"/>
      <c r="F1928" s="102"/>
      <c r="G1928" s="90"/>
      <c r="H1928" s="26"/>
      <c r="I1928" s="25"/>
      <c r="J1928" s="22"/>
      <c r="K1928" s="25"/>
      <c r="L1928" s="25"/>
      <c r="M1928" s="22"/>
    </row>
    <row r="1929" spans="1:13">
      <c r="A1929" s="14"/>
      <c r="B1929" s="67"/>
      <c r="C1929" s="15"/>
      <c r="D1929" s="22"/>
      <c r="E1929" s="71"/>
      <c r="F1929" s="102"/>
      <c r="G1929" s="90"/>
      <c r="H1929" s="26"/>
      <c r="I1929" s="25"/>
      <c r="J1929" s="22"/>
      <c r="K1929" s="25"/>
      <c r="L1929" s="25"/>
      <c r="M1929" s="22"/>
    </row>
    <row r="1930" spans="1:13">
      <c r="A1930" s="14"/>
      <c r="B1930" s="67"/>
      <c r="C1930" s="15"/>
      <c r="D1930" s="22"/>
      <c r="E1930" s="72"/>
      <c r="F1930" s="102"/>
      <c r="G1930" s="90"/>
      <c r="H1930" s="26"/>
      <c r="I1930" s="25"/>
      <c r="J1930" s="22"/>
      <c r="K1930" s="25"/>
      <c r="L1930" s="25"/>
      <c r="M1930" s="22"/>
    </row>
    <row r="1931" spans="1:13">
      <c r="A1931" s="14"/>
      <c r="B1931" s="67"/>
      <c r="C1931" s="15"/>
      <c r="D1931" s="22"/>
      <c r="E1931" s="71"/>
      <c r="F1931" s="102"/>
      <c r="G1931" s="90"/>
      <c r="H1931" s="26"/>
      <c r="I1931" s="25"/>
      <c r="J1931" s="22"/>
      <c r="K1931" s="25"/>
      <c r="L1931" s="25"/>
      <c r="M1931" s="22"/>
    </row>
    <row r="1932" spans="1:13">
      <c r="A1932" s="14"/>
      <c r="B1932" s="67"/>
      <c r="C1932" s="15"/>
      <c r="D1932" s="22"/>
      <c r="E1932" s="72"/>
      <c r="F1932" s="102"/>
      <c r="G1932" s="90"/>
      <c r="H1932" s="26"/>
      <c r="I1932" s="25"/>
      <c r="J1932" s="22"/>
      <c r="K1932" s="25"/>
      <c r="L1932" s="25"/>
      <c r="M1932" s="22"/>
    </row>
    <row r="1933" spans="1:13">
      <c r="A1933" s="14"/>
      <c r="B1933" s="67"/>
      <c r="C1933" s="15"/>
      <c r="D1933" s="22"/>
      <c r="E1933" s="71"/>
      <c r="F1933" s="102"/>
      <c r="G1933" s="90"/>
      <c r="H1933" s="26"/>
      <c r="I1933" s="25"/>
      <c r="J1933" s="22"/>
      <c r="K1933" s="25"/>
      <c r="L1933" s="25"/>
      <c r="M1933" s="22"/>
    </row>
    <row r="1934" spans="1:13">
      <c r="A1934" s="14"/>
      <c r="B1934" s="67"/>
      <c r="C1934" s="15"/>
      <c r="D1934" s="22"/>
      <c r="E1934" s="72"/>
      <c r="F1934" s="102"/>
      <c r="G1934" s="90"/>
      <c r="H1934" s="26"/>
      <c r="I1934" s="25"/>
      <c r="J1934" s="22"/>
      <c r="K1934" s="25"/>
      <c r="L1934" s="25"/>
      <c r="M1934" s="22"/>
    </row>
    <row r="1935" spans="1:13">
      <c r="A1935" s="14"/>
      <c r="B1935" s="67"/>
      <c r="C1935" s="15"/>
      <c r="D1935" s="22"/>
      <c r="E1935" s="71"/>
      <c r="F1935" s="102"/>
      <c r="G1935" s="90"/>
      <c r="H1935" s="26"/>
      <c r="I1935" s="25"/>
      <c r="J1935" s="22"/>
      <c r="K1935" s="25"/>
      <c r="L1935" s="25"/>
      <c r="M1935" s="22"/>
    </row>
    <row r="1936" spans="1:13">
      <c r="A1936" s="14"/>
      <c r="B1936" s="67"/>
      <c r="C1936" s="15"/>
      <c r="D1936" s="22"/>
      <c r="E1936" s="72"/>
      <c r="F1936" s="102"/>
      <c r="G1936" s="90"/>
      <c r="H1936" s="26"/>
      <c r="I1936" s="25"/>
      <c r="J1936" s="22"/>
      <c r="K1936" s="25"/>
      <c r="L1936" s="25"/>
      <c r="M1936" s="22"/>
    </row>
    <row r="1937" spans="1:13">
      <c r="A1937" s="14"/>
      <c r="B1937" s="67"/>
      <c r="C1937" s="15"/>
      <c r="D1937" s="22"/>
      <c r="E1937" s="71"/>
      <c r="F1937" s="102"/>
      <c r="G1937" s="90"/>
      <c r="H1937" s="26"/>
      <c r="I1937" s="25"/>
      <c r="J1937" s="22"/>
      <c r="K1937" s="25"/>
      <c r="L1937" s="25"/>
      <c r="M1937" s="22"/>
    </row>
    <row r="1938" spans="1:13">
      <c r="A1938" s="14"/>
      <c r="B1938" s="67"/>
      <c r="C1938" s="15"/>
      <c r="D1938" s="22"/>
      <c r="E1938" s="72"/>
      <c r="F1938" s="102"/>
      <c r="G1938" s="90"/>
      <c r="H1938" s="26"/>
      <c r="I1938" s="25"/>
      <c r="J1938" s="22"/>
      <c r="K1938" s="25"/>
      <c r="L1938" s="25"/>
      <c r="M1938" s="22"/>
    </row>
    <row r="1939" spans="1:13">
      <c r="A1939" s="14"/>
      <c r="B1939" s="67"/>
      <c r="C1939" s="15"/>
      <c r="D1939" s="22"/>
      <c r="E1939" s="71"/>
      <c r="F1939" s="102"/>
      <c r="G1939" s="90"/>
      <c r="H1939" s="26"/>
      <c r="I1939" s="25"/>
      <c r="J1939" s="22"/>
      <c r="K1939" s="25"/>
      <c r="L1939" s="25"/>
      <c r="M1939" s="22"/>
    </row>
    <row r="1940" spans="1:13">
      <c r="A1940" s="14"/>
      <c r="B1940" s="67"/>
      <c r="C1940" s="15"/>
      <c r="D1940" s="22"/>
      <c r="E1940" s="72"/>
      <c r="F1940" s="102"/>
      <c r="G1940" s="90"/>
      <c r="H1940" s="26"/>
      <c r="I1940" s="25"/>
      <c r="J1940" s="22"/>
      <c r="K1940" s="25"/>
      <c r="L1940" s="25"/>
      <c r="M1940" s="22"/>
    </row>
    <row r="1941" spans="1:13">
      <c r="A1941" s="14"/>
      <c r="B1941" s="67"/>
      <c r="C1941" s="15"/>
      <c r="D1941" s="22"/>
      <c r="E1941" s="71"/>
      <c r="F1941" s="102"/>
      <c r="G1941" s="90"/>
      <c r="H1941" s="26"/>
      <c r="I1941" s="25"/>
      <c r="J1941" s="22"/>
      <c r="K1941" s="25"/>
      <c r="L1941" s="25"/>
      <c r="M1941" s="22"/>
    </row>
    <row r="1942" spans="1:13">
      <c r="A1942" s="14"/>
      <c r="B1942" s="67"/>
      <c r="C1942" s="15"/>
      <c r="D1942" s="22"/>
      <c r="E1942" s="72"/>
      <c r="F1942" s="102"/>
      <c r="G1942" s="90"/>
      <c r="H1942" s="26"/>
      <c r="I1942" s="25"/>
      <c r="J1942" s="22"/>
      <c r="K1942" s="25"/>
      <c r="L1942" s="25"/>
      <c r="M1942" s="22"/>
    </row>
    <row r="1943" spans="1:13">
      <c r="A1943" s="14"/>
      <c r="B1943" s="67"/>
      <c r="C1943" s="15"/>
      <c r="D1943" s="22"/>
      <c r="E1943" s="71"/>
      <c r="F1943" s="102"/>
      <c r="G1943" s="90"/>
      <c r="H1943" s="26"/>
      <c r="I1943" s="25"/>
      <c r="J1943" s="22"/>
      <c r="K1943" s="25"/>
      <c r="L1943" s="25"/>
      <c r="M1943" s="22"/>
    </row>
    <row r="1944" spans="1:13">
      <c r="A1944" s="14"/>
      <c r="B1944" s="67"/>
      <c r="C1944" s="15"/>
      <c r="D1944" s="22"/>
      <c r="E1944" s="72"/>
      <c r="F1944" s="102"/>
      <c r="G1944" s="90"/>
      <c r="H1944" s="26"/>
      <c r="I1944" s="25"/>
      <c r="J1944" s="22"/>
      <c r="K1944" s="25"/>
      <c r="L1944" s="25"/>
      <c r="M1944" s="22"/>
    </row>
    <row r="1945" spans="1:13">
      <c r="A1945" s="14"/>
      <c r="B1945" s="67"/>
      <c r="C1945" s="15"/>
      <c r="D1945" s="22"/>
      <c r="E1945" s="71"/>
      <c r="F1945" s="102"/>
      <c r="G1945" s="90"/>
      <c r="H1945" s="26"/>
      <c r="I1945" s="25"/>
      <c r="J1945" s="22"/>
      <c r="K1945" s="25"/>
      <c r="L1945" s="25"/>
      <c r="M1945" s="22"/>
    </row>
    <row r="1946" spans="1:13">
      <c r="A1946" s="14"/>
      <c r="B1946" s="67"/>
      <c r="C1946" s="15"/>
      <c r="D1946" s="22"/>
      <c r="E1946" s="72"/>
      <c r="F1946" s="102"/>
      <c r="G1946" s="90"/>
      <c r="H1946" s="26"/>
      <c r="I1946" s="25"/>
      <c r="J1946" s="22"/>
      <c r="K1946" s="25"/>
      <c r="L1946" s="25"/>
      <c r="M1946" s="22"/>
    </row>
    <row r="1947" spans="1:13">
      <c r="A1947" s="14"/>
      <c r="B1947" s="67"/>
      <c r="C1947" s="15"/>
      <c r="D1947" s="22"/>
      <c r="E1947" s="71"/>
      <c r="F1947" s="102"/>
      <c r="G1947" s="90"/>
      <c r="H1947" s="26"/>
      <c r="I1947" s="25"/>
      <c r="J1947" s="22"/>
      <c r="K1947" s="25"/>
      <c r="L1947" s="25"/>
      <c r="M1947" s="22"/>
    </row>
    <row r="1948" spans="1:13">
      <c r="A1948" s="14"/>
      <c r="B1948" s="67"/>
      <c r="C1948" s="15"/>
      <c r="D1948" s="22"/>
      <c r="E1948" s="72"/>
      <c r="F1948" s="102"/>
      <c r="G1948" s="90"/>
      <c r="H1948" s="26"/>
      <c r="I1948" s="25"/>
      <c r="J1948" s="22"/>
      <c r="K1948" s="25"/>
      <c r="L1948" s="25"/>
      <c r="M1948" s="22"/>
    </row>
    <row r="1949" spans="1:13">
      <c r="A1949" s="14"/>
      <c r="B1949" s="67"/>
      <c r="C1949" s="15"/>
      <c r="D1949" s="22"/>
      <c r="E1949" s="71"/>
      <c r="F1949" s="102"/>
      <c r="G1949" s="90"/>
      <c r="H1949" s="26"/>
      <c r="I1949" s="25"/>
      <c r="J1949" s="22"/>
      <c r="K1949" s="25"/>
      <c r="L1949" s="25"/>
      <c r="M1949" s="22"/>
    </row>
    <row r="1950" spans="1:13">
      <c r="A1950" s="14"/>
      <c r="B1950" s="67"/>
      <c r="C1950" s="15"/>
      <c r="D1950" s="22"/>
      <c r="E1950" s="72"/>
      <c r="F1950" s="102"/>
      <c r="G1950" s="90"/>
      <c r="H1950" s="26"/>
      <c r="I1950" s="25"/>
      <c r="J1950" s="22"/>
      <c r="K1950" s="25"/>
      <c r="L1950" s="25"/>
      <c r="M1950" s="22"/>
    </row>
    <row r="1951" spans="1:13">
      <c r="A1951" s="14"/>
      <c r="B1951" s="67"/>
      <c r="C1951" s="15"/>
      <c r="D1951" s="22"/>
      <c r="E1951" s="71"/>
      <c r="F1951" s="102"/>
      <c r="G1951" s="90"/>
      <c r="H1951" s="26"/>
      <c r="I1951" s="25"/>
      <c r="J1951" s="22"/>
      <c r="K1951" s="25"/>
      <c r="L1951" s="25"/>
      <c r="M1951" s="22"/>
    </row>
    <row r="1952" spans="1:13">
      <c r="A1952" s="14"/>
      <c r="B1952" s="67"/>
      <c r="C1952" s="15"/>
      <c r="D1952" s="22"/>
      <c r="E1952" s="72"/>
      <c r="F1952" s="102"/>
      <c r="G1952" s="90"/>
      <c r="H1952" s="26"/>
      <c r="I1952" s="25"/>
      <c r="J1952" s="22"/>
      <c r="K1952" s="25"/>
      <c r="L1952" s="25"/>
      <c r="M1952" s="22"/>
    </row>
    <row r="1953" spans="1:13">
      <c r="A1953" s="14"/>
      <c r="B1953" s="67"/>
      <c r="C1953" s="15"/>
      <c r="D1953" s="22"/>
      <c r="E1953" s="71"/>
      <c r="F1953" s="102"/>
      <c r="G1953" s="90"/>
      <c r="H1953" s="26"/>
      <c r="I1953" s="25"/>
      <c r="J1953" s="22"/>
      <c r="K1953" s="25"/>
      <c r="L1953" s="25"/>
      <c r="M1953" s="22"/>
    </row>
    <row r="1954" spans="1:13">
      <c r="A1954" s="14"/>
      <c r="B1954" s="67"/>
      <c r="C1954" s="15"/>
      <c r="D1954" s="22"/>
      <c r="E1954" s="72"/>
      <c r="F1954" s="102"/>
      <c r="G1954" s="90"/>
      <c r="H1954" s="26"/>
      <c r="I1954" s="25"/>
      <c r="J1954" s="22"/>
      <c r="K1954" s="25"/>
      <c r="L1954" s="25"/>
      <c r="M1954" s="22"/>
    </row>
    <row r="1955" spans="1:13">
      <c r="A1955" s="14"/>
      <c r="B1955" s="67"/>
      <c r="C1955" s="15"/>
      <c r="D1955" s="22"/>
      <c r="E1955" s="71"/>
      <c r="F1955" s="102"/>
      <c r="G1955" s="90"/>
      <c r="H1955" s="26"/>
      <c r="I1955" s="25"/>
      <c r="J1955" s="22"/>
      <c r="K1955" s="25"/>
      <c r="L1955" s="25"/>
      <c r="M1955" s="22"/>
    </row>
    <row r="1956" spans="1:13">
      <c r="A1956" s="14"/>
      <c r="B1956" s="67"/>
      <c r="C1956" s="15"/>
      <c r="D1956" s="22"/>
      <c r="E1956" s="72"/>
      <c r="F1956" s="102"/>
      <c r="G1956" s="90"/>
      <c r="H1956" s="26"/>
      <c r="I1956" s="25"/>
      <c r="J1956" s="22"/>
      <c r="K1956" s="25"/>
      <c r="L1956" s="25"/>
      <c r="M1956" s="22"/>
    </row>
    <row r="1957" spans="1:13">
      <c r="A1957" s="14"/>
      <c r="B1957" s="67"/>
      <c r="C1957" s="15"/>
      <c r="D1957" s="22"/>
      <c r="E1957" s="71"/>
      <c r="F1957" s="102"/>
      <c r="G1957" s="90"/>
      <c r="H1957" s="26"/>
      <c r="I1957" s="25"/>
      <c r="J1957" s="22"/>
      <c r="K1957" s="25"/>
      <c r="L1957" s="25"/>
      <c r="M1957" s="22"/>
    </row>
    <row r="1958" spans="1:13">
      <c r="A1958" s="14"/>
      <c r="B1958" s="67"/>
      <c r="C1958" s="15"/>
      <c r="D1958" s="22"/>
      <c r="E1958" s="72"/>
      <c r="F1958" s="102"/>
      <c r="G1958" s="90"/>
      <c r="H1958" s="26"/>
      <c r="I1958" s="25"/>
      <c r="J1958" s="22"/>
      <c r="K1958" s="25"/>
      <c r="L1958" s="25"/>
      <c r="M1958" s="22"/>
    </row>
    <row r="1959" spans="1:13">
      <c r="A1959" s="14"/>
      <c r="B1959" s="67"/>
      <c r="C1959" s="15"/>
      <c r="D1959" s="22"/>
      <c r="E1959" s="71"/>
      <c r="F1959" s="102"/>
      <c r="G1959" s="90"/>
      <c r="H1959" s="26"/>
      <c r="I1959" s="25"/>
      <c r="J1959" s="22"/>
      <c r="K1959" s="25"/>
      <c r="L1959" s="25"/>
      <c r="M1959" s="22"/>
    </row>
    <row r="1960" spans="1:13">
      <c r="A1960" s="14"/>
      <c r="B1960" s="67"/>
      <c r="C1960" s="15"/>
      <c r="D1960" s="22"/>
      <c r="E1960" s="72"/>
      <c r="F1960" s="102"/>
      <c r="G1960" s="90"/>
      <c r="H1960" s="26"/>
      <c r="I1960" s="25"/>
      <c r="J1960" s="22"/>
      <c r="K1960" s="25"/>
      <c r="L1960" s="25"/>
      <c r="M1960" s="22"/>
    </row>
    <row r="1961" spans="1:13">
      <c r="A1961" s="14"/>
      <c r="B1961" s="67"/>
      <c r="C1961" s="15"/>
      <c r="D1961" s="22"/>
      <c r="E1961" s="71"/>
      <c r="F1961" s="102"/>
      <c r="G1961" s="90"/>
      <c r="H1961" s="26"/>
      <c r="I1961" s="25"/>
      <c r="J1961" s="22"/>
      <c r="K1961" s="25"/>
      <c r="L1961" s="25"/>
      <c r="M1961" s="22"/>
    </row>
    <row r="1962" spans="1:13">
      <c r="A1962" s="14"/>
      <c r="B1962" s="67"/>
      <c r="C1962" s="15"/>
      <c r="D1962" s="22"/>
      <c r="E1962" s="72"/>
      <c r="F1962" s="102"/>
      <c r="G1962" s="90"/>
      <c r="H1962" s="26"/>
      <c r="I1962" s="25"/>
      <c r="J1962" s="22"/>
      <c r="K1962" s="25"/>
      <c r="L1962" s="25"/>
      <c r="M1962" s="22"/>
    </row>
    <row r="1963" spans="1:13">
      <c r="A1963" s="14"/>
      <c r="B1963" s="67"/>
      <c r="C1963" s="15"/>
      <c r="D1963" s="22"/>
      <c r="E1963" s="71"/>
      <c r="F1963" s="102"/>
      <c r="G1963" s="90"/>
      <c r="H1963" s="26"/>
      <c r="I1963" s="25"/>
      <c r="J1963" s="22"/>
      <c r="K1963" s="25"/>
      <c r="L1963" s="25"/>
      <c r="M1963" s="22"/>
    </row>
    <row r="1964" spans="1:13">
      <c r="A1964" s="14"/>
      <c r="B1964" s="67"/>
      <c r="C1964" s="15"/>
      <c r="D1964" s="22"/>
      <c r="E1964" s="72"/>
      <c r="F1964" s="102"/>
      <c r="G1964" s="90"/>
      <c r="H1964" s="26"/>
      <c r="I1964" s="25"/>
      <c r="J1964" s="22"/>
      <c r="K1964" s="25"/>
      <c r="L1964" s="25"/>
      <c r="M1964" s="22"/>
    </row>
    <row r="1965" spans="1:13">
      <c r="A1965" s="14"/>
      <c r="B1965" s="67"/>
      <c r="C1965" s="15"/>
      <c r="D1965" s="22"/>
      <c r="E1965" s="71"/>
      <c r="F1965" s="102"/>
      <c r="G1965" s="90"/>
      <c r="H1965" s="26"/>
      <c r="I1965" s="25"/>
      <c r="J1965" s="22"/>
      <c r="K1965" s="25"/>
      <c r="L1965" s="25"/>
      <c r="M1965" s="22"/>
    </row>
    <row r="1966" spans="1:13">
      <c r="A1966" s="14"/>
      <c r="B1966" s="67"/>
      <c r="C1966" s="15"/>
      <c r="D1966" s="22"/>
      <c r="E1966" s="72"/>
      <c r="F1966" s="102"/>
      <c r="G1966" s="90"/>
      <c r="H1966" s="26"/>
      <c r="I1966" s="25"/>
      <c r="J1966" s="22"/>
      <c r="K1966" s="25"/>
      <c r="L1966" s="25"/>
      <c r="M1966" s="22"/>
    </row>
    <row r="1967" spans="1:13">
      <c r="A1967" s="14"/>
      <c r="B1967" s="67"/>
      <c r="C1967" s="15"/>
      <c r="D1967" s="22"/>
      <c r="E1967" s="71"/>
      <c r="F1967" s="102"/>
      <c r="G1967" s="90"/>
      <c r="H1967" s="26"/>
      <c r="I1967" s="25"/>
      <c r="J1967" s="22"/>
      <c r="K1967" s="25"/>
      <c r="L1967" s="25"/>
      <c r="M1967" s="22"/>
    </row>
    <row r="1968" spans="1:13">
      <c r="A1968" s="14"/>
      <c r="B1968" s="67"/>
      <c r="C1968" s="15"/>
      <c r="D1968" s="22"/>
      <c r="E1968" s="72"/>
      <c r="F1968" s="102"/>
      <c r="G1968" s="90"/>
      <c r="H1968" s="26"/>
      <c r="I1968" s="25"/>
      <c r="J1968" s="22"/>
      <c r="K1968" s="25"/>
      <c r="L1968" s="25"/>
      <c r="M1968" s="22"/>
    </row>
    <row r="1969" spans="1:13">
      <c r="A1969" s="14"/>
      <c r="B1969" s="67"/>
      <c r="C1969" s="15"/>
      <c r="D1969" s="22"/>
      <c r="E1969" s="71"/>
      <c r="F1969" s="102"/>
      <c r="G1969" s="90"/>
      <c r="H1969" s="26"/>
      <c r="I1969" s="25"/>
      <c r="J1969" s="22"/>
      <c r="K1969" s="25"/>
      <c r="L1969" s="25"/>
      <c r="M1969" s="22"/>
    </row>
    <row r="1970" spans="1:13">
      <c r="A1970" s="14"/>
      <c r="B1970" s="67"/>
      <c r="C1970" s="15"/>
      <c r="D1970" s="22"/>
      <c r="E1970" s="72"/>
      <c r="F1970" s="102"/>
      <c r="G1970" s="90"/>
      <c r="H1970" s="26"/>
      <c r="I1970" s="25"/>
      <c r="J1970" s="22"/>
      <c r="K1970" s="25"/>
      <c r="L1970" s="25"/>
      <c r="M1970" s="22"/>
    </row>
    <row r="1971" spans="1:13">
      <c r="A1971" s="14"/>
      <c r="B1971" s="67"/>
      <c r="C1971" s="15"/>
      <c r="D1971" s="22"/>
      <c r="E1971" s="71"/>
      <c r="F1971" s="102"/>
      <c r="G1971" s="90"/>
      <c r="H1971" s="26"/>
      <c r="I1971" s="25"/>
      <c r="J1971" s="22"/>
      <c r="K1971" s="25"/>
      <c r="L1971" s="25"/>
      <c r="M1971" s="22"/>
    </row>
    <row r="1972" spans="1:13">
      <c r="A1972" s="14"/>
      <c r="B1972" s="67"/>
      <c r="C1972" s="15"/>
      <c r="D1972" s="22"/>
      <c r="E1972" s="72"/>
      <c r="F1972" s="102"/>
      <c r="G1972" s="90"/>
      <c r="H1972" s="26"/>
      <c r="I1972" s="25"/>
      <c r="J1972" s="22"/>
      <c r="K1972" s="25"/>
      <c r="L1972" s="25"/>
      <c r="M1972" s="22"/>
    </row>
    <row r="1973" spans="1:13">
      <c r="A1973" s="14"/>
      <c r="B1973" s="67"/>
      <c r="C1973" s="15"/>
      <c r="D1973" s="22"/>
      <c r="E1973" s="71"/>
      <c r="F1973" s="102"/>
      <c r="G1973" s="90"/>
      <c r="H1973" s="26"/>
      <c r="I1973" s="25"/>
      <c r="J1973" s="22"/>
      <c r="K1973" s="25"/>
      <c r="L1973" s="25"/>
      <c r="M1973" s="22"/>
    </row>
    <row r="1974" spans="1:13">
      <c r="A1974" s="14"/>
      <c r="B1974" s="67"/>
      <c r="C1974" s="15"/>
      <c r="D1974" s="22"/>
      <c r="E1974" s="72"/>
      <c r="F1974" s="102"/>
      <c r="G1974" s="90"/>
      <c r="H1974" s="26"/>
      <c r="I1974" s="25"/>
      <c r="J1974" s="22"/>
      <c r="K1974" s="25"/>
      <c r="L1974" s="25"/>
      <c r="M1974" s="22"/>
    </row>
    <row r="1975" spans="1:13">
      <c r="A1975" s="14"/>
      <c r="B1975" s="67"/>
      <c r="C1975" s="15"/>
      <c r="D1975" s="22"/>
      <c r="E1975" s="71"/>
      <c r="F1975" s="102"/>
      <c r="G1975" s="90"/>
      <c r="H1975" s="26"/>
      <c r="I1975" s="25"/>
      <c r="J1975" s="22"/>
      <c r="K1975" s="25"/>
      <c r="L1975" s="25"/>
      <c r="M1975" s="22"/>
    </row>
    <row r="1976" spans="1:13">
      <c r="A1976" s="14"/>
      <c r="B1976" s="67"/>
      <c r="C1976" s="15"/>
      <c r="D1976" s="22"/>
      <c r="E1976" s="72"/>
      <c r="F1976" s="102"/>
      <c r="G1976" s="90"/>
      <c r="H1976" s="26"/>
      <c r="I1976" s="25"/>
      <c r="J1976" s="22"/>
      <c r="K1976" s="25"/>
      <c r="L1976" s="25"/>
      <c r="M1976" s="22"/>
    </row>
    <row r="1977" spans="1:13">
      <c r="A1977" s="14"/>
      <c r="B1977" s="67"/>
      <c r="C1977" s="15"/>
      <c r="D1977" s="22"/>
      <c r="E1977" s="71"/>
      <c r="F1977" s="102"/>
      <c r="G1977" s="90"/>
      <c r="H1977" s="26"/>
      <c r="I1977" s="25"/>
      <c r="J1977" s="22"/>
      <c r="K1977" s="25"/>
      <c r="L1977" s="25"/>
      <c r="M1977" s="22"/>
    </row>
    <row r="1978" spans="1:13">
      <c r="A1978" s="14"/>
      <c r="B1978" s="67"/>
      <c r="C1978" s="15"/>
      <c r="D1978" s="22"/>
      <c r="E1978" s="72"/>
      <c r="F1978" s="102"/>
      <c r="G1978" s="90"/>
      <c r="H1978" s="26"/>
      <c r="I1978" s="25"/>
      <c r="J1978" s="22"/>
      <c r="K1978" s="25"/>
      <c r="L1978" s="25"/>
      <c r="M1978" s="22"/>
    </row>
    <row r="1979" spans="1:13">
      <c r="A1979" s="14"/>
      <c r="B1979" s="67"/>
      <c r="C1979" s="15"/>
      <c r="D1979" s="22"/>
      <c r="E1979" s="71"/>
      <c r="F1979" s="102"/>
      <c r="G1979" s="90"/>
      <c r="H1979" s="26"/>
      <c r="I1979" s="25"/>
      <c r="J1979" s="22"/>
      <c r="K1979" s="25"/>
      <c r="L1979" s="25"/>
      <c r="M1979" s="22"/>
    </row>
    <row r="1980" spans="1:13">
      <c r="A1980" s="14"/>
      <c r="B1980" s="67"/>
      <c r="C1980" s="15"/>
      <c r="D1980" s="22"/>
      <c r="E1980" s="72"/>
      <c r="F1980" s="102"/>
      <c r="G1980" s="90"/>
      <c r="H1980" s="26"/>
      <c r="I1980" s="25"/>
      <c r="J1980" s="22"/>
      <c r="K1980" s="25"/>
      <c r="L1980" s="25"/>
      <c r="M1980" s="22"/>
    </row>
    <row r="1981" spans="1:13">
      <c r="A1981" s="14"/>
      <c r="B1981" s="67"/>
      <c r="C1981" s="15"/>
      <c r="D1981" s="22"/>
      <c r="E1981" s="71"/>
      <c r="F1981" s="102"/>
      <c r="G1981" s="90"/>
      <c r="H1981" s="26"/>
      <c r="I1981" s="25"/>
      <c r="J1981" s="22"/>
      <c r="K1981" s="25"/>
      <c r="L1981" s="25"/>
      <c r="M1981" s="22"/>
    </row>
    <row r="1982" spans="1:13">
      <c r="A1982" s="14"/>
      <c r="B1982" s="67"/>
      <c r="C1982" s="15"/>
      <c r="D1982" s="22"/>
      <c r="E1982" s="72"/>
      <c r="F1982" s="102"/>
      <c r="G1982" s="90"/>
      <c r="H1982" s="26"/>
      <c r="I1982" s="25"/>
      <c r="J1982" s="22"/>
      <c r="K1982" s="25"/>
      <c r="L1982" s="25"/>
      <c r="M1982" s="22"/>
    </row>
    <row r="1983" spans="1:13">
      <c r="A1983" s="14"/>
      <c r="B1983" s="67"/>
      <c r="C1983" s="15"/>
      <c r="D1983" s="22"/>
      <c r="E1983" s="71"/>
      <c r="F1983" s="102"/>
      <c r="G1983" s="90"/>
      <c r="H1983" s="26"/>
      <c r="I1983" s="25"/>
      <c r="J1983" s="22"/>
      <c r="K1983" s="25"/>
      <c r="L1983" s="25"/>
      <c r="M1983" s="22"/>
    </row>
    <row r="1984" spans="1:13">
      <c r="A1984" s="14"/>
      <c r="B1984" s="67"/>
      <c r="C1984" s="15"/>
      <c r="D1984" s="22"/>
      <c r="E1984" s="72"/>
      <c r="F1984" s="102"/>
      <c r="G1984" s="90"/>
      <c r="H1984" s="26"/>
      <c r="I1984" s="25"/>
      <c r="J1984" s="22"/>
      <c r="K1984" s="25"/>
      <c r="L1984" s="25"/>
      <c r="M1984" s="22"/>
    </row>
    <row r="1985" spans="1:13">
      <c r="A1985" s="14"/>
      <c r="B1985" s="67"/>
      <c r="C1985" s="15"/>
      <c r="D1985" s="22"/>
      <c r="E1985" s="71"/>
      <c r="F1985" s="102"/>
      <c r="G1985" s="90"/>
      <c r="H1985" s="26"/>
      <c r="I1985" s="25"/>
      <c r="J1985" s="22"/>
      <c r="K1985" s="25"/>
      <c r="L1985" s="25"/>
      <c r="M1985" s="22"/>
    </row>
    <row r="1986" spans="1:13">
      <c r="A1986" s="14"/>
      <c r="B1986" s="67"/>
      <c r="C1986" s="15"/>
      <c r="D1986" s="22"/>
      <c r="E1986" s="72"/>
      <c r="F1986" s="102"/>
      <c r="G1986" s="90"/>
      <c r="H1986" s="26"/>
      <c r="I1986" s="25"/>
      <c r="J1986" s="22"/>
      <c r="K1986" s="25"/>
      <c r="L1986" s="25"/>
      <c r="M1986" s="22"/>
    </row>
    <row r="1987" spans="1:13">
      <c r="A1987" s="14"/>
      <c r="B1987" s="67"/>
      <c r="C1987" s="15"/>
      <c r="D1987" s="22"/>
      <c r="E1987" s="71"/>
      <c r="F1987" s="102"/>
      <c r="G1987" s="90"/>
      <c r="H1987" s="26"/>
      <c r="I1987" s="25"/>
      <c r="J1987" s="22"/>
      <c r="K1987" s="25"/>
      <c r="L1987" s="25"/>
      <c r="M1987" s="22"/>
    </row>
    <row r="1988" spans="1:13">
      <c r="A1988" s="14"/>
      <c r="B1988" s="67"/>
      <c r="C1988" s="15"/>
      <c r="D1988" s="22"/>
      <c r="E1988" s="72"/>
      <c r="F1988" s="102"/>
      <c r="G1988" s="90"/>
      <c r="H1988" s="26"/>
      <c r="I1988" s="25"/>
      <c r="J1988" s="22"/>
      <c r="K1988" s="25"/>
      <c r="L1988" s="25"/>
      <c r="M1988" s="22"/>
    </row>
    <row r="1989" spans="1:13">
      <c r="A1989" s="14"/>
      <c r="B1989" s="67"/>
      <c r="C1989" s="15"/>
      <c r="D1989" s="22"/>
      <c r="E1989" s="71"/>
      <c r="F1989" s="102"/>
      <c r="G1989" s="90"/>
      <c r="H1989" s="26"/>
      <c r="I1989" s="25"/>
      <c r="J1989" s="22"/>
      <c r="K1989" s="25"/>
      <c r="L1989" s="25"/>
      <c r="M1989" s="22"/>
    </row>
    <row r="1990" spans="1:13">
      <c r="A1990" s="14"/>
      <c r="B1990" s="67"/>
      <c r="C1990" s="15"/>
      <c r="D1990" s="22"/>
      <c r="E1990" s="72"/>
      <c r="F1990" s="102"/>
      <c r="G1990" s="90"/>
      <c r="H1990" s="26"/>
      <c r="I1990" s="25"/>
      <c r="J1990" s="22"/>
      <c r="K1990" s="25"/>
      <c r="L1990" s="25"/>
      <c r="M1990" s="22"/>
    </row>
    <row r="1991" spans="1:13">
      <c r="A1991" s="14"/>
      <c r="B1991" s="67"/>
      <c r="C1991" s="15"/>
      <c r="D1991" s="22"/>
      <c r="E1991" s="71"/>
      <c r="F1991" s="102"/>
      <c r="G1991" s="90"/>
      <c r="H1991" s="26"/>
      <c r="I1991" s="25"/>
      <c r="J1991" s="22"/>
      <c r="K1991" s="25"/>
      <c r="L1991" s="25"/>
      <c r="M1991" s="22"/>
    </row>
    <row r="1992" spans="1:13">
      <c r="A1992" s="14"/>
      <c r="B1992" s="67"/>
      <c r="C1992" s="15"/>
      <c r="D1992" s="22"/>
      <c r="E1992" s="72"/>
      <c r="F1992" s="102"/>
      <c r="G1992" s="90"/>
      <c r="H1992" s="26"/>
      <c r="I1992" s="25"/>
      <c r="J1992" s="22"/>
      <c r="K1992" s="25"/>
      <c r="L1992" s="25"/>
      <c r="M1992" s="22"/>
    </row>
    <row r="1993" spans="1:13">
      <c r="A1993" s="14"/>
      <c r="B1993" s="67"/>
      <c r="C1993" s="15"/>
      <c r="D1993" s="22"/>
      <c r="E1993" s="71"/>
      <c r="F1993" s="102"/>
      <c r="G1993" s="90"/>
      <c r="H1993" s="26"/>
      <c r="I1993" s="25"/>
      <c r="J1993" s="22"/>
      <c r="K1993" s="25"/>
      <c r="L1993" s="25"/>
      <c r="M1993" s="22"/>
    </row>
    <row r="1994" spans="1:13">
      <c r="A1994" s="14"/>
      <c r="B1994" s="67"/>
      <c r="C1994" s="15"/>
      <c r="D1994" s="22"/>
      <c r="E1994" s="72"/>
      <c r="F1994" s="102"/>
      <c r="G1994" s="90"/>
      <c r="H1994" s="26"/>
      <c r="I1994" s="25"/>
      <c r="J1994" s="22"/>
      <c r="K1994" s="25"/>
      <c r="L1994" s="25"/>
      <c r="M1994" s="22"/>
    </row>
    <row r="1995" spans="1:13">
      <c r="A1995" s="14"/>
      <c r="B1995" s="67"/>
      <c r="C1995" s="15"/>
      <c r="D1995" s="22"/>
      <c r="E1995" s="71"/>
      <c r="F1995" s="102"/>
      <c r="G1995" s="90"/>
      <c r="H1995" s="26"/>
      <c r="I1995" s="25"/>
      <c r="J1995" s="22"/>
      <c r="K1995" s="25"/>
      <c r="L1995" s="25"/>
      <c r="M1995" s="22"/>
    </row>
    <row r="1996" spans="1:13">
      <c r="A1996" s="14"/>
      <c r="B1996" s="67"/>
      <c r="C1996" s="15"/>
      <c r="D1996" s="22"/>
      <c r="E1996" s="72"/>
      <c r="F1996" s="102"/>
      <c r="G1996" s="90"/>
      <c r="H1996" s="26"/>
      <c r="I1996" s="25"/>
      <c r="J1996" s="22"/>
      <c r="K1996" s="25"/>
      <c r="L1996" s="25"/>
      <c r="M1996" s="22"/>
    </row>
    <row r="1997" spans="1:13">
      <c r="A1997" s="14"/>
      <c r="B1997" s="67"/>
      <c r="C1997" s="15"/>
      <c r="D1997" s="22"/>
      <c r="E1997" s="71"/>
      <c r="F1997" s="102"/>
      <c r="G1997" s="90"/>
      <c r="H1997" s="26"/>
      <c r="I1997" s="25"/>
      <c r="J1997" s="22"/>
      <c r="K1997" s="25"/>
      <c r="L1997" s="25"/>
      <c r="M1997" s="22"/>
    </row>
    <row r="1998" spans="1:13">
      <c r="A1998" s="14"/>
      <c r="B1998" s="67"/>
      <c r="C1998" s="15"/>
      <c r="D1998" s="22"/>
      <c r="E1998" s="72"/>
      <c r="F1998" s="102"/>
      <c r="G1998" s="90"/>
      <c r="H1998" s="26"/>
      <c r="I1998" s="25"/>
      <c r="J1998" s="22"/>
      <c r="K1998" s="25"/>
      <c r="L1998" s="25"/>
      <c r="M1998" s="22"/>
    </row>
    <row r="1999" spans="1:13">
      <c r="A1999" s="14"/>
      <c r="B1999" s="67"/>
      <c r="C1999" s="15"/>
      <c r="D1999" s="22"/>
      <c r="E1999" s="71"/>
      <c r="F1999" s="102"/>
      <c r="G1999" s="90"/>
      <c r="H1999" s="26"/>
      <c r="I1999" s="25"/>
      <c r="J1999" s="22"/>
      <c r="K1999" s="25"/>
      <c r="L1999" s="25"/>
      <c r="M1999" s="22"/>
    </row>
    <row r="2000" spans="1:13">
      <c r="A2000" s="14"/>
      <c r="B2000" s="67"/>
      <c r="C2000" s="15"/>
      <c r="D2000" s="22"/>
      <c r="E2000" s="72"/>
      <c r="F2000" s="102"/>
      <c r="G2000" s="90"/>
      <c r="H2000" s="26"/>
      <c r="I2000" s="25"/>
      <c r="J2000" s="22"/>
      <c r="K2000" s="25"/>
      <c r="L2000" s="25"/>
      <c r="M2000" s="22"/>
    </row>
    <row r="2001" spans="1:13">
      <c r="A2001" s="14"/>
      <c r="B2001" s="67"/>
      <c r="C2001" s="15"/>
      <c r="D2001" s="22"/>
      <c r="E2001" s="71"/>
      <c r="F2001" s="102"/>
      <c r="G2001" s="90"/>
      <c r="H2001" s="26"/>
      <c r="I2001" s="25"/>
      <c r="J2001" s="22"/>
      <c r="K2001" s="25"/>
      <c r="L2001" s="25"/>
      <c r="M2001" s="22"/>
    </row>
    <row r="2002" spans="1:13">
      <c r="A2002" s="14"/>
      <c r="B2002" s="67"/>
      <c r="C2002" s="15"/>
      <c r="D2002" s="22"/>
      <c r="E2002" s="72"/>
      <c r="F2002" s="102"/>
      <c r="G2002" s="90"/>
      <c r="H2002" s="26"/>
      <c r="I2002" s="25"/>
      <c r="J2002" s="22"/>
      <c r="K2002" s="25"/>
      <c r="L2002" s="25"/>
      <c r="M2002" s="22"/>
    </row>
    <row r="2003" spans="1:13">
      <c r="A2003" s="14"/>
      <c r="B2003" s="67"/>
      <c r="C2003" s="15"/>
      <c r="D2003" s="22"/>
      <c r="E2003" s="71"/>
      <c r="F2003" s="102"/>
      <c r="G2003" s="90"/>
      <c r="H2003" s="26"/>
      <c r="I2003" s="25"/>
      <c r="J2003" s="22"/>
      <c r="K2003" s="25"/>
      <c r="L2003" s="25"/>
      <c r="M2003" s="22"/>
    </row>
    <row r="2004" spans="1:13">
      <c r="A2004" s="14"/>
      <c r="B2004" s="67"/>
      <c r="C2004" s="15"/>
      <c r="D2004" s="22"/>
      <c r="E2004" s="72"/>
      <c r="F2004" s="102"/>
      <c r="G2004" s="90"/>
      <c r="H2004" s="26"/>
      <c r="I2004" s="25"/>
      <c r="J2004" s="22"/>
      <c r="K2004" s="25"/>
      <c r="L2004" s="25"/>
      <c r="M2004" s="22"/>
    </row>
    <row r="2005" spans="1:13">
      <c r="A2005" s="14"/>
      <c r="B2005" s="67"/>
      <c r="C2005" s="15"/>
      <c r="D2005" s="22"/>
      <c r="E2005" s="71"/>
      <c r="F2005" s="102"/>
      <c r="G2005" s="90"/>
      <c r="H2005" s="26"/>
      <c r="I2005" s="25"/>
      <c r="J2005" s="22"/>
      <c r="K2005" s="25"/>
      <c r="L2005" s="25"/>
      <c r="M2005" s="22"/>
    </row>
    <row r="2006" spans="1:13">
      <c r="A2006" s="14"/>
      <c r="B2006" s="67"/>
      <c r="C2006" s="15"/>
      <c r="D2006" s="22"/>
      <c r="E2006" s="72"/>
      <c r="F2006" s="102"/>
      <c r="G2006" s="90"/>
      <c r="H2006" s="26"/>
      <c r="I2006" s="25"/>
      <c r="J2006" s="22"/>
      <c r="K2006" s="25"/>
      <c r="L2006" s="25"/>
      <c r="M2006" s="22"/>
    </row>
    <row r="2007" spans="1:13">
      <c r="A2007" s="14"/>
      <c r="B2007" s="67"/>
      <c r="C2007" s="15"/>
      <c r="D2007" s="22"/>
      <c r="E2007" s="71"/>
      <c r="F2007" s="102"/>
      <c r="G2007" s="90"/>
      <c r="H2007" s="26"/>
      <c r="I2007" s="25"/>
      <c r="J2007" s="22"/>
      <c r="K2007" s="25"/>
      <c r="L2007" s="25"/>
      <c r="M2007" s="22"/>
    </row>
    <row r="2008" spans="1:13">
      <c r="A2008" s="14"/>
      <c r="B2008" s="67"/>
      <c r="C2008" s="15"/>
      <c r="D2008" s="22"/>
      <c r="E2008" s="72"/>
      <c r="F2008" s="102"/>
      <c r="G2008" s="90"/>
      <c r="H2008" s="26"/>
      <c r="I2008" s="25"/>
      <c r="J2008" s="22"/>
      <c r="K2008" s="25"/>
      <c r="L2008" s="25"/>
      <c r="M2008" s="22"/>
    </row>
    <row r="2009" spans="1:13">
      <c r="A2009" s="14"/>
      <c r="B2009" s="67"/>
      <c r="C2009" s="15"/>
      <c r="D2009" s="22"/>
      <c r="E2009" s="71"/>
      <c r="F2009" s="102"/>
      <c r="G2009" s="90"/>
      <c r="H2009" s="26"/>
      <c r="I2009" s="25"/>
      <c r="J2009" s="22"/>
      <c r="K2009" s="25"/>
      <c r="L2009" s="25"/>
      <c r="M2009" s="22"/>
    </row>
    <row r="2010" spans="1:13">
      <c r="A2010" s="14"/>
      <c r="B2010" s="67"/>
      <c r="C2010" s="15"/>
      <c r="D2010" s="22"/>
      <c r="E2010" s="72"/>
      <c r="F2010" s="102"/>
      <c r="G2010" s="90"/>
      <c r="H2010" s="26"/>
      <c r="I2010" s="25"/>
      <c r="J2010" s="22"/>
      <c r="K2010" s="25"/>
      <c r="L2010" s="25"/>
      <c r="M2010" s="22"/>
    </row>
    <row r="2011" spans="1:13">
      <c r="A2011" s="14"/>
      <c r="B2011" s="67"/>
      <c r="C2011" s="15"/>
      <c r="D2011" s="22"/>
      <c r="E2011" s="71"/>
      <c r="F2011" s="102"/>
      <c r="G2011" s="90"/>
      <c r="H2011" s="26"/>
      <c r="I2011" s="25"/>
      <c r="J2011" s="22"/>
      <c r="K2011" s="25"/>
      <c r="L2011" s="25"/>
      <c r="M2011" s="22"/>
    </row>
    <row r="2012" spans="1:13">
      <c r="A2012" s="14"/>
      <c r="B2012" s="67"/>
      <c r="C2012" s="15"/>
      <c r="D2012" s="22"/>
      <c r="E2012" s="72"/>
      <c r="F2012" s="102"/>
      <c r="G2012" s="90"/>
      <c r="H2012" s="26"/>
      <c r="I2012" s="25"/>
      <c r="J2012" s="22"/>
      <c r="K2012" s="25"/>
      <c r="L2012" s="25"/>
      <c r="M2012" s="22"/>
    </row>
    <row r="2013" spans="1:13">
      <c r="A2013" s="14"/>
      <c r="B2013" s="67"/>
      <c r="C2013" s="15"/>
      <c r="D2013" s="22"/>
      <c r="E2013" s="71"/>
      <c r="F2013" s="102"/>
      <c r="G2013" s="90"/>
      <c r="H2013" s="26"/>
      <c r="I2013" s="25"/>
      <c r="J2013" s="22"/>
      <c r="K2013" s="25"/>
      <c r="L2013" s="25"/>
      <c r="M2013" s="22"/>
    </row>
    <row r="2014" spans="1:13">
      <c r="A2014" s="14"/>
      <c r="B2014" s="67"/>
      <c r="C2014" s="15"/>
      <c r="D2014" s="22"/>
      <c r="E2014" s="72"/>
      <c r="F2014" s="102"/>
      <c r="G2014" s="90"/>
      <c r="H2014" s="26"/>
      <c r="I2014" s="25"/>
      <c r="J2014" s="22"/>
      <c r="K2014" s="25"/>
      <c r="L2014" s="25"/>
      <c r="M2014" s="22"/>
    </row>
    <row r="2015" spans="1:13">
      <c r="A2015" s="14"/>
      <c r="B2015" s="67"/>
      <c r="C2015" s="15"/>
      <c r="D2015" s="22"/>
      <c r="E2015" s="71"/>
      <c r="F2015" s="102"/>
      <c r="G2015" s="90"/>
      <c r="H2015" s="26"/>
      <c r="I2015" s="25"/>
      <c r="J2015" s="22"/>
      <c r="K2015" s="25"/>
      <c r="L2015" s="25"/>
      <c r="M2015" s="22"/>
    </row>
    <row r="2016" spans="1:13">
      <c r="A2016" s="14"/>
      <c r="B2016" s="67"/>
      <c r="C2016" s="15"/>
      <c r="D2016" s="22"/>
      <c r="E2016" s="72"/>
      <c r="F2016" s="102"/>
      <c r="G2016" s="90"/>
      <c r="H2016" s="26"/>
      <c r="I2016" s="25"/>
      <c r="J2016" s="22"/>
      <c r="K2016" s="25"/>
      <c r="L2016" s="25"/>
      <c r="M2016" s="22"/>
    </row>
    <row r="2017" spans="1:13">
      <c r="A2017" s="14"/>
      <c r="B2017" s="67"/>
      <c r="C2017" s="15"/>
      <c r="D2017" s="22"/>
      <c r="E2017" s="71"/>
      <c r="F2017" s="102"/>
      <c r="G2017" s="90"/>
      <c r="H2017" s="26"/>
      <c r="I2017" s="25"/>
      <c r="J2017" s="22"/>
      <c r="K2017" s="25"/>
      <c r="L2017" s="25"/>
      <c r="M2017" s="22"/>
    </row>
    <row r="2018" spans="1:13">
      <c r="A2018" s="14"/>
      <c r="B2018" s="67"/>
      <c r="C2018" s="15"/>
      <c r="D2018" s="22"/>
      <c r="E2018" s="72"/>
      <c r="F2018" s="102"/>
      <c r="G2018" s="90"/>
      <c r="H2018" s="26"/>
      <c r="I2018" s="25"/>
      <c r="J2018" s="22"/>
      <c r="K2018" s="25"/>
      <c r="L2018" s="25"/>
      <c r="M2018" s="22"/>
    </row>
    <row r="2019" spans="1:13">
      <c r="A2019" s="14"/>
      <c r="B2019" s="67"/>
      <c r="C2019" s="15"/>
      <c r="D2019" s="22"/>
      <c r="E2019" s="71"/>
      <c r="F2019" s="102"/>
      <c r="G2019" s="90"/>
      <c r="H2019" s="26"/>
      <c r="I2019" s="25"/>
      <c r="J2019" s="22"/>
      <c r="K2019" s="25"/>
      <c r="L2019" s="25"/>
      <c r="M2019" s="22"/>
    </row>
    <row r="2020" spans="1:13">
      <c r="A2020" s="14"/>
      <c r="B2020" s="67"/>
      <c r="C2020" s="15"/>
      <c r="D2020" s="22"/>
      <c r="E2020" s="72"/>
      <c r="F2020" s="102"/>
      <c r="G2020" s="90"/>
      <c r="H2020" s="26"/>
      <c r="I2020" s="25"/>
      <c r="J2020" s="22"/>
      <c r="K2020" s="25"/>
      <c r="L2020" s="25"/>
      <c r="M2020" s="22"/>
    </row>
    <row r="2021" spans="1:13">
      <c r="A2021" s="14"/>
      <c r="B2021" s="67"/>
      <c r="C2021" s="15"/>
      <c r="D2021" s="22"/>
      <c r="E2021" s="71"/>
      <c r="F2021" s="102"/>
      <c r="G2021" s="90"/>
      <c r="H2021" s="26"/>
      <c r="I2021" s="25"/>
      <c r="J2021" s="22"/>
      <c r="K2021" s="25"/>
      <c r="L2021" s="25"/>
      <c r="M2021" s="22"/>
    </row>
    <row r="2022" spans="1:13">
      <c r="A2022" s="14"/>
      <c r="B2022" s="67"/>
      <c r="C2022" s="15"/>
      <c r="D2022" s="22"/>
      <c r="E2022" s="72"/>
      <c r="F2022" s="102"/>
      <c r="G2022" s="90"/>
      <c r="H2022" s="26"/>
      <c r="I2022" s="25"/>
      <c r="J2022" s="22"/>
      <c r="K2022" s="25"/>
      <c r="L2022" s="25"/>
      <c r="M2022" s="22"/>
    </row>
    <row r="2023" spans="1:13">
      <c r="A2023" s="14"/>
      <c r="B2023" s="67"/>
      <c r="C2023" s="15"/>
      <c r="D2023" s="22"/>
      <c r="E2023" s="71"/>
      <c r="F2023" s="102"/>
      <c r="G2023" s="90"/>
      <c r="H2023" s="26"/>
      <c r="I2023" s="25"/>
      <c r="J2023" s="22"/>
      <c r="K2023" s="25"/>
      <c r="L2023" s="25"/>
      <c r="M2023" s="22"/>
    </row>
    <row r="2024" spans="1:13">
      <c r="A2024" s="14"/>
      <c r="B2024" s="67"/>
      <c r="C2024" s="15"/>
      <c r="D2024" s="22"/>
      <c r="E2024" s="72"/>
      <c r="F2024" s="102"/>
      <c r="G2024" s="90"/>
      <c r="H2024" s="26"/>
      <c r="I2024" s="25"/>
      <c r="J2024" s="22"/>
      <c r="K2024" s="25"/>
      <c r="L2024" s="25"/>
      <c r="M2024" s="22"/>
    </row>
  </sheetData>
  <autoFilter ref="I1:I2024" xr:uid="{00000000-0001-0000-0100-000000000000}"/>
  <mergeCells count="2">
    <mergeCell ref="A1:O1"/>
    <mergeCell ref="A2:O2"/>
  </mergeCells>
  <phoneticPr fontId="1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45"/>
  <sheetViews>
    <sheetView showGridLines="0" zoomScale="142" zoomScaleNormal="142" workbookViewId="0">
      <pane ySplit="3" topLeftCell="A4" activePane="bottomLeft" state="frozen"/>
      <selection pane="bottomLeft" activeCell="I4" sqref="I4:I79"/>
    </sheetView>
  </sheetViews>
  <sheetFormatPr defaultColWidth="8.5703125" defaultRowHeight="9"/>
  <cols>
    <col min="1" max="1" width="2.7109375" style="34" bestFit="1" customWidth="1"/>
    <col min="2" max="2" width="7.140625" style="34" bestFit="1" customWidth="1"/>
    <col min="3" max="3" width="12.7109375" style="34" customWidth="1"/>
    <col min="4" max="4" width="38.140625" style="34" bestFit="1" customWidth="1"/>
    <col min="5" max="5" width="8.42578125" style="34" bestFit="1" customWidth="1"/>
    <col min="6" max="6" width="9.85546875" style="34" bestFit="1" customWidth="1"/>
    <col min="7" max="7" width="9.28515625" style="34" bestFit="1" customWidth="1"/>
    <col min="8" max="8" width="7.5703125" style="34" bestFit="1" customWidth="1"/>
    <col min="9" max="9" width="12.5703125" style="33" bestFit="1" customWidth="1"/>
    <col min="10" max="10" width="9.85546875" style="34" bestFit="1" customWidth="1"/>
    <col min="11" max="11" width="6.7109375" style="34" bestFit="1" customWidth="1"/>
    <col min="12" max="12" width="8.85546875" style="34" bestFit="1" customWidth="1"/>
    <col min="13" max="13" width="4.42578125" style="34" bestFit="1" customWidth="1"/>
    <col min="14" max="16384" width="8.5703125" style="34"/>
  </cols>
  <sheetData>
    <row r="1" spans="1:13">
      <c r="A1" s="130" t="s">
        <v>58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>
      <c r="A2" s="131" t="s">
        <v>251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>
      <c r="A3" s="35" t="s">
        <v>250</v>
      </c>
      <c r="B3" s="35" t="s">
        <v>41</v>
      </c>
      <c r="C3" s="35" t="s">
        <v>42</v>
      </c>
      <c r="D3" s="35" t="s">
        <v>59</v>
      </c>
      <c r="E3" s="35" t="s">
        <v>60</v>
      </c>
      <c r="F3" s="35" t="s">
        <v>61</v>
      </c>
      <c r="G3" s="35" t="s">
        <v>62</v>
      </c>
      <c r="H3" s="35" t="s">
        <v>63</v>
      </c>
      <c r="I3" s="31" t="s">
        <v>64</v>
      </c>
      <c r="J3" s="35" t="s">
        <v>65</v>
      </c>
      <c r="K3" s="35" t="s">
        <v>66</v>
      </c>
      <c r="L3" s="35" t="s">
        <v>67</v>
      </c>
      <c r="M3" s="35" t="s">
        <v>51</v>
      </c>
    </row>
    <row r="4" spans="1:13" ht="11.25">
      <c r="A4" s="36"/>
      <c r="B4" s="67">
        <v>44929</v>
      </c>
      <c r="C4" s="22"/>
      <c r="D4" s="17" t="s">
        <v>54</v>
      </c>
      <c r="E4" s="19"/>
      <c r="F4" s="19"/>
      <c r="G4" s="16"/>
      <c r="H4" s="16"/>
      <c r="I4" s="32">
        <v>22768508.23</v>
      </c>
      <c r="J4" s="38">
        <f>SUM($I$4:I4)</f>
        <v>22768508.23</v>
      </c>
      <c r="K4" s="43">
        <f t="shared" ref="K4:K35" si="0">IF(SUM($I$4:$I$44)=0,"",I4/SUM($I$4:$I$44))</f>
        <v>0.30407259422096622</v>
      </c>
      <c r="L4" s="19"/>
      <c r="M4" s="16"/>
    </row>
    <row r="5" spans="1:13" ht="11.25">
      <c r="A5" s="36"/>
      <c r="B5" s="67">
        <v>44967</v>
      </c>
      <c r="C5" s="22"/>
      <c r="D5" s="17" t="s">
        <v>300</v>
      </c>
      <c r="E5" s="19"/>
      <c r="F5" s="19"/>
      <c r="G5" s="16"/>
      <c r="H5" s="16"/>
      <c r="I5" s="32">
        <v>8700000</v>
      </c>
      <c r="J5" s="38">
        <f>SUM($I$4:I5)</f>
        <v>31468508.23</v>
      </c>
      <c r="K5" s="43">
        <f t="shared" si="0"/>
        <v>0.11618818163224065</v>
      </c>
      <c r="L5" s="19"/>
      <c r="M5" s="16"/>
    </row>
    <row r="6" spans="1:13" ht="11.25">
      <c r="A6" s="36"/>
      <c r="B6" s="67">
        <v>45000</v>
      </c>
      <c r="C6" s="22"/>
      <c r="D6" s="17" t="s">
        <v>300</v>
      </c>
      <c r="E6" s="19"/>
      <c r="F6" s="19"/>
      <c r="G6" s="16"/>
      <c r="H6" s="16"/>
      <c r="I6" s="32">
        <v>13560000</v>
      </c>
      <c r="J6" s="38">
        <f>SUM($I$4:I6)</f>
        <v>45028508.230000004</v>
      </c>
      <c r="K6" s="43">
        <f t="shared" si="0"/>
        <v>0.18109330378542338</v>
      </c>
      <c r="L6" s="19"/>
      <c r="M6" s="16"/>
    </row>
    <row r="7" spans="1:13" ht="11.25">
      <c r="A7" s="36"/>
      <c r="B7" s="67">
        <v>45034</v>
      </c>
      <c r="C7" s="22"/>
      <c r="D7" s="17" t="s">
        <v>300</v>
      </c>
      <c r="E7" s="19"/>
      <c r="F7" s="19"/>
      <c r="G7" s="16"/>
      <c r="H7" s="16"/>
      <c r="I7" s="32">
        <v>11250000</v>
      </c>
      <c r="J7" s="38">
        <f>SUM($I$4:I7)</f>
        <v>56278508.230000004</v>
      </c>
      <c r="K7" s="43">
        <f t="shared" si="0"/>
        <v>0.15024333831755257</v>
      </c>
      <c r="L7" s="19"/>
      <c r="M7" s="16"/>
    </row>
    <row r="8" spans="1:13" ht="11.25">
      <c r="A8" s="36"/>
      <c r="B8" s="67">
        <v>45077</v>
      </c>
      <c r="C8" s="22"/>
      <c r="D8" s="17" t="s">
        <v>300</v>
      </c>
      <c r="E8" s="19"/>
      <c r="F8" s="19"/>
      <c r="G8" s="16"/>
      <c r="H8" s="16"/>
      <c r="I8" s="32">
        <v>5000000</v>
      </c>
      <c r="J8" s="38">
        <f>SUM($I$4:I8)</f>
        <v>61278508.230000004</v>
      </c>
      <c r="K8" s="43">
        <f t="shared" si="0"/>
        <v>6.6774817030023359E-2</v>
      </c>
      <c r="L8" s="19"/>
      <c r="M8" s="16"/>
    </row>
    <row r="9" spans="1:13" ht="11.25">
      <c r="A9" s="36"/>
      <c r="B9" s="67">
        <v>45077</v>
      </c>
      <c r="C9" s="22"/>
      <c r="D9" s="17" t="s">
        <v>300</v>
      </c>
      <c r="E9" s="19"/>
      <c r="F9" s="19"/>
      <c r="G9" s="16"/>
      <c r="H9" s="16"/>
      <c r="I9" s="32">
        <v>4280000</v>
      </c>
      <c r="J9" s="38">
        <f>SUM($I$4:I9)</f>
        <v>65558508.230000004</v>
      </c>
      <c r="K9" s="43">
        <f t="shared" si="0"/>
        <v>5.7159243377700002E-2</v>
      </c>
      <c r="L9" s="19"/>
      <c r="M9" s="16"/>
    </row>
    <row r="10" spans="1:13" ht="11.25">
      <c r="A10" s="36"/>
      <c r="B10" s="67">
        <v>45092</v>
      </c>
      <c r="C10" s="22"/>
      <c r="D10" s="17" t="s">
        <v>300</v>
      </c>
      <c r="E10" s="19"/>
      <c r="F10" s="19"/>
      <c r="G10" s="16"/>
      <c r="H10" s="16"/>
      <c r="I10" s="32">
        <v>4660000</v>
      </c>
      <c r="J10" s="38">
        <f>SUM($I$4:I10)</f>
        <v>70218508.230000004</v>
      </c>
      <c r="K10" s="43">
        <f t="shared" si="0"/>
        <v>6.2234129471981772E-2</v>
      </c>
      <c r="L10" s="19"/>
      <c r="M10" s="16"/>
    </row>
    <row r="11" spans="1:13" ht="11.25">
      <c r="A11" s="36"/>
      <c r="B11" s="67">
        <v>44967</v>
      </c>
      <c r="C11" s="22"/>
      <c r="D11" s="17" t="s">
        <v>54</v>
      </c>
      <c r="E11" s="19"/>
      <c r="F11" s="19"/>
      <c r="G11" s="16"/>
      <c r="H11" s="16"/>
      <c r="I11" s="32">
        <v>110336.97</v>
      </c>
      <c r="J11" s="38">
        <f>SUM($I$4:I11)</f>
        <v>70328845.200000003</v>
      </c>
      <c r="K11" s="43">
        <f t="shared" si="0"/>
        <v>1.4735461966794354E-3</v>
      </c>
      <c r="L11" s="19"/>
      <c r="M11" s="16"/>
    </row>
    <row r="12" spans="1:13" ht="11.25">
      <c r="A12" s="36"/>
      <c r="B12" s="67">
        <v>44935</v>
      </c>
      <c r="C12" s="22"/>
      <c r="D12" s="17" t="s">
        <v>54</v>
      </c>
      <c r="E12" s="19"/>
      <c r="F12" s="19"/>
      <c r="G12" s="16"/>
      <c r="H12" s="16"/>
      <c r="I12" s="32">
        <v>2775752.7</v>
      </c>
      <c r="J12" s="38">
        <f>SUM($I$4:I12)</f>
        <v>73104597.900000006</v>
      </c>
      <c r="K12" s="43">
        <f t="shared" si="0"/>
        <v>3.7070075732618668E-2</v>
      </c>
      <c r="L12" s="19"/>
      <c r="M12" s="16"/>
    </row>
    <row r="13" spans="1:13" ht="11.25">
      <c r="A13" s="36"/>
      <c r="B13" s="67">
        <v>44939</v>
      </c>
      <c r="C13" s="22"/>
      <c r="D13" s="17" t="s">
        <v>307</v>
      </c>
      <c r="E13" s="19"/>
      <c r="F13" s="19"/>
      <c r="G13" s="16"/>
      <c r="H13" s="16"/>
      <c r="I13" s="32">
        <v>40000</v>
      </c>
      <c r="J13" s="38">
        <f>SUM($I$4:I13)</f>
        <v>73144597.900000006</v>
      </c>
      <c r="K13" s="43">
        <f t="shared" si="0"/>
        <v>5.3419853624018696E-4</v>
      </c>
      <c r="L13" s="19"/>
      <c r="M13" s="16"/>
    </row>
    <row r="14" spans="1:13" ht="11.25">
      <c r="A14" s="36"/>
      <c r="B14" s="67">
        <v>44942</v>
      </c>
      <c r="C14" s="22"/>
      <c r="D14" s="17" t="s">
        <v>275</v>
      </c>
      <c r="E14" s="19"/>
      <c r="F14" s="19"/>
      <c r="G14" s="16"/>
      <c r="H14" s="16"/>
      <c r="I14" s="32">
        <v>50000</v>
      </c>
      <c r="J14" s="38">
        <f>SUM($I$4:I14)</f>
        <v>73194597.900000006</v>
      </c>
      <c r="K14" s="43">
        <f t="shared" si="0"/>
        <v>6.6774817030023368E-4</v>
      </c>
      <c r="L14" s="19"/>
      <c r="M14" s="16"/>
    </row>
    <row r="15" spans="1:13" ht="11.25">
      <c r="A15" s="36"/>
      <c r="B15" s="67">
        <v>44953</v>
      </c>
      <c r="C15" s="22"/>
      <c r="D15" s="17" t="s">
        <v>292</v>
      </c>
      <c r="E15" s="19"/>
      <c r="F15" s="19"/>
      <c r="G15" s="16"/>
      <c r="H15" s="16"/>
      <c r="I15" s="32">
        <v>27000</v>
      </c>
      <c r="J15" s="38">
        <f>SUM($I$4:I15)</f>
        <v>73221597.900000006</v>
      </c>
      <c r="K15" s="43">
        <f t="shared" si="0"/>
        <v>3.6058401196212617E-4</v>
      </c>
      <c r="L15" s="19"/>
      <c r="M15" s="16"/>
    </row>
    <row r="16" spans="1:13" ht="11.25">
      <c r="A16" s="36"/>
      <c r="B16" s="67">
        <v>44957</v>
      </c>
      <c r="C16" s="22"/>
      <c r="D16" s="17" t="s">
        <v>292</v>
      </c>
      <c r="E16" s="19"/>
      <c r="F16" s="19"/>
      <c r="G16" s="16"/>
      <c r="H16" s="16"/>
      <c r="I16" s="32">
        <v>40000</v>
      </c>
      <c r="J16" s="38">
        <f>SUM($I$4:I16)</f>
        <v>73261597.900000006</v>
      </c>
      <c r="K16" s="43">
        <f t="shared" si="0"/>
        <v>5.3419853624018696E-4</v>
      </c>
      <c r="L16" s="19"/>
      <c r="M16" s="16"/>
    </row>
    <row r="17" spans="1:13" ht="11.25">
      <c r="A17" s="36"/>
      <c r="B17" s="67">
        <v>44957</v>
      </c>
      <c r="C17" s="22"/>
      <c r="D17" s="17" t="s">
        <v>292</v>
      </c>
      <c r="E17" s="19"/>
      <c r="F17" s="19"/>
      <c r="G17" s="16"/>
      <c r="H17" s="16"/>
      <c r="I17" s="32">
        <v>92270</v>
      </c>
      <c r="J17" s="38">
        <f>SUM($I$4:I17)</f>
        <v>73353867.900000006</v>
      </c>
      <c r="K17" s="43">
        <f t="shared" si="0"/>
        <v>1.2322624734720511E-3</v>
      </c>
      <c r="L17" s="19"/>
      <c r="M17" s="16"/>
    </row>
    <row r="18" spans="1:13" ht="11.25">
      <c r="A18" s="36"/>
      <c r="B18" s="67">
        <v>44957</v>
      </c>
      <c r="C18" s="22"/>
      <c r="D18" s="17" t="s">
        <v>287</v>
      </c>
      <c r="E18" s="19"/>
      <c r="F18" s="19"/>
      <c r="G18" s="16"/>
      <c r="H18" s="16"/>
      <c r="I18" s="32">
        <v>71400</v>
      </c>
      <c r="J18" s="38">
        <f>SUM($I$4:I18)</f>
        <v>73425267.900000006</v>
      </c>
      <c r="K18" s="43">
        <f t="shared" si="0"/>
        <v>9.5354438718873362E-4</v>
      </c>
      <c r="L18" s="19"/>
      <c r="M18" s="16"/>
    </row>
    <row r="19" spans="1:13" ht="11.25">
      <c r="A19" s="36"/>
      <c r="B19" s="67">
        <v>44957</v>
      </c>
      <c r="C19" s="22"/>
      <c r="D19" s="17" t="s">
        <v>300</v>
      </c>
      <c r="E19" s="19"/>
      <c r="F19" s="19"/>
      <c r="G19" s="16"/>
      <c r="H19" s="16"/>
      <c r="I19" s="32">
        <v>30000</v>
      </c>
      <c r="J19" s="38">
        <f>SUM($I$4:I19)</f>
        <v>73455267.900000006</v>
      </c>
      <c r="K19" s="43">
        <f t="shared" si="0"/>
        <v>4.006489021801402E-4</v>
      </c>
      <c r="L19" s="19"/>
      <c r="M19" s="16"/>
    </row>
    <row r="20" spans="1:13" ht="11.25">
      <c r="A20" s="36"/>
      <c r="B20" s="67">
        <v>44957</v>
      </c>
      <c r="C20" s="22"/>
      <c r="D20" s="17" t="s">
        <v>310</v>
      </c>
      <c r="E20" s="19"/>
      <c r="F20" s="19"/>
      <c r="G20" s="16"/>
      <c r="H20" s="16"/>
      <c r="I20" s="32">
        <v>100000</v>
      </c>
      <c r="J20" s="38">
        <f>SUM($I$4:I20)</f>
        <v>73555267.900000006</v>
      </c>
      <c r="K20" s="43">
        <f t="shared" si="0"/>
        <v>1.3354963406004674E-3</v>
      </c>
      <c r="L20" s="19"/>
      <c r="M20" s="16"/>
    </row>
    <row r="21" spans="1:13" ht="11.25">
      <c r="A21" s="36"/>
      <c r="B21" s="67">
        <v>44957</v>
      </c>
      <c r="C21" s="22"/>
      <c r="D21" s="17" t="s">
        <v>285</v>
      </c>
      <c r="E21" s="19"/>
      <c r="F21" s="19"/>
      <c r="G21" s="16"/>
      <c r="H21" s="16"/>
      <c r="I21" s="32">
        <v>100000</v>
      </c>
      <c r="J21" s="38">
        <f>SUM($I$4:I21)</f>
        <v>73655267.900000006</v>
      </c>
      <c r="K21" s="43">
        <f t="shared" si="0"/>
        <v>1.3354963406004674E-3</v>
      </c>
      <c r="L21" s="19"/>
      <c r="M21" s="16"/>
    </row>
    <row r="22" spans="1:13" ht="11.25">
      <c r="A22" s="36"/>
      <c r="B22" s="67">
        <v>45017</v>
      </c>
      <c r="C22" s="22"/>
      <c r="D22" s="17" t="s">
        <v>294</v>
      </c>
      <c r="E22" s="19"/>
      <c r="F22" s="19"/>
      <c r="G22" s="16"/>
      <c r="H22" s="16"/>
      <c r="I22" s="32">
        <v>5000</v>
      </c>
      <c r="J22" s="38">
        <f>SUM($I$4:I22)</f>
        <v>73660267.900000006</v>
      </c>
      <c r="K22" s="43">
        <f t="shared" si="0"/>
        <v>6.677481703002337E-5</v>
      </c>
      <c r="L22" s="19"/>
      <c r="M22" s="16"/>
    </row>
    <row r="23" spans="1:13" ht="11.25">
      <c r="A23" s="36"/>
      <c r="B23" s="67">
        <v>45019</v>
      </c>
      <c r="C23" s="22"/>
      <c r="D23" s="17" t="s">
        <v>275</v>
      </c>
      <c r="E23" s="19"/>
      <c r="F23" s="19"/>
      <c r="G23" s="16"/>
      <c r="H23" s="16"/>
      <c r="I23" s="32">
        <v>96850</v>
      </c>
      <c r="J23" s="38">
        <f>SUM($I$4:I23)</f>
        <v>73757117.900000006</v>
      </c>
      <c r="K23" s="43">
        <f t="shared" si="0"/>
        <v>1.2934282058715526E-3</v>
      </c>
      <c r="L23" s="19"/>
      <c r="M23" s="16"/>
    </row>
    <row r="24" spans="1:13" ht="11.25">
      <c r="A24" s="36"/>
      <c r="B24" s="67">
        <v>45019</v>
      </c>
      <c r="C24" s="22"/>
      <c r="D24" s="17" t="s">
        <v>292</v>
      </c>
      <c r="E24" s="19"/>
      <c r="F24" s="19"/>
      <c r="G24" s="16"/>
      <c r="H24" s="16"/>
      <c r="I24" s="32">
        <v>23000</v>
      </c>
      <c r="J24" s="38">
        <f>SUM($I$4:I24)</f>
        <v>73780117.900000006</v>
      </c>
      <c r="K24" s="43">
        <f t="shared" si="0"/>
        <v>3.0716415833810745E-4</v>
      </c>
      <c r="L24" s="19"/>
      <c r="M24" s="16"/>
    </row>
    <row r="25" spans="1:13" ht="11.25">
      <c r="A25" s="36"/>
      <c r="B25" s="67">
        <v>45019</v>
      </c>
      <c r="C25" s="22"/>
      <c r="D25" s="17" t="s">
        <v>287</v>
      </c>
      <c r="E25" s="19"/>
      <c r="F25" s="19"/>
      <c r="G25" s="16"/>
      <c r="H25" s="16"/>
      <c r="I25" s="32">
        <v>65980</v>
      </c>
      <c r="J25" s="38">
        <f>SUM($I$4:I25)</f>
        <v>73846097.900000006</v>
      </c>
      <c r="K25" s="43">
        <f t="shared" si="0"/>
        <v>8.8116048552818827E-4</v>
      </c>
      <c r="L25" s="19"/>
      <c r="M25" s="16"/>
    </row>
    <row r="26" spans="1:13" ht="11.25">
      <c r="A26" s="36"/>
      <c r="B26" s="67">
        <v>45020</v>
      </c>
      <c r="C26" s="22"/>
      <c r="D26" s="17" t="s">
        <v>307</v>
      </c>
      <c r="E26" s="19"/>
      <c r="F26" s="19"/>
      <c r="G26" s="16"/>
      <c r="H26" s="16"/>
      <c r="I26" s="32">
        <v>9840</v>
      </c>
      <c r="J26" s="38">
        <f>SUM($I$4:I26)</f>
        <v>73855937.900000006</v>
      </c>
      <c r="K26" s="43">
        <f t="shared" si="0"/>
        <v>1.3141283991508599E-4</v>
      </c>
      <c r="L26" s="19"/>
      <c r="M26" s="16"/>
    </row>
    <row r="27" spans="1:13" ht="11.25">
      <c r="A27" s="36"/>
      <c r="B27" s="67">
        <v>45020</v>
      </c>
      <c r="C27" s="22"/>
      <c r="D27" s="17" t="s">
        <v>307</v>
      </c>
      <c r="E27" s="19"/>
      <c r="F27" s="19"/>
      <c r="G27" s="16"/>
      <c r="H27" s="16"/>
      <c r="I27" s="32">
        <v>9840</v>
      </c>
      <c r="J27" s="38">
        <f>SUM($I$4:I27)</f>
        <v>73865777.900000006</v>
      </c>
      <c r="K27" s="43">
        <f t="shared" si="0"/>
        <v>1.3141283991508599E-4</v>
      </c>
      <c r="L27" s="19"/>
      <c r="M27" s="16"/>
    </row>
    <row r="28" spans="1:13" ht="11.25">
      <c r="A28" s="36"/>
      <c r="B28" s="67">
        <v>45028</v>
      </c>
      <c r="C28" s="22"/>
      <c r="D28" s="17" t="s">
        <v>307</v>
      </c>
      <c r="E28" s="19"/>
      <c r="F28" s="19"/>
      <c r="G28" s="16"/>
      <c r="H28" s="16"/>
      <c r="I28" s="32">
        <v>20000</v>
      </c>
      <c r="J28" s="38">
        <f>SUM($I$4:I28)</f>
        <v>73885777.900000006</v>
      </c>
      <c r="K28" s="43">
        <f t="shared" si="0"/>
        <v>2.6709926812009348E-4</v>
      </c>
      <c r="L28" s="19"/>
      <c r="M28" s="16"/>
    </row>
    <row r="29" spans="1:13" ht="11.25">
      <c r="A29" s="36"/>
      <c r="B29" s="67">
        <v>45030</v>
      </c>
      <c r="C29" s="22"/>
      <c r="D29" s="17" t="s">
        <v>292</v>
      </c>
      <c r="E29" s="19"/>
      <c r="F29" s="19"/>
      <c r="G29" s="16"/>
      <c r="H29" s="16"/>
      <c r="I29" s="32">
        <v>52500</v>
      </c>
      <c r="J29" s="38">
        <f>SUM($I$4:I29)</f>
        <v>73938277.900000006</v>
      </c>
      <c r="K29" s="43">
        <f t="shared" si="0"/>
        <v>7.0113557881524527E-4</v>
      </c>
      <c r="L29" s="19"/>
      <c r="M29" s="16"/>
    </row>
    <row r="30" spans="1:13" ht="11.25">
      <c r="A30" s="36"/>
      <c r="B30" s="67">
        <v>45030</v>
      </c>
      <c r="C30" s="22"/>
      <c r="D30" s="17" t="s">
        <v>292</v>
      </c>
      <c r="E30" s="19"/>
      <c r="F30" s="19"/>
      <c r="G30" s="16"/>
      <c r="H30" s="16"/>
      <c r="I30" s="32">
        <v>97500</v>
      </c>
      <c r="J30" s="38">
        <f>SUM($I$4:I30)</f>
        <v>74035777.900000006</v>
      </c>
      <c r="K30" s="43">
        <f t="shared" si="0"/>
        <v>1.3021089320854556E-3</v>
      </c>
      <c r="L30" s="19"/>
      <c r="M30" s="16"/>
    </row>
    <row r="31" spans="1:13" ht="11.25">
      <c r="A31" s="36"/>
      <c r="B31" s="67">
        <v>45034</v>
      </c>
      <c r="C31" s="22"/>
      <c r="D31" s="17" t="s">
        <v>292</v>
      </c>
      <c r="E31" s="19"/>
      <c r="F31" s="19"/>
      <c r="G31" s="16"/>
      <c r="H31" s="16"/>
      <c r="I31" s="32">
        <v>62000</v>
      </c>
      <c r="J31" s="38">
        <f>SUM($I$4:I31)</f>
        <v>74097777.900000006</v>
      </c>
      <c r="K31" s="43">
        <f t="shared" si="0"/>
        <v>8.2800773117228967E-4</v>
      </c>
      <c r="L31" s="19"/>
      <c r="M31" s="16"/>
    </row>
    <row r="32" spans="1:13" ht="11.25">
      <c r="A32" s="36"/>
      <c r="B32" s="67">
        <v>45044</v>
      </c>
      <c r="C32" s="22"/>
      <c r="D32" s="17" t="s">
        <v>292</v>
      </c>
      <c r="E32" s="19"/>
      <c r="F32" s="19"/>
      <c r="G32" s="16"/>
      <c r="H32" s="16"/>
      <c r="I32" s="32">
        <v>30000</v>
      </c>
      <c r="J32" s="38">
        <f>SUM($I$4:I32)</f>
        <v>74127777.900000006</v>
      </c>
      <c r="K32" s="43">
        <f t="shared" si="0"/>
        <v>4.006489021801402E-4</v>
      </c>
      <c r="L32" s="19"/>
      <c r="M32" s="16"/>
    </row>
    <row r="33" spans="1:13" ht="11.25">
      <c r="A33" s="36"/>
      <c r="B33" s="67">
        <v>45045</v>
      </c>
      <c r="C33" s="22"/>
      <c r="D33" s="17" t="s">
        <v>292</v>
      </c>
      <c r="E33" s="19"/>
      <c r="F33" s="19"/>
      <c r="G33" s="16"/>
      <c r="H33" s="16"/>
      <c r="I33" s="32">
        <v>200000</v>
      </c>
      <c r="J33" s="38">
        <f>SUM($I$4:I33)</f>
        <v>74327777.900000006</v>
      </c>
      <c r="K33" s="43">
        <f t="shared" si="0"/>
        <v>2.6709926812009347E-3</v>
      </c>
      <c r="L33" s="19"/>
      <c r="M33" s="16"/>
    </row>
    <row r="34" spans="1:13" ht="11.25">
      <c r="A34" s="36"/>
      <c r="B34" s="67">
        <v>45045</v>
      </c>
      <c r="C34" s="22"/>
      <c r="D34" s="17" t="s">
        <v>310</v>
      </c>
      <c r="E34" s="19"/>
      <c r="F34" s="19"/>
      <c r="G34" s="16"/>
      <c r="H34" s="16"/>
      <c r="I34" s="32">
        <v>100000</v>
      </c>
      <c r="J34" s="38">
        <f>SUM($I$4:I34)</f>
        <v>74427777.900000006</v>
      </c>
      <c r="K34" s="43">
        <f t="shared" si="0"/>
        <v>1.3354963406004674E-3</v>
      </c>
      <c r="L34" s="19"/>
      <c r="M34" s="16"/>
    </row>
    <row r="35" spans="1:13" ht="11.25">
      <c r="A35" s="36"/>
      <c r="B35" s="67">
        <v>45045</v>
      </c>
      <c r="C35" s="22"/>
      <c r="D35" s="17" t="s">
        <v>265</v>
      </c>
      <c r="E35" s="19"/>
      <c r="F35" s="19"/>
      <c r="G35" s="16"/>
      <c r="H35" s="16"/>
      <c r="I35" s="32">
        <v>145000</v>
      </c>
      <c r="J35" s="38">
        <f>SUM($I$4:I35)</f>
        <v>74572777.900000006</v>
      </c>
      <c r="K35" s="43">
        <f t="shared" si="0"/>
        <v>1.9364696938706776E-3</v>
      </c>
      <c r="L35" s="19"/>
      <c r="M35" s="16"/>
    </row>
    <row r="36" spans="1:13" ht="11.25">
      <c r="A36" s="36"/>
      <c r="B36" s="67">
        <v>45045</v>
      </c>
      <c r="C36" s="22"/>
      <c r="D36" s="17" t="s">
        <v>292</v>
      </c>
      <c r="E36" s="19"/>
      <c r="F36" s="19"/>
      <c r="G36" s="16"/>
      <c r="H36" s="16"/>
      <c r="I36" s="32">
        <v>21800</v>
      </c>
      <c r="J36" s="38">
        <f>SUM($I$4:I36)</f>
        <v>74594577.900000006</v>
      </c>
      <c r="K36" s="43">
        <f t="shared" ref="K36:K67" si="1">IF(SUM($I$4:$I$44)=0,"",I36/SUM($I$4:$I$44))</f>
        <v>2.9113820225090187E-4</v>
      </c>
      <c r="L36" s="19"/>
      <c r="M36" s="16"/>
    </row>
    <row r="37" spans="1:13" ht="11.25">
      <c r="A37" s="36"/>
      <c r="B37" s="67">
        <v>45045</v>
      </c>
      <c r="C37" s="22"/>
      <c r="D37" s="17" t="s">
        <v>292</v>
      </c>
      <c r="E37" s="19"/>
      <c r="F37" s="19"/>
      <c r="G37" s="16"/>
      <c r="H37" s="16"/>
      <c r="I37" s="32">
        <v>10000</v>
      </c>
      <c r="J37" s="38">
        <f>SUM($I$4:I37)</f>
        <v>74604577.900000006</v>
      </c>
      <c r="K37" s="43">
        <f t="shared" si="1"/>
        <v>1.3354963406004674E-4</v>
      </c>
      <c r="L37" s="19"/>
      <c r="M37" s="16"/>
    </row>
    <row r="38" spans="1:13" ht="11.25">
      <c r="A38" s="36"/>
      <c r="B38" s="67">
        <v>45048</v>
      </c>
      <c r="C38" s="22"/>
      <c r="D38" s="17" t="s">
        <v>275</v>
      </c>
      <c r="E38" s="19"/>
      <c r="F38" s="19"/>
      <c r="G38" s="16"/>
      <c r="H38" s="16"/>
      <c r="I38" s="32">
        <v>98050</v>
      </c>
      <c r="J38" s="38">
        <f>SUM($I$4:I38)</f>
        <v>74702627.900000006</v>
      </c>
      <c r="K38" s="43">
        <f t="shared" si="1"/>
        <v>1.3094541619587581E-3</v>
      </c>
      <c r="L38" s="19"/>
      <c r="M38" s="16"/>
    </row>
    <row r="39" spans="1:13" ht="11.25">
      <c r="A39" s="36"/>
      <c r="B39" s="67">
        <v>45048</v>
      </c>
      <c r="C39" s="22"/>
      <c r="D39" s="17" t="s">
        <v>294</v>
      </c>
      <c r="E39" s="19"/>
      <c r="F39" s="19"/>
      <c r="G39" s="16"/>
      <c r="H39" s="16"/>
      <c r="I39" s="32">
        <v>6500</v>
      </c>
      <c r="J39" s="38">
        <f>SUM($I$4:I39)</f>
        <v>74709127.900000006</v>
      </c>
      <c r="K39" s="43">
        <f t="shared" si="1"/>
        <v>8.6807262139030369E-5</v>
      </c>
      <c r="L39" s="19"/>
      <c r="M39" s="16"/>
    </row>
    <row r="40" spans="1:13" ht="11.25">
      <c r="A40" s="36"/>
      <c r="B40" s="67">
        <v>45054</v>
      </c>
      <c r="C40" s="22"/>
      <c r="D40" s="17" t="s">
        <v>265</v>
      </c>
      <c r="E40" s="19"/>
      <c r="F40" s="19"/>
      <c r="G40" s="16"/>
      <c r="H40" s="16"/>
      <c r="I40" s="32">
        <v>42500</v>
      </c>
      <c r="J40" s="38">
        <f>SUM($I$4:I40)</f>
        <v>74751627.900000006</v>
      </c>
      <c r="K40" s="43">
        <f t="shared" si="1"/>
        <v>5.6758594475519856E-4</v>
      </c>
      <c r="L40" s="19"/>
      <c r="M40" s="16"/>
    </row>
    <row r="41" spans="1:13" ht="11.25">
      <c r="A41" s="36"/>
      <c r="B41" s="67">
        <v>45054</v>
      </c>
      <c r="C41" s="22"/>
      <c r="D41" s="17" t="s">
        <v>300</v>
      </c>
      <c r="E41" s="19"/>
      <c r="F41" s="19"/>
      <c r="G41" s="16"/>
      <c r="H41" s="16"/>
      <c r="I41" s="32">
        <v>30000</v>
      </c>
      <c r="J41" s="38">
        <f>SUM($I$4:I41)</f>
        <v>74781627.900000006</v>
      </c>
      <c r="K41" s="43">
        <f t="shared" si="1"/>
        <v>4.006489021801402E-4</v>
      </c>
      <c r="L41" s="19"/>
      <c r="M41" s="16"/>
    </row>
    <row r="42" spans="1:13" ht="11.25">
      <c r="A42" s="36"/>
      <c r="B42" s="67">
        <v>45066</v>
      </c>
      <c r="C42" s="22"/>
      <c r="D42" s="17" t="s">
        <v>292</v>
      </c>
      <c r="E42" s="19"/>
      <c r="F42" s="19"/>
      <c r="G42" s="16"/>
      <c r="H42" s="16"/>
      <c r="I42" s="32">
        <v>29800</v>
      </c>
      <c r="J42" s="38">
        <f>SUM($I$4:I42)</f>
        <v>74811427.900000006</v>
      </c>
      <c r="K42" s="43">
        <f t="shared" si="1"/>
        <v>3.9797790949893926E-4</v>
      </c>
      <c r="L42" s="19"/>
      <c r="M42" s="16"/>
    </row>
    <row r="43" spans="1:13" ht="11.25">
      <c r="A43" s="36"/>
      <c r="B43" s="67">
        <v>45072</v>
      </c>
      <c r="C43" s="22"/>
      <c r="D43" s="17" t="s">
        <v>292</v>
      </c>
      <c r="E43" s="19"/>
      <c r="F43" s="19"/>
      <c r="G43" s="16"/>
      <c r="H43" s="16"/>
      <c r="I43" s="32">
        <v>8000</v>
      </c>
      <c r="J43" s="38">
        <f>SUM($I$4:I43)</f>
        <v>74819427.900000006</v>
      </c>
      <c r="K43" s="43">
        <f t="shared" si="1"/>
        <v>1.0683970724803738E-4</v>
      </c>
      <c r="L43" s="19"/>
      <c r="M43" s="16"/>
    </row>
    <row r="44" spans="1:13" ht="11.25">
      <c r="A44" s="36"/>
      <c r="B44" s="67">
        <v>45075</v>
      </c>
      <c r="C44" s="22"/>
      <c r="D44" s="17" t="s">
        <v>292</v>
      </c>
      <c r="E44" s="19"/>
      <c r="F44" s="19"/>
      <c r="G44" s="16"/>
      <c r="H44" s="16"/>
      <c r="I44" s="32">
        <v>59100</v>
      </c>
      <c r="J44" s="38">
        <f>SUM($I$4:I44)</f>
        <v>74878527.900000006</v>
      </c>
      <c r="K44" s="43">
        <f t="shared" si="1"/>
        <v>7.8927833729487619E-4</v>
      </c>
      <c r="L44" s="19"/>
      <c r="M44" s="16"/>
    </row>
    <row r="45" spans="1:13" ht="11.25">
      <c r="A45" s="36"/>
      <c r="B45" s="67">
        <v>45075</v>
      </c>
      <c r="C45" s="22"/>
      <c r="D45" s="17" t="s">
        <v>275</v>
      </c>
      <c r="E45" s="19"/>
      <c r="F45" s="19"/>
      <c r="G45" s="16"/>
      <c r="H45" s="16"/>
      <c r="I45" s="32">
        <v>34680</v>
      </c>
      <c r="J45" s="38">
        <f>SUM($I$4:I45)</f>
        <v>74913207.900000006</v>
      </c>
      <c r="K45" s="43">
        <f t="shared" si="1"/>
        <v>4.6315013092024205E-4</v>
      </c>
      <c r="L45" s="19"/>
      <c r="M45" s="16"/>
    </row>
    <row r="46" spans="1:13" ht="11.25">
      <c r="A46" s="36"/>
      <c r="B46" s="67">
        <v>45078</v>
      </c>
      <c r="C46" s="22"/>
      <c r="D46" s="17" t="s">
        <v>292</v>
      </c>
      <c r="E46" s="19"/>
      <c r="F46" s="19"/>
      <c r="G46" s="16"/>
      <c r="H46" s="16"/>
      <c r="I46" s="32">
        <v>300000</v>
      </c>
      <c r="J46" s="38">
        <f>SUM($I$4:I46)</f>
        <v>75213207.900000006</v>
      </c>
      <c r="K46" s="43">
        <f t="shared" si="1"/>
        <v>4.0064890218014021E-3</v>
      </c>
      <c r="L46" s="19"/>
      <c r="M46" s="16"/>
    </row>
    <row r="47" spans="1:13" ht="11.25">
      <c r="A47" s="36"/>
      <c r="B47" s="67">
        <v>45079</v>
      </c>
      <c r="C47" s="22"/>
      <c r="D47" s="17" t="s">
        <v>295</v>
      </c>
      <c r="E47" s="19"/>
      <c r="F47" s="19"/>
      <c r="G47" s="16"/>
      <c r="H47" s="16"/>
      <c r="I47" s="32">
        <v>5500</v>
      </c>
      <c r="J47" s="38">
        <f>SUM($I$4:I47)</f>
        <v>75218707.900000006</v>
      </c>
      <c r="K47" s="43">
        <f t="shared" si="1"/>
        <v>7.3452298733025703E-5</v>
      </c>
      <c r="L47" s="19"/>
      <c r="M47" s="16"/>
    </row>
    <row r="48" spans="1:13" ht="11.25">
      <c r="A48" s="36"/>
      <c r="B48" s="67">
        <v>45079</v>
      </c>
      <c r="C48" s="22"/>
      <c r="D48" s="17" t="s">
        <v>294</v>
      </c>
      <c r="E48" s="19"/>
      <c r="F48" s="19"/>
      <c r="G48" s="16"/>
      <c r="H48" s="16"/>
      <c r="I48" s="32">
        <v>6500</v>
      </c>
      <c r="J48" s="38">
        <f>SUM($I$4:I48)</f>
        <v>75225207.900000006</v>
      </c>
      <c r="K48" s="43">
        <f t="shared" si="1"/>
        <v>8.6807262139030369E-5</v>
      </c>
      <c r="L48" s="19"/>
      <c r="M48" s="16"/>
    </row>
    <row r="49" spans="1:13" ht="11.25">
      <c r="A49" s="36"/>
      <c r="B49" s="67">
        <v>45079</v>
      </c>
      <c r="C49" s="22"/>
      <c r="D49" s="17" t="s">
        <v>287</v>
      </c>
      <c r="E49" s="19"/>
      <c r="F49" s="19"/>
      <c r="G49" s="16"/>
      <c r="H49" s="16"/>
      <c r="I49" s="32">
        <v>56390</v>
      </c>
      <c r="J49" s="38">
        <f>SUM($I$4:I49)</f>
        <v>75281597.900000006</v>
      </c>
      <c r="K49" s="43">
        <f t="shared" si="1"/>
        <v>7.5308638646460352E-4</v>
      </c>
      <c r="L49" s="19"/>
      <c r="M49" s="16"/>
    </row>
    <row r="50" spans="1:13" ht="11.25">
      <c r="A50" s="36"/>
      <c r="B50" s="67">
        <v>45079</v>
      </c>
      <c r="C50" s="22"/>
      <c r="D50" s="17" t="s">
        <v>275</v>
      </c>
      <c r="E50" s="19"/>
      <c r="F50" s="19"/>
      <c r="G50" s="16"/>
      <c r="H50" s="16"/>
      <c r="I50" s="32">
        <v>102250</v>
      </c>
      <c r="J50" s="38">
        <f>SUM($I$4:I50)</f>
        <v>75383847.900000006</v>
      </c>
      <c r="K50" s="43">
        <f t="shared" si="1"/>
        <v>1.3655450082639777E-3</v>
      </c>
      <c r="L50" s="19"/>
      <c r="M50" s="16"/>
    </row>
    <row r="51" spans="1:13" ht="11.25">
      <c r="A51" s="36"/>
      <c r="B51" s="67">
        <v>45091</v>
      </c>
      <c r="C51" s="22"/>
      <c r="D51" s="17" t="s">
        <v>307</v>
      </c>
      <c r="E51" s="19"/>
      <c r="F51" s="19"/>
      <c r="G51" s="16"/>
      <c r="H51" s="16"/>
      <c r="I51" s="32">
        <v>20000</v>
      </c>
      <c r="J51" s="38">
        <f>SUM($I$4:I51)</f>
        <v>75403847.900000006</v>
      </c>
      <c r="K51" s="43">
        <f t="shared" si="1"/>
        <v>2.6709926812009348E-4</v>
      </c>
      <c r="L51" s="19"/>
      <c r="M51" s="16"/>
    </row>
    <row r="52" spans="1:13" ht="11.25">
      <c r="A52" s="36"/>
      <c r="B52" s="67">
        <v>45091</v>
      </c>
      <c r="C52" s="22"/>
      <c r="D52" s="17" t="s">
        <v>307</v>
      </c>
      <c r="E52" s="19"/>
      <c r="F52" s="19"/>
      <c r="G52" s="16"/>
      <c r="H52" s="16"/>
      <c r="I52" s="32">
        <v>20000</v>
      </c>
      <c r="J52" s="38">
        <f>SUM($I$4:I52)</f>
        <v>75423847.900000006</v>
      </c>
      <c r="K52" s="43">
        <f t="shared" si="1"/>
        <v>2.6709926812009348E-4</v>
      </c>
      <c r="L52" s="19"/>
      <c r="M52" s="16"/>
    </row>
    <row r="53" spans="1:13" ht="11.25">
      <c r="A53" s="36"/>
      <c r="B53" s="67">
        <v>45093</v>
      </c>
      <c r="C53" s="22"/>
      <c r="D53" s="17" t="s">
        <v>309</v>
      </c>
      <c r="E53" s="19"/>
      <c r="F53" s="19"/>
      <c r="G53" s="16"/>
      <c r="H53" s="16"/>
      <c r="I53" s="32">
        <v>40223</v>
      </c>
      <c r="J53" s="38">
        <f>SUM($I$4:I53)</f>
        <v>75464070.900000006</v>
      </c>
      <c r="K53" s="43">
        <f t="shared" si="1"/>
        <v>5.3717669307972598E-4</v>
      </c>
      <c r="L53" s="19"/>
      <c r="M53" s="16"/>
    </row>
    <row r="54" spans="1:13" ht="11.25">
      <c r="A54" s="36"/>
      <c r="B54" s="67">
        <v>45103</v>
      </c>
      <c r="C54" s="22"/>
      <c r="D54" s="17" t="s">
        <v>275</v>
      </c>
      <c r="E54" s="19"/>
      <c r="F54" s="19"/>
      <c r="G54" s="16"/>
      <c r="H54" s="16"/>
      <c r="I54" s="32">
        <v>124050</v>
      </c>
      <c r="J54" s="38">
        <f>SUM($I$4:I54)</f>
        <v>75588120.900000006</v>
      </c>
      <c r="K54" s="43">
        <f t="shared" si="1"/>
        <v>1.6566832105148796E-3</v>
      </c>
      <c r="L54" s="19"/>
      <c r="M54" s="16"/>
    </row>
    <row r="55" spans="1:13" ht="11.25">
      <c r="A55" s="36"/>
      <c r="B55" s="67">
        <v>45103</v>
      </c>
      <c r="C55" s="22"/>
      <c r="D55" s="17" t="s">
        <v>310</v>
      </c>
      <c r="E55" s="19"/>
      <c r="F55" s="19"/>
      <c r="G55" s="16"/>
      <c r="H55" s="16"/>
      <c r="I55" s="32">
        <v>300000</v>
      </c>
      <c r="J55" s="38">
        <f>SUM($I$4:I55)</f>
        <v>75888120.900000006</v>
      </c>
      <c r="K55" s="43">
        <f t="shared" si="1"/>
        <v>4.0064890218014021E-3</v>
      </c>
      <c r="L55" s="19"/>
      <c r="M55" s="16"/>
    </row>
    <row r="56" spans="1:13" ht="11.25">
      <c r="A56" s="36"/>
      <c r="B56" s="67">
        <v>45107</v>
      </c>
      <c r="C56" s="22"/>
      <c r="D56" s="17" t="s">
        <v>275</v>
      </c>
      <c r="E56" s="19"/>
      <c r="F56" s="19"/>
      <c r="G56" s="16"/>
      <c r="H56" s="16"/>
      <c r="I56" s="32">
        <v>12600</v>
      </c>
      <c r="J56" s="38">
        <f>SUM($I$4:I56)</f>
        <v>75900720.900000006</v>
      </c>
      <c r="K56" s="43">
        <f t="shared" si="1"/>
        <v>1.6827253891565889E-4</v>
      </c>
      <c r="L56" s="19"/>
      <c r="M56" s="16"/>
    </row>
    <row r="57" spans="1:13" ht="11.25">
      <c r="A57" s="36"/>
      <c r="B57" s="67">
        <v>45108</v>
      </c>
      <c r="C57" s="22"/>
      <c r="D57" s="17" t="s">
        <v>54</v>
      </c>
      <c r="E57" s="19"/>
      <c r="F57" s="19"/>
      <c r="G57" s="16"/>
      <c r="H57" s="16"/>
      <c r="I57" s="32">
        <v>2764292.22</v>
      </c>
      <c r="J57" s="38">
        <f>SUM($I$4:I57)</f>
        <v>78665013.120000005</v>
      </c>
      <c r="K57" s="43">
        <f t="shared" si="1"/>
        <v>3.6917021441603422E-2</v>
      </c>
      <c r="L57" s="19"/>
      <c r="M57" s="16"/>
    </row>
    <row r="58" spans="1:13" ht="11.25">
      <c r="A58" s="36"/>
      <c r="B58" s="67">
        <v>45118</v>
      </c>
      <c r="C58" s="22"/>
      <c r="D58" s="17" t="s">
        <v>314</v>
      </c>
      <c r="E58" s="19"/>
      <c r="F58" s="19"/>
      <c r="G58" s="16"/>
      <c r="H58" s="16"/>
      <c r="I58" s="32">
        <v>1017516.27</v>
      </c>
      <c r="J58" s="38">
        <f>SUM($I$4:I58)</f>
        <v>79682529.390000001</v>
      </c>
      <c r="K58" s="43">
        <f t="shared" si="1"/>
        <v>1.358889255086437E-2</v>
      </c>
      <c r="L58" s="19"/>
      <c r="M58" s="16"/>
    </row>
    <row r="59" spans="1:13" ht="11.25">
      <c r="A59" s="36"/>
      <c r="B59" s="67">
        <v>45129</v>
      </c>
      <c r="C59" s="22"/>
      <c r="D59" s="17" t="s">
        <v>300</v>
      </c>
      <c r="E59" s="19"/>
      <c r="F59" s="19"/>
      <c r="G59" s="16"/>
      <c r="H59" s="16"/>
      <c r="I59" s="32">
        <v>80503.81</v>
      </c>
      <c r="J59" s="38">
        <f>SUM($I$4:I59)</f>
        <v>79763033.200000003</v>
      </c>
      <c r="K59" s="43">
        <f t="shared" si="1"/>
        <v>1.075125436593953E-3</v>
      </c>
      <c r="L59" s="19"/>
      <c r="M59" s="16"/>
    </row>
    <row r="60" spans="1:13" ht="11.25">
      <c r="A60" s="36"/>
      <c r="B60" s="67">
        <v>45129</v>
      </c>
      <c r="C60" s="22"/>
      <c r="D60" s="17" t="s">
        <v>316</v>
      </c>
      <c r="E60" s="19"/>
      <c r="F60" s="19"/>
      <c r="G60" s="16"/>
      <c r="H60" s="16"/>
      <c r="I60" s="32">
        <v>4800.53</v>
      </c>
      <c r="J60" s="38">
        <f>SUM($I$4:I60)</f>
        <v>79767833.730000004</v>
      </c>
      <c r="K60" s="43">
        <f t="shared" si="1"/>
        <v>6.4110902479427609E-5</v>
      </c>
      <c r="L60" s="19"/>
      <c r="M60" s="16"/>
    </row>
    <row r="61" spans="1:13" ht="11.25">
      <c r="A61" s="36"/>
      <c r="B61" s="67">
        <v>45132</v>
      </c>
      <c r="C61" s="22"/>
      <c r="D61" s="17" t="s">
        <v>300</v>
      </c>
      <c r="E61" s="19"/>
      <c r="F61" s="19"/>
      <c r="G61" s="16"/>
      <c r="H61" s="16"/>
      <c r="I61" s="32">
        <v>15400000</v>
      </c>
      <c r="J61" s="38">
        <f>SUM($I$4:I61)</f>
        <v>95167833.730000004</v>
      </c>
      <c r="K61" s="43">
        <f t="shared" si="1"/>
        <v>0.20566643645247196</v>
      </c>
      <c r="L61" s="19"/>
      <c r="M61" s="16"/>
    </row>
    <row r="62" spans="1:13" ht="11.25">
      <c r="A62" s="36"/>
      <c r="B62" s="67">
        <v>45146</v>
      </c>
      <c r="C62" s="22"/>
      <c r="D62" s="17" t="s">
        <v>314</v>
      </c>
      <c r="E62" s="19"/>
      <c r="F62" s="19"/>
      <c r="G62" s="16"/>
      <c r="H62" s="16"/>
      <c r="I62" s="32">
        <v>1284865.75</v>
      </c>
      <c r="J62" s="38">
        <f>SUM($I$4:I62)</f>
        <v>96452699.480000004</v>
      </c>
      <c r="K62" s="43">
        <f t="shared" si="1"/>
        <v>1.7159335072878749E-2</v>
      </c>
      <c r="L62" s="19"/>
      <c r="M62" s="16"/>
    </row>
    <row r="63" spans="1:13" ht="11.25">
      <c r="A63" s="36"/>
      <c r="B63" s="67">
        <v>45146</v>
      </c>
      <c r="C63" s="22"/>
      <c r="D63" s="17" t="s">
        <v>317</v>
      </c>
      <c r="E63" s="19"/>
      <c r="F63" s="19"/>
      <c r="G63" s="16"/>
      <c r="H63" s="16"/>
      <c r="I63" s="32">
        <v>91578.26</v>
      </c>
      <c r="J63" s="38">
        <f>SUM($I$4:I63)</f>
        <v>96544277.74000001</v>
      </c>
      <c r="K63" s="43">
        <f t="shared" si="1"/>
        <v>1.2230243110855814E-3</v>
      </c>
      <c r="L63" s="19"/>
      <c r="M63" s="16"/>
    </row>
    <row r="64" spans="1:13" ht="11.25">
      <c r="A64" s="36"/>
      <c r="B64" s="67">
        <v>45146</v>
      </c>
      <c r="C64" s="22"/>
      <c r="D64" s="17" t="s">
        <v>300</v>
      </c>
      <c r="E64" s="19"/>
      <c r="F64" s="19"/>
      <c r="G64" s="16"/>
      <c r="H64" s="16"/>
      <c r="I64" s="32">
        <v>1300000</v>
      </c>
      <c r="J64" s="38">
        <f>SUM($I$4:I64)</f>
        <v>97844277.74000001</v>
      </c>
      <c r="K64" s="43">
        <f t="shared" si="1"/>
        <v>1.7361452427806075E-2</v>
      </c>
      <c r="L64" s="19"/>
      <c r="M64" s="16"/>
    </row>
    <row r="65" spans="1:13" ht="11.25">
      <c r="A65" s="36"/>
      <c r="B65" s="67">
        <v>45183</v>
      </c>
      <c r="C65" s="22"/>
      <c r="D65" s="17" t="s">
        <v>314</v>
      </c>
      <c r="E65" s="19"/>
      <c r="F65" s="19"/>
      <c r="G65" s="16"/>
      <c r="H65" s="16"/>
      <c r="I65" s="32">
        <v>1341225.32</v>
      </c>
      <c r="J65" s="38">
        <f>SUM($I$4:I65)</f>
        <v>99185503.060000002</v>
      </c>
      <c r="K65" s="43">
        <f t="shared" si="1"/>
        <v>1.7912015067806909E-2</v>
      </c>
      <c r="L65" s="19"/>
      <c r="M65" s="16"/>
    </row>
    <row r="66" spans="1:13" ht="11.25">
      <c r="A66" s="36"/>
      <c r="B66" s="67">
        <v>45214</v>
      </c>
      <c r="C66" s="22"/>
      <c r="D66" s="17" t="s">
        <v>314</v>
      </c>
      <c r="E66" s="19"/>
      <c r="F66" s="19"/>
      <c r="G66" s="16"/>
      <c r="H66" s="16"/>
      <c r="I66" s="32">
        <v>1537346.9</v>
      </c>
      <c r="J66" s="38">
        <f>SUM($I$4:I66)</f>
        <v>100722849.96000001</v>
      </c>
      <c r="K66" s="43">
        <f t="shared" si="1"/>
        <v>2.0531211591834724E-2</v>
      </c>
      <c r="L66" s="19"/>
      <c r="M66" s="16"/>
    </row>
    <row r="67" spans="1:13" ht="11.25">
      <c r="A67" s="36"/>
      <c r="B67" s="67">
        <v>45218</v>
      </c>
      <c r="C67" s="22"/>
      <c r="D67" s="17" t="s">
        <v>316</v>
      </c>
      <c r="E67" s="19"/>
      <c r="F67" s="19"/>
      <c r="G67" s="16"/>
      <c r="H67" s="16"/>
      <c r="I67" s="32">
        <v>15894.74</v>
      </c>
      <c r="J67" s="38">
        <f>SUM($I$4:I67)</f>
        <v>100738744.7</v>
      </c>
      <c r="K67" s="43">
        <f t="shared" si="1"/>
        <v>2.122736710479587E-4</v>
      </c>
      <c r="L67" s="19"/>
      <c r="M67" s="16"/>
    </row>
    <row r="68" spans="1:13" ht="11.25">
      <c r="A68" s="36"/>
      <c r="B68" s="67">
        <v>45223</v>
      </c>
      <c r="C68" s="22"/>
      <c r="D68" s="17" t="s">
        <v>272</v>
      </c>
      <c r="E68" s="19"/>
      <c r="F68" s="19"/>
      <c r="G68" s="16"/>
      <c r="H68" s="16"/>
      <c r="I68" s="32">
        <v>7894.74</v>
      </c>
      <c r="J68" s="38">
        <f>SUM($I$4:I68)</f>
        <v>100746639.44</v>
      </c>
      <c r="K68" s="43">
        <f t="shared" ref="K68:K79" si="2">IF(SUM($I$4:$I$44)=0,"",I68/SUM($I$4:$I$44))</f>
        <v>1.0543396379992133E-4</v>
      </c>
      <c r="L68" s="19"/>
      <c r="M68" s="16"/>
    </row>
    <row r="69" spans="1:13" ht="11.25">
      <c r="A69" s="36"/>
      <c r="B69" s="67">
        <v>45223</v>
      </c>
      <c r="C69" s="22"/>
      <c r="D69" s="17" t="s">
        <v>272</v>
      </c>
      <c r="E69" s="19"/>
      <c r="F69" s="19"/>
      <c r="G69" s="16"/>
      <c r="H69" s="16"/>
      <c r="I69" s="32">
        <v>100</v>
      </c>
      <c r="J69" s="38">
        <f>SUM($I$4:I69)</f>
        <v>100746739.44</v>
      </c>
      <c r="K69" s="43">
        <f t="shared" si="2"/>
        <v>1.3354963406004672E-6</v>
      </c>
      <c r="L69" s="19"/>
      <c r="M69" s="16"/>
    </row>
    <row r="70" spans="1:13" ht="11.25">
      <c r="A70" s="36"/>
      <c r="B70" s="67">
        <v>45233</v>
      </c>
      <c r="C70" s="22"/>
      <c r="D70" s="17" t="s">
        <v>300</v>
      </c>
      <c r="E70" s="19"/>
      <c r="F70" s="19"/>
      <c r="G70" s="16"/>
      <c r="H70" s="16"/>
      <c r="I70" s="32">
        <v>12449.53</v>
      </c>
      <c r="J70" s="38">
        <f>SUM($I$4:I70)</f>
        <v>100759188.97</v>
      </c>
      <c r="K70" s="43">
        <f t="shared" si="2"/>
        <v>1.6626301757195736E-4</v>
      </c>
      <c r="L70" s="19"/>
      <c r="M70" s="16"/>
    </row>
    <row r="71" spans="1:13" ht="11.25">
      <c r="A71" s="36"/>
      <c r="B71" s="67">
        <v>45238</v>
      </c>
      <c r="C71" s="22"/>
      <c r="D71" s="17" t="s">
        <v>300</v>
      </c>
      <c r="E71" s="19"/>
      <c r="F71" s="19"/>
      <c r="G71" s="16"/>
      <c r="H71" s="16"/>
      <c r="I71" s="32">
        <v>1300000</v>
      </c>
      <c r="J71" s="38">
        <f>SUM($I$4:I71)</f>
        <v>102059188.97</v>
      </c>
      <c r="K71" s="43">
        <f t="shared" si="2"/>
        <v>1.7361452427806075E-2</v>
      </c>
      <c r="L71" s="19"/>
      <c r="M71" s="16"/>
    </row>
    <row r="72" spans="1:13" ht="11.25">
      <c r="A72" s="36"/>
      <c r="B72" s="67">
        <v>45253</v>
      </c>
      <c r="C72" s="22"/>
      <c r="D72" s="17" t="s">
        <v>300</v>
      </c>
      <c r="E72" s="19"/>
      <c r="F72" s="19"/>
      <c r="G72" s="16"/>
      <c r="H72" s="16"/>
      <c r="I72" s="32">
        <v>219220.15</v>
      </c>
      <c r="J72" s="38">
        <f>SUM($I$4:I72)</f>
        <v>102278409.12</v>
      </c>
      <c r="K72" s="43">
        <f t="shared" si="2"/>
        <v>2.9276770811088554E-3</v>
      </c>
      <c r="L72" s="19"/>
      <c r="M72" s="16"/>
    </row>
    <row r="73" spans="1:13" ht="11.25">
      <c r="A73" s="36"/>
      <c r="B73" s="67">
        <v>45273</v>
      </c>
      <c r="C73" s="22"/>
      <c r="D73" s="17" t="s">
        <v>300</v>
      </c>
      <c r="E73" s="19"/>
      <c r="F73" s="19"/>
      <c r="G73" s="16"/>
      <c r="H73" s="16"/>
      <c r="I73" s="32">
        <v>21690000</v>
      </c>
      <c r="J73" s="38">
        <f>SUM($I$4:I73)</f>
        <v>123968409.12</v>
      </c>
      <c r="K73" s="43">
        <f t="shared" si="2"/>
        <v>0.28966915627624135</v>
      </c>
      <c r="L73" s="19"/>
      <c r="M73" s="16"/>
    </row>
    <row r="74" spans="1:13" ht="11.25">
      <c r="A74" s="36"/>
      <c r="B74" s="67">
        <v>45276</v>
      </c>
      <c r="C74" s="22"/>
      <c r="D74" s="17" t="s">
        <v>317</v>
      </c>
      <c r="E74" s="19"/>
      <c r="F74" s="19"/>
      <c r="G74" s="16"/>
      <c r="H74" s="16"/>
      <c r="I74" s="32">
        <v>96672.66</v>
      </c>
      <c r="J74" s="38">
        <f>SUM($I$4:I74)</f>
        <v>124065081.78</v>
      </c>
      <c r="K74" s="43">
        <f t="shared" si="2"/>
        <v>1.2910598366611317E-3</v>
      </c>
      <c r="L74" s="19"/>
      <c r="M74" s="16"/>
    </row>
    <row r="75" spans="1:13" ht="11.25">
      <c r="A75" s="36"/>
      <c r="B75" s="67">
        <v>45281</v>
      </c>
      <c r="C75" s="22"/>
      <c r="D75" s="17" t="s">
        <v>272</v>
      </c>
      <c r="E75" s="19"/>
      <c r="F75" s="19"/>
      <c r="G75" s="16"/>
      <c r="H75" s="16"/>
      <c r="I75" s="32">
        <v>24392.12</v>
      </c>
      <c r="J75" s="38">
        <f>SUM($I$4:I75)</f>
        <v>124089473.90000001</v>
      </c>
      <c r="K75" s="43">
        <f t="shared" si="2"/>
        <v>3.257558699948747E-4</v>
      </c>
      <c r="L75" s="19"/>
      <c r="M75" s="16"/>
    </row>
    <row r="76" spans="1:13" ht="11.25">
      <c r="A76" s="36"/>
      <c r="B76" s="67">
        <v>45281</v>
      </c>
      <c r="C76" s="22"/>
      <c r="D76" s="17" t="s">
        <v>272</v>
      </c>
      <c r="E76" s="19"/>
      <c r="F76" s="19"/>
      <c r="G76" s="16"/>
      <c r="H76" s="16"/>
      <c r="I76" s="32">
        <v>100</v>
      </c>
      <c r="J76" s="38">
        <f>SUM($I$4:I76)</f>
        <v>124089573.90000001</v>
      </c>
      <c r="K76" s="43">
        <f t="shared" si="2"/>
        <v>1.3354963406004672E-6</v>
      </c>
      <c r="L76" s="19"/>
      <c r="M76" s="16"/>
    </row>
    <row r="77" spans="1:13" ht="11.25">
      <c r="A77" s="36"/>
      <c r="B77" s="67">
        <v>45127</v>
      </c>
      <c r="C77" s="22"/>
      <c r="D77" s="17" t="s">
        <v>54</v>
      </c>
      <c r="E77" s="19"/>
      <c r="F77" s="19"/>
      <c r="G77" s="16"/>
      <c r="H77" s="16"/>
      <c r="I77" s="32">
        <v>1731.37</v>
      </c>
      <c r="J77" s="38">
        <f>SUM($I$4:I77)</f>
        <v>124091305.27000001</v>
      </c>
      <c r="K77" s="43">
        <f t="shared" si="2"/>
        <v>2.3122382992254308E-5</v>
      </c>
      <c r="L77" s="19"/>
      <c r="M77" s="16"/>
    </row>
    <row r="78" spans="1:13" ht="11.25">
      <c r="A78" s="36"/>
      <c r="B78" s="76">
        <v>45266</v>
      </c>
      <c r="C78" s="16"/>
      <c r="D78" s="17" t="s">
        <v>322</v>
      </c>
      <c r="E78" s="19"/>
      <c r="F78" s="19"/>
      <c r="G78" s="16"/>
      <c r="H78" s="16"/>
      <c r="I78" s="32">
        <v>20000</v>
      </c>
      <c r="J78" s="38">
        <f>SUM($I$4:I78)</f>
        <v>124111305.27000001</v>
      </c>
      <c r="K78" s="43">
        <f t="shared" si="2"/>
        <v>2.6709926812009348E-4</v>
      </c>
      <c r="L78" s="19"/>
      <c r="M78" s="16"/>
    </row>
    <row r="79" spans="1:13" ht="11.25">
      <c r="A79" s="36"/>
      <c r="B79" s="76">
        <v>45282</v>
      </c>
      <c r="C79" s="16"/>
      <c r="D79" s="17" t="s">
        <v>322</v>
      </c>
      <c r="E79" s="19"/>
      <c r="F79" s="19"/>
      <c r="G79" s="16"/>
      <c r="H79" s="16"/>
      <c r="I79" s="32">
        <v>50000</v>
      </c>
      <c r="J79" s="38">
        <f>SUM($I$4:I79)</f>
        <v>124161305.27000001</v>
      </c>
      <c r="K79" s="43">
        <f t="shared" si="2"/>
        <v>6.6774817030023368E-4</v>
      </c>
      <c r="L79" s="19"/>
      <c r="M79" s="16"/>
    </row>
    <row r="80" spans="1:13">
      <c r="A80" s="39"/>
      <c r="B80" s="39"/>
      <c r="C80" s="39"/>
      <c r="D80" s="40" t="s">
        <v>68</v>
      </c>
      <c r="E80" s="39"/>
      <c r="F80" s="39"/>
      <c r="G80" s="39"/>
      <c r="H80" s="39"/>
      <c r="I80" s="42">
        <f>SUM(I4:I79)</f>
        <v>124161305.27000001</v>
      </c>
      <c r="J80" s="39"/>
      <c r="K80" s="39"/>
      <c r="L80" s="39"/>
      <c r="M80" s="39"/>
    </row>
    <row r="81" spans="1:13" ht="12.75">
      <c r="A81" s="36"/>
      <c r="B81" s="67"/>
      <c r="C81" s="22"/>
      <c r="D81" s="25"/>
      <c r="E81" s="19"/>
      <c r="F81" s="19"/>
      <c r="G81" s="16"/>
      <c r="H81" s="16"/>
      <c r="I81" s="90"/>
      <c r="J81" s="38"/>
      <c r="K81" s="43"/>
      <c r="L81" s="19"/>
      <c r="M81" s="16"/>
    </row>
    <row r="82" spans="1:13" ht="12.75">
      <c r="A82" s="36"/>
      <c r="B82" s="67"/>
      <c r="C82" s="22"/>
      <c r="D82" s="25"/>
      <c r="E82" s="19"/>
      <c r="F82" s="19"/>
      <c r="G82" s="16"/>
      <c r="H82" s="16"/>
      <c r="I82" s="90"/>
      <c r="J82" s="38"/>
      <c r="K82" s="43"/>
      <c r="L82" s="19"/>
      <c r="M82" s="16"/>
    </row>
    <row r="83" spans="1:13" ht="12.75">
      <c r="A83" s="36"/>
      <c r="B83" s="67"/>
      <c r="C83" s="22"/>
      <c r="D83" s="25"/>
      <c r="E83" s="19"/>
      <c r="F83" s="19"/>
      <c r="G83" s="16"/>
      <c r="H83" s="16"/>
      <c r="I83" s="90"/>
      <c r="J83" s="38"/>
      <c r="K83" s="43"/>
      <c r="L83" s="19"/>
      <c r="M83" s="16"/>
    </row>
    <row r="84" spans="1:13" ht="12.75">
      <c r="A84" s="36"/>
      <c r="B84" s="67"/>
      <c r="C84" s="22"/>
      <c r="D84" s="25"/>
      <c r="E84" s="19"/>
      <c r="F84" s="19"/>
      <c r="G84" s="16"/>
      <c r="H84" s="16"/>
      <c r="I84" s="90"/>
      <c r="J84" s="38"/>
      <c r="K84" s="43"/>
      <c r="L84" s="19"/>
      <c r="M84" s="16"/>
    </row>
    <row r="85" spans="1:13" ht="12.75">
      <c r="A85" s="36"/>
      <c r="B85" s="67"/>
      <c r="C85" s="22"/>
      <c r="D85" s="25"/>
      <c r="E85" s="19"/>
      <c r="F85" s="19"/>
      <c r="G85" s="16"/>
      <c r="H85" s="16"/>
      <c r="I85" s="90"/>
      <c r="J85" s="38"/>
      <c r="K85" s="43"/>
      <c r="L85" s="19"/>
      <c r="M85" s="16"/>
    </row>
    <row r="86" spans="1:13" ht="12.75">
      <c r="A86" s="36"/>
      <c r="B86" s="67"/>
      <c r="C86" s="22"/>
      <c r="D86" s="25"/>
      <c r="E86" s="19"/>
      <c r="F86" s="19"/>
      <c r="G86" s="16"/>
      <c r="H86" s="16"/>
      <c r="I86" s="90"/>
      <c r="J86" s="38"/>
      <c r="K86" s="43"/>
      <c r="L86" s="19"/>
      <c r="M86" s="16"/>
    </row>
    <row r="87" spans="1:13" ht="12.75">
      <c r="A87" s="36"/>
      <c r="B87" s="67"/>
      <c r="C87" s="22"/>
      <c r="D87" s="25"/>
      <c r="E87" s="19"/>
      <c r="F87" s="19"/>
      <c r="G87" s="16"/>
      <c r="H87" s="16"/>
      <c r="I87" s="90"/>
      <c r="J87" s="38"/>
      <c r="K87" s="43"/>
      <c r="L87" s="19"/>
      <c r="M87" s="16"/>
    </row>
    <row r="88" spans="1:13" ht="12.75">
      <c r="A88" s="36"/>
      <c r="B88" s="67"/>
      <c r="C88" s="22"/>
      <c r="D88" s="25"/>
      <c r="E88" s="19"/>
      <c r="F88" s="19"/>
      <c r="G88" s="16"/>
      <c r="H88" s="16"/>
      <c r="I88" s="90"/>
      <c r="J88" s="38"/>
      <c r="K88" s="43"/>
      <c r="L88" s="19"/>
      <c r="M88" s="16"/>
    </row>
    <row r="89" spans="1:13" ht="12.75">
      <c r="A89" s="36"/>
      <c r="B89" s="67"/>
      <c r="C89" s="22"/>
      <c r="D89" s="25"/>
      <c r="E89" s="19"/>
      <c r="F89" s="19"/>
      <c r="G89" s="16"/>
      <c r="H89" s="16"/>
      <c r="I89" s="90"/>
      <c r="J89" s="38"/>
      <c r="K89" s="43"/>
      <c r="L89" s="19"/>
      <c r="M89" s="16"/>
    </row>
    <row r="90" spans="1:13" ht="12.75">
      <c r="A90" s="36"/>
      <c r="B90" s="67"/>
      <c r="C90" s="22"/>
      <c r="D90" s="25"/>
      <c r="E90" s="19"/>
      <c r="F90" s="19"/>
      <c r="G90" s="16"/>
      <c r="H90" s="16"/>
      <c r="I90" s="90"/>
      <c r="J90" s="38"/>
      <c r="K90" s="43"/>
      <c r="L90" s="19"/>
      <c r="M90" s="16"/>
    </row>
    <row r="91" spans="1:13" ht="12.75">
      <c r="A91" s="36"/>
      <c r="B91" s="67"/>
      <c r="C91" s="22"/>
      <c r="D91" s="25"/>
      <c r="E91" s="19"/>
      <c r="F91" s="19"/>
      <c r="G91" s="16"/>
      <c r="H91" s="16"/>
      <c r="I91" s="90"/>
      <c r="J91" s="38"/>
      <c r="K91" s="43"/>
      <c r="L91" s="19"/>
      <c r="M91" s="16"/>
    </row>
    <row r="92" spans="1:13" ht="12.75">
      <c r="A92" s="36"/>
      <c r="B92" s="67"/>
      <c r="C92" s="22"/>
      <c r="D92" s="25"/>
      <c r="E92" s="19"/>
      <c r="F92" s="19"/>
      <c r="G92" s="16"/>
      <c r="H92" s="16"/>
      <c r="I92" s="90"/>
      <c r="J92" s="38"/>
      <c r="K92" s="43"/>
      <c r="L92" s="19"/>
      <c r="M92" s="16"/>
    </row>
    <row r="93" spans="1:13" ht="12.75">
      <c r="A93" s="36"/>
      <c r="B93" s="67"/>
      <c r="C93" s="22"/>
      <c r="D93" s="25"/>
      <c r="E93" s="19"/>
      <c r="F93" s="19"/>
      <c r="G93" s="16"/>
      <c r="H93" s="16"/>
      <c r="I93" s="90"/>
      <c r="J93" s="38"/>
      <c r="K93" s="43"/>
      <c r="L93" s="19"/>
      <c r="M93" s="16"/>
    </row>
    <row r="94" spans="1:13" ht="12.75">
      <c r="A94" s="36"/>
      <c r="B94" s="67"/>
      <c r="C94" s="22"/>
      <c r="D94" s="25"/>
      <c r="E94" s="19"/>
      <c r="F94" s="19"/>
      <c r="G94" s="16"/>
      <c r="H94" s="16"/>
      <c r="I94" s="90"/>
      <c r="J94" s="38"/>
      <c r="K94" s="43"/>
      <c r="L94" s="19"/>
      <c r="M94" s="16"/>
    </row>
    <row r="95" spans="1:13" ht="12.75">
      <c r="A95" s="36"/>
      <c r="B95" s="67"/>
      <c r="C95" s="22"/>
      <c r="D95" s="25"/>
      <c r="E95" s="19"/>
      <c r="F95" s="19"/>
      <c r="G95" s="16"/>
      <c r="H95" s="16"/>
      <c r="I95" s="90"/>
      <c r="J95" s="38"/>
      <c r="K95" s="43"/>
      <c r="L95" s="19"/>
      <c r="M95" s="16"/>
    </row>
    <row r="96" spans="1:13" ht="12.75">
      <c r="A96" s="36"/>
      <c r="B96" s="67"/>
      <c r="C96" s="22"/>
      <c r="D96" s="25"/>
      <c r="E96" s="19"/>
      <c r="F96" s="19"/>
      <c r="G96" s="16"/>
      <c r="H96" s="16"/>
      <c r="I96" s="90"/>
      <c r="J96" s="38"/>
      <c r="K96" s="43"/>
      <c r="L96" s="19"/>
      <c r="M96" s="16"/>
    </row>
    <row r="97" spans="1:13" ht="12.75">
      <c r="A97" s="36"/>
      <c r="B97" s="67"/>
      <c r="C97" s="22"/>
      <c r="D97" s="25"/>
      <c r="E97" s="19"/>
      <c r="F97" s="19"/>
      <c r="G97" s="16"/>
      <c r="H97" s="16"/>
      <c r="I97" s="90"/>
      <c r="J97" s="38"/>
      <c r="K97" s="43"/>
      <c r="L97" s="19"/>
      <c r="M97" s="16"/>
    </row>
    <row r="98" spans="1:13" ht="12.75">
      <c r="A98" s="36"/>
      <c r="B98" s="67"/>
      <c r="C98" s="22"/>
      <c r="D98" s="25"/>
      <c r="E98" s="19"/>
      <c r="F98" s="19"/>
      <c r="G98" s="16"/>
      <c r="H98" s="16"/>
      <c r="I98" s="90"/>
      <c r="J98" s="38"/>
      <c r="K98" s="43"/>
      <c r="L98" s="19"/>
      <c r="M98" s="16"/>
    </row>
    <row r="99" spans="1:13" ht="12.75">
      <c r="A99" s="36"/>
      <c r="B99" s="67"/>
      <c r="C99" s="22"/>
      <c r="D99" s="25"/>
      <c r="E99" s="19"/>
      <c r="F99" s="19"/>
      <c r="G99" s="16"/>
      <c r="H99" s="16"/>
      <c r="I99" s="90"/>
      <c r="J99" s="38"/>
      <c r="K99" s="43"/>
      <c r="L99" s="19"/>
      <c r="M99" s="16"/>
    </row>
    <row r="100" spans="1:13" ht="12.75">
      <c r="A100" s="36"/>
      <c r="B100" s="67"/>
      <c r="C100" s="22"/>
      <c r="D100" s="25"/>
      <c r="E100" s="19"/>
      <c r="F100" s="19"/>
      <c r="G100" s="16"/>
      <c r="H100" s="16"/>
      <c r="I100" s="90"/>
      <c r="J100" s="38"/>
      <c r="K100" s="43"/>
      <c r="L100" s="19"/>
      <c r="M100" s="16"/>
    </row>
    <row r="101" spans="1:13" ht="12.75">
      <c r="A101" s="36"/>
      <c r="B101" s="67"/>
      <c r="C101" s="22"/>
      <c r="D101" s="25"/>
      <c r="E101" s="19"/>
      <c r="F101" s="19"/>
      <c r="G101" s="16"/>
      <c r="H101" s="16"/>
      <c r="I101" s="90"/>
      <c r="J101" s="38"/>
      <c r="K101" s="43"/>
      <c r="L101" s="19"/>
      <c r="M101" s="16"/>
    </row>
    <row r="102" spans="1:13" ht="12.75">
      <c r="A102" s="36"/>
      <c r="B102" s="67"/>
      <c r="C102" s="22"/>
      <c r="D102" s="25"/>
      <c r="E102" s="19"/>
      <c r="F102" s="19"/>
      <c r="G102" s="16"/>
      <c r="H102" s="16"/>
      <c r="I102" s="90"/>
      <c r="J102" s="38"/>
      <c r="K102" s="43"/>
      <c r="L102" s="19"/>
      <c r="M102" s="16"/>
    </row>
    <row r="103" spans="1:13" ht="12.75">
      <c r="A103" s="36"/>
      <c r="B103" s="67"/>
      <c r="C103" s="22"/>
      <c r="D103" s="25"/>
      <c r="E103" s="19"/>
      <c r="F103" s="19"/>
      <c r="G103" s="16"/>
      <c r="H103" s="16"/>
      <c r="I103" s="90"/>
      <c r="J103" s="38"/>
      <c r="K103" s="43"/>
      <c r="L103" s="19"/>
      <c r="M103" s="16"/>
    </row>
    <row r="104" spans="1:13" ht="12.75">
      <c r="A104" s="36"/>
      <c r="B104" s="67"/>
      <c r="C104" s="22"/>
      <c r="D104" s="25"/>
      <c r="E104" s="19"/>
      <c r="F104" s="19"/>
      <c r="G104" s="16"/>
      <c r="H104" s="16"/>
      <c r="I104" s="90"/>
      <c r="J104" s="38"/>
      <c r="K104" s="43"/>
      <c r="L104" s="19"/>
      <c r="M104" s="16"/>
    </row>
    <row r="105" spans="1:13" ht="12.75">
      <c r="A105" s="36"/>
      <c r="B105" s="67"/>
      <c r="C105" s="22"/>
      <c r="D105" s="25"/>
      <c r="E105" s="19"/>
      <c r="F105" s="19"/>
      <c r="G105" s="16"/>
      <c r="H105" s="16"/>
      <c r="I105" s="90"/>
      <c r="J105" s="38"/>
      <c r="K105" s="43"/>
      <c r="L105" s="19"/>
      <c r="M105" s="16"/>
    </row>
    <row r="106" spans="1:13" ht="12.75">
      <c r="A106" s="36"/>
      <c r="B106" s="67"/>
      <c r="C106" s="22"/>
      <c r="D106" s="25"/>
      <c r="E106" s="19"/>
      <c r="F106" s="19"/>
      <c r="G106" s="16"/>
      <c r="H106" s="16"/>
      <c r="I106" s="90"/>
      <c r="J106" s="38"/>
      <c r="K106" s="43"/>
      <c r="L106" s="19"/>
      <c r="M106" s="16"/>
    </row>
    <row r="107" spans="1:13" ht="12.75">
      <c r="A107" s="36"/>
      <c r="B107" s="67"/>
      <c r="C107" s="22"/>
      <c r="D107" s="25"/>
      <c r="E107" s="19"/>
      <c r="F107" s="19"/>
      <c r="G107" s="16"/>
      <c r="H107" s="16"/>
      <c r="I107" s="90"/>
      <c r="J107" s="38"/>
      <c r="K107" s="43"/>
      <c r="L107" s="19"/>
      <c r="M107" s="16"/>
    </row>
    <row r="108" spans="1:13" ht="12.75">
      <c r="A108" s="36"/>
      <c r="B108" s="67"/>
      <c r="C108" s="22"/>
      <c r="D108" s="25"/>
      <c r="E108" s="19"/>
      <c r="F108" s="19"/>
      <c r="G108" s="16"/>
      <c r="H108" s="16"/>
      <c r="I108" s="90"/>
      <c r="J108" s="38"/>
      <c r="K108" s="43"/>
      <c r="L108" s="19"/>
      <c r="M108" s="16"/>
    </row>
    <row r="109" spans="1:13" ht="12.75">
      <c r="A109" s="36"/>
      <c r="B109" s="67"/>
      <c r="C109" s="22"/>
      <c r="D109" s="25"/>
      <c r="E109" s="19"/>
      <c r="F109" s="19"/>
      <c r="G109" s="16"/>
      <c r="H109" s="16"/>
      <c r="I109" s="90"/>
      <c r="J109" s="38"/>
      <c r="K109" s="43"/>
      <c r="L109" s="19"/>
      <c r="M109" s="16"/>
    </row>
    <row r="110" spans="1:13" ht="12.75">
      <c r="A110" s="36"/>
      <c r="B110" s="67"/>
      <c r="C110" s="22"/>
      <c r="D110" s="25"/>
      <c r="E110" s="19"/>
      <c r="F110" s="19"/>
      <c r="G110" s="16"/>
      <c r="H110" s="16"/>
      <c r="I110" s="90"/>
      <c r="J110" s="38"/>
      <c r="K110" s="43"/>
      <c r="L110" s="19"/>
      <c r="M110" s="16"/>
    </row>
    <row r="111" spans="1:13" ht="12.75">
      <c r="A111" s="36"/>
      <c r="B111" s="67"/>
      <c r="C111" s="22"/>
      <c r="D111" s="25"/>
      <c r="E111" s="19"/>
      <c r="F111" s="19"/>
      <c r="G111" s="16"/>
      <c r="H111" s="16"/>
      <c r="I111" s="90"/>
      <c r="J111" s="38"/>
      <c r="K111" s="43"/>
      <c r="L111" s="19"/>
      <c r="M111" s="16"/>
    </row>
    <row r="112" spans="1:13" ht="12.75">
      <c r="A112" s="36"/>
      <c r="B112" s="67"/>
      <c r="C112" s="22"/>
      <c r="D112" s="25"/>
      <c r="E112" s="19"/>
      <c r="F112" s="19"/>
      <c r="G112" s="16"/>
      <c r="H112" s="16"/>
      <c r="I112" s="90"/>
      <c r="J112" s="38"/>
      <c r="K112" s="43"/>
      <c r="L112" s="19"/>
      <c r="M112" s="16"/>
    </row>
    <row r="113" spans="1:13" ht="12.75">
      <c r="A113" s="36"/>
      <c r="B113" s="67"/>
      <c r="C113" s="22"/>
      <c r="D113" s="25"/>
      <c r="E113" s="19"/>
      <c r="F113" s="19"/>
      <c r="G113" s="16"/>
      <c r="H113" s="16"/>
      <c r="I113" s="90"/>
      <c r="J113" s="38"/>
      <c r="K113" s="43"/>
      <c r="L113" s="19"/>
      <c r="M113" s="16"/>
    </row>
    <row r="114" spans="1:13" ht="12.75">
      <c r="A114" s="36"/>
      <c r="B114" s="67"/>
      <c r="C114" s="22"/>
      <c r="D114" s="25"/>
      <c r="E114" s="19"/>
      <c r="F114" s="19"/>
      <c r="G114" s="16"/>
      <c r="H114" s="16"/>
      <c r="I114" s="90"/>
      <c r="J114" s="38"/>
      <c r="K114" s="43"/>
      <c r="L114" s="19"/>
      <c r="M114" s="16"/>
    </row>
    <row r="115" spans="1:13" ht="12.75">
      <c r="A115" s="36"/>
      <c r="B115" s="67"/>
      <c r="C115" s="22"/>
      <c r="D115" s="25"/>
      <c r="E115" s="19"/>
      <c r="F115" s="19"/>
      <c r="G115" s="16"/>
      <c r="H115" s="16"/>
      <c r="I115" s="90"/>
      <c r="J115" s="38"/>
      <c r="K115" s="43"/>
      <c r="L115" s="19"/>
      <c r="M115" s="16"/>
    </row>
    <row r="116" spans="1:13" ht="12.75">
      <c r="A116" s="36"/>
      <c r="B116" s="67"/>
      <c r="C116" s="22"/>
      <c r="D116" s="25"/>
      <c r="E116" s="19"/>
      <c r="F116" s="19"/>
      <c r="G116" s="16"/>
      <c r="H116" s="16"/>
      <c r="I116" s="90"/>
      <c r="J116" s="38"/>
      <c r="K116" s="43"/>
      <c r="L116" s="19"/>
      <c r="M116" s="16"/>
    </row>
    <row r="117" spans="1:13" ht="12.75">
      <c r="A117" s="36"/>
      <c r="B117" s="67"/>
      <c r="C117" s="22"/>
      <c r="D117" s="25"/>
      <c r="E117" s="19"/>
      <c r="F117" s="19"/>
      <c r="G117" s="16"/>
      <c r="H117" s="16"/>
      <c r="I117" s="90"/>
      <c r="J117" s="38"/>
      <c r="K117" s="43"/>
      <c r="L117" s="19"/>
      <c r="M117" s="16"/>
    </row>
    <row r="118" spans="1:13" ht="12.75">
      <c r="A118" s="36"/>
      <c r="B118" s="67"/>
      <c r="C118" s="22"/>
      <c r="D118" s="25"/>
      <c r="E118" s="19"/>
      <c r="F118" s="19"/>
      <c r="G118" s="16"/>
      <c r="H118" s="16"/>
      <c r="I118" s="90"/>
      <c r="J118" s="38"/>
      <c r="K118" s="43"/>
      <c r="L118" s="19"/>
      <c r="M118" s="16"/>
    </row>
    <row r="119" spans="1:13" ht="12.75">
      <c r="A119" s="36"/>
      <c r="B119" s="67"/>
      <c r="C119" s="22"/>
      <c r="D119" s="25"/>
      <c r="E119" s="19"/>
      <c r="F119" s="19"/>
      <c r="G119" s="16"/>
      <c r="H119" s="16"/>
      <c r="I119" s="90"/>
      <c r="J119" s="38"/>
      <c r="K119" s="43"/>
      <c r="L119" s="19"/>
      <c r="M119" s="16"/>
    </row>
    <row r="120" spans="1:13" ht="12.75">
      <c r="A120" s="36"/>
      <c r="B120" s="67"/>
      <c r="C120" s="22"/>
      <c r="D120" s="25"/>
      <c r="E120" s="19"/>
      <c r="F120" s="19"/>
      <c r="G120" s="16"/>
      <c r="H120" s="16"/>
      <c r="I120" s="90"/>
      <c r="J120" s="38"/>
      <c r="K120" s="43"/>
      <c r="L120" s="19"/>
      <c r="M120" s="16"/>
    </row>
    <row r="121" spans="1:13" ht="12.75">
      <c r="A121" s="36"/>
      <c r="B121" s="67"/>
      <c r="C121" s="22"/>
      <c r="D121" s="25"/>
      <c r="E121" s="19"/>
      <c r="F121" s="19"/>
      <c r="G121" s="16"/>
      <c r="H121" s="16"/>
      <c r="I121" s="90"/>
      <c r="J121" s="38"/>
      <c r="K121" s="43"/>
      <c r="L121" s="19"/>
      <c r="M121" s="16"/>
    </row>
    <row r="122" spans="1:13" ht="12.75">
      <c r="A122" s="36"/>
      <c r="B122" s="67"/>
      <c r="C122" s="22"/>
      <c r="D122" s="25"/>
      <c r="E122" s="19"/>
      <c r="F122" s="19"/>
      <c r="G122" s="16"/>
      <c r="H122" s="16"/>
      <c r="I122" s="90"/>
      <c r="J122" s="38"/>
      <c r="K122" s="43"/>
      <c r="L122" s="19"/>
      <c r="M122" s="16"/>
    </row>
    <row r="123" spans="1:13" ht="12.75">
      <c r="A123" s="36"/>
      <c r="B123" s="67"/>
      <c r="C123" s="22"/>
      <c r="D123" s="25"/>
      <c r="E123" s="19"/>
      <c r="F123" s="19"/>
      <c r="G123" s="16"/>
      <c r="H123" s="16"/>
      <c r="I123" s="90"/>
      <c r="J123" s="38"/>
      <c r="K123" s="43"/>
      <c r="L123" s="19"/>
      <c r="M123" s="16"/>
    </row>
    <row r="124" spans="1:13" ht="12.75">
      <c r="A124" s="36"/>
      <c r="B124" s="67"/>
      <c r="C124" s="22"/>
      <c r="D124" s="25"/>
      <c r="E124" s="19"/>
      <c r="F124" s="19"/>
      <c r="G124" s="16"/>
      <c r="H124" s="16"/>
      <c r="I124" s="90"/>
      <c r="J124" s="38"/>
      <c r="K124" s="43"/>
      <c r="L124" s="19"/>
      <c r="M124" s="16"/>
    </row>
    <row r="125" spans="1:13" ht="12.75">
      <c r="A125" s="36"/>
      <c r="B125" s="67"/>
      <c r="C125" s="22"/>
      <c r="D125" s="25"/>
      <c r="E125" s="19"/>
      <c r="F125" s="19"/>
      <c r="G125" s="16"/>
      <c r="H125" s="16"/>
      <c r="I125" s="90"/>
      <c r="J125" s="38"/>
      <c r="K125" s="43"/>
      <c r="L125" s="19"/>
      <c r="M125" s="16"/>
    </row>
    <row r="126" spans="1:13" ht="12.75">
      <c r="A126" s="36"/>
      <c r="B126" s="67"/>
      <c r="C126" s="22"/>
      <c r="D126" s="25"/>
      <c r="E126" s="19"/>
      <c r="F126" s="19"/>
      <c r="G126" s="16"/>
      <c r="H126" s="16"/>
      <c r="I126" s="90"/>
      <c r="J126" s="38"/>
      <c r="K126" s="43"/>
      <c r="L126" s="19"/>
      <c r="M126" s="16"/>
    </row>
    <row r="127" spans="1:13" ht="12.75">
      <c r="A127" s="36"/>
      <c r="B127" s="67"/>
      <c r="C127" s="22"/>
      <c r="D127" s="25"/>
      <c r="E127" s="19"/>
      <c r="F127" s="19"/>
      <c r="G127" s="16"/>
      <c r="H127" s="16"/>
      <c r="I127" s="90"/>
      <c r="J127" s="38"/>
      <c r="K127" s="43"/>
      <c r="L127" s="19"/>
      <c r="M127" s="16"/>
    </row>
    <row r="128" spans="1:13" ht="12.75">
      <c r="A128" s="36"/>
      <c r="B128" s="67"/>
      <c r="C128" s="22"/>
      <c r="D128" s="25"/>
      <c r="E128" s="19"/>
      <c r="F128" s="19"/>
      <c r="G128" s="16"/>
      <c r="H128" s="16"/>
      <c r="I128" s="90"/>
      <c r="J128" s="38"/>
      <c r="K128" s="43"/>
      <c r="L128" s="19"/>
      <c r="M128" s="16"/>
    </row>
    <row r="129" spans="1:13" ht="12.75">
      <c r="A129" s="36"/>
      <c r="B129" s="67"/>
      <c r="C129" s="22"/>
      <c r="D129" s="25"/>
      <c r="E129" s="19"/>
      <c r="F129" s="19"/>
      <c r="G129" s="16"/>
      <c r="H129" s="16"/>
      <c r="I129" s="90"/>
      <c r="J129" s="38"/>
      <c r="K129" s="43"/>
      <c r="L129" s="19"/>
      <c r="M129" s="16"/>
    </row>
    <row r="130" spans="1:13" ht="12.75">
      <c r="A130" s="36"/>
      <c r="B130" s="67"/>
      <c r="C130" s="22"/>
      <c r="D130" s="25"/>
      <c r="E130" s="19"/>
      <c r="F130" s="19"/>
      <c r="G130" s="16"/>
      <c r="H130" s="16"/>
      <c r="I130" s="90"/>
      <c r="J130" s="38"/>
      <c r="K130" s="43"/>
      <c r="L130" s="19"/>
      <c r="M130" s="16"/>
    </row>
    <row r="131" spans="1:13" ht="12.75">
      <c r="A131" s="36"/>
      <c r="B131" s="67"/>
      <c r="C131" s="22"/>
      <c r="D131" s="25"/>
      <c r="E131" s="19"/>
      <c r="F131" s="19"/>
      <c r="G131" s="16"/>
      <c r="H131" s="16"/>
      <c r="I131" s="90"/>
      <c r="J131" s="38"/>
      <c r="K131" s="43"/>
      <c r="L131" s="19"/>
      <c r="M131" s="16"/>
    </row>
    <row r="132" spans="1:13" ht="12.75">
      <c r="A132" s="36"/>
      <c r="B132" s="67"/>
      <c r="C132" s="22"/>
      <c r="D132" s="25"/>
      <c r="E132" s="19"/>
      <c r="F132" s="19"/>
      <c r="G132" s="16"/>
      <c r="H132" s="16"/>
      <c r="I132" s="90"/>
      <c r="J132" s="38"/>
      <c r="K132" s="43"/>
      <c r="L132" s="19"/>
      <c r="M132" s="16"/>
    </row>
    <row r="133" spans="1:13" ht="12.75">
      <c r="A133" s="36"/>
      <c r="B133" s="67"/>
      <c r="C133" s="22"/>
      <c r="D133" s="25"/>
      <c r="E133" s="19"/>
      <c r="F133" s="19"/>
      <c r="G133" s="16"/>
      <c r="H133" s="16"/>
      <c r="I133" s="90"/>
      <c r="J133" s="38"/>
      <c r="K133" s="43"/>
      <c r="L133" s="19"/>
      <c r="M133" s="16"/>
    </row>
    <row r="134" spans="1:13" ht="12.75">
      <c r="A134" s="36"/>
      <c r="B134" s="67"/>
      <c r="C134" s="22"/>
      <c r="D134" s="25"/>
      <c r="E134" s="19"/>
      <c r="F134" s="19"/>
      <c r="G134" s="16"/>
      <c r="H134" s="16"/>
      <c r="I134" s="90"/>
      <c r="J134" s="38"/>
      <c r="K134" s="43"/>
      <c r="L134" s="19"/>
      <c r="M134" s="16"/>
    </row>
    <row r="135" spans="1:13" ht="12.75">
      <c r="A135" s="36"/>
      <c r="B135" s="67"/>
      <c r="C135" s="22"/>
      <c r="D135" s="25"/>
      <c r="E135" s="19"/>
      <c r="F135" s="19"/>
      <c r="G135" s="16"/>
      <c r="H135" s="16"/>
      <c r="I135" s="90"/>
      <c r="J135" s="38"/>
      <c r="K135" s="43"/>
      <c r="L135" s="19"/>
      <c r="M135" s="16"/>
    </row>
    <row r="136" spans="1:13" ht="12.75">
      <c r="A136" s="36"/>
      <c r="B136" s="67"/>
      <c r="C136" s="22"/>
      <c r="D136" s="25"/>
      <c r="E136" s="19"/>
      <c r="F136" s="19"/>
      <c r="G136" s="16"/>
      <c r="H136" s="16"/>
      <c r="I136" s="90"/>
      <c r="J136" s="38"/>
      <c r="K136" s="43"/>
      <c r="L136" s="19"/>
      <c r="M136" s="16"/>
    </row>
    <row r="137" spans="1:13" ht="12.75">
      <c r="A137" s="36"/>
      <c r="B137" s="67"/>
      <c r="C137" s="22"/>
      <c r="D137" s="25"/>
      <c r="E137" s="19"/>
      <c r="F137" s="19"/>
      <c r="G137" s="16"/>
      <c r="H137" s="16"/>
      <c r="I137" s="90"/>
      <c r="J137" s="38"/>
      <c r="K137" s="43"/>
      <c r="L137" s="19"/>
      <c r="M137" s="16"/>
    </row>
    <row r="138" spans="1:13" ht="12.75">
      <c r="A138" s="36"/>
      <c r="B138" s="67"/>
      <c r="C138" s="22"/>
      <c r="D138" s="25"/>
      <c r="E138" s="19"/>
      <c r="F138" s="19"/>
      <c r="G138" s="16"/>
      <c r="H138" s="16"/>
      <c r="I138" s="90"/>
      <c r="J138" s="38"/>
      <c r="K138" s="43"/>
      <c r="L138" s="19"/>
      <c r="M138" s="16"/>
    </row>
    <row r="139" spans="1:13" ht="12.75">
      <c r="A139" s="36"/>
      <c r="B139" s="67"/>
      <c r="C139" s="22"/>
      <c r="D139" s="25"/>
      <c r="E139" s="19"/>
      <c r="F139" s="19"/>
      <c r="G139" s="16"/>
      <c r="H139" s="16"/>
      <c r="I139" s="90"/>
      <c r="J139" s="38"/>
      <c r="K139" s="43"/>
      <c r="L139" s="19"/>
      <c r="M139" s="16"/>
    </row>
    <row r="140" spans="1:13" ht="12.75">
      <c r="A140" s="36"/>
      <c r="B140" s="67"/>
      <c r="C140" s="22"/>
      <c r="D140" s="25"/>
      <c r="E140" s="19"/>
      <c r="F140" s="19"/>
      <c r="G140" s="16"/>
      <c r="H140" s="16"/>
      <c r="I140" s="90"/>
      <c r="J140" s="38"/>
      <c r="K140" s="43"/>
      <c r="L140" s="19"/>
      <c r="M140" s="16"/>
    </row>
    <row r="141" spans="1:13" ht="12.75">
      <c r="A141" s="36"/>
      <c r="B141" s="67"/>
      <c r="C141" s="22"/>
      <c r="D141" s="25"/>
      <c r="E141" s="19"/>
      <c r="F141" s="19"/>
      <c r="G141" s="16"/>
      <c r="H141" s="16"/>
      <c r="I141" s="90"/>
      <c r="J141" s="38"/>
      <c r="K141" s="43"/>
      <c r="L141" s="19"/>
      <c r="M141" s="16"/>
    </row>
    <row r="142" spans="1:13" ht="12.75">
      <c r="A142" s="36"/>
      <c r="B142" s="67"/>
      <c r="C142" s="22"/>
      <c r="D142" s="25"/>
      <c r="E142" s="19"/>
      <c r="F142" s="19"/>
      <c r="G142" s="16"/>
      <c r="H142" s="16"/>
      <c r="I142" s="90"/>
      <c r="J142" s="38"/>
      <c r="K142" s="43"/>
      <c r="L142" s="19"/>
      <c r="M142" s="16"/>
    </row>
    <row r="143" spans="1:13" ht="12.75">
      <c r="A143" s="36"/>
      <c r="B143" s="67"/>
      <c r="C143" s="22"/>
      <c r="D143" s="25"/>
      <c r="E143" s="19"/>
      <c r="F143" s="19"/>
      <c r="G143" s="16"/>
      <c r="H143" s="16"/>
      <c r="I143" s="90"/>
      <c r="J143" s="38"/>
      <c r="K143" s="43"/>
      <c r="L143" s="19"/>
      <c r="M143" s="16"/>
    </row>
    <row r="144" spans="1:13" ht="12.75">
      <c r="A144" s="36"/>
      <c r="B144" s="67"/>
      <c r="C144" s="22"/>
      <c r="D144" s="25"/>
      <c r="E144" s="19"/>
      <c r="F144" s="19"/>
      <c r="G144" s="16"/>
      <c r="H144" s="16"/>
      <c r="I144" s="90"/>
      <c r="J144" s="38"/>
      <c r="K144" s="43"/>
      <c r="L144" s="19"/>
      <c r="M144" s="16"/>
    </row>
    <row r="145" spans="1:13" ht="12.75">
      <c r="A145" s="36"/>
      <c r="B145" s="67"/>
      <c r="C145" s="22"/>
      <c r="D145" s="25"/>
      <c r="E145" s="19"/>
      <c r="F145" s="19"/>
      <c r="G145" s="16"/>
      <c r="H145" s="16"/>
      <c r="I145" s="90"/>
      <c r="J145" s="38"/>
      <c r="K145" s="43"/>
      <c r="L145" s="19"/>
      <c r="M145" s="16"/>
    </row>
    <row r="146" spans="1:13" ht="12.75">
      <c r="A146" s="36"/>
      <c r="B146" s="67"/>
      <c r="C146" s="22"/>
      <c r="D146" s="25"/>
      <c r="E146" s="19"/>
      <c r="F146" s="19"/>
      <c r="G146" s="16"/>
      <c r="H146" s="16"/>
      <c r="I146" s="90"/>
      <c r="J146" s="38"/>
      <c r="K146" s="43"/>
      <c r="L146" s="19"/>
      <c r="M146" s="16"/>
    </row>
    <row r="147" spans="1:13" ht="12.75">
      <c r="A147" s="36"/>
      <c r="B147" s="67"/>
      <c r="C147" s="22"/>
      <c r="D147" s="25"/>
      <c r="E147" s="19"/>
      <c r="F147" s="19"/>
      <c r="G147" s="16"/>
      <c r="H147" s="16"/>
      <c r="I147" s="90"/>
      <c r="J147" s="38"/>
      <c r="K147" s="43"/>
      <c r="L147" s="19"/>
      <c r="M147" s="16"/>
    </row>
    <row r="148" spans="1:13" ht="12.75">
      <c r="A148" s="36"/>
      <c r="B148" s="67"/>
      <c r="C148" s="22"/>
      <c r="D148" s="25"/>
      <c r="E148" s="19"/>
      <c r="F148" s="19"/>
      <c r="G148" s="16"/>
      <c r="H148" s="16"/>
      <c r="I148" s="90"/>
      <c r="J148" s="38"/>
      <c r="K148" s="43"/>
      <c r="L148" s="19"/>
      <c r="M148" s="16"/>
    </row>
    <row r="149" spans="1:13" ht="12.75">
      <c r="A149" s="36"/>
      <c r="B149" s="67"/>
      <c r="C149" s="22"/>
      <c r="D149" s="25"/>
      <c r="E149" s="19"/>
      <c r="F149" s="19"/>
      <c r="G149" s="16"/>
      <c r="H149" s="16"/>
      <c r="I149" s="90"/>
      <c r="J149" s="38"/>
      <c r="K149" s="43"/>
      <c r="L149" s="19"/>
      <c r="M149" s="16"/>
    </row>
    <row r="150" spans="1:13" ht="12.75">
      <c r="A150" s="36"/>
      <c r="B150" s="67"/>
      <c r="C150" s="22"/>
      <c r="D150" s="25"/>
      <c r="E150" s="19"/>
      <c r="F150" s="19"/>
      <c r="G150" s="16"/>
      <c r="H150" s="16"/>
      <c r="I150" s="90"/>
      <c r="J150" s="38"/>
      <c r="K150" s="43"/>
      <c r="L150" s="19"/>
      <c r="M150" s="16"/>
    </row>
    <row r="151" spans="1:13" ht="12.75">
      <c r="A151" s="36"/>
      <c r="B151" s="67"/>
      <c r="C151" s="22"/>
      <c r="D151" s="25"/>
      <c r="E151" s="19"/>
      <c r="F151" s="19"/>
      <c r="G151" s="16"/>
      <c r="H151" s="16"/>
      <c r="I151" s="90"/>
      <c r="J151" s="38"/>
      <c r="K151" s="43"/>
      <c r="L151" s="19"/>
      <c r="M151" s="16"/>
    </row>
    <row r="152" spans="1:13" ht="12.75">
      <c r="A152" s="36"/>
      <c r="B152" s="67"/>
      <c r="C152" s="22"/>
      <c r="D152" s="25"/>
      <c r="E152" s="19"/>
      <c r="F152" s="19"/>
      <c r="G152" s="16"/>
      <c r="H152" s="16"/>
      <c r="I152" s="90"/>
      <c r="J152" s="38"/>
      <c r="K152" s="43"/>
      <c r="L152" s="19"/>
      <c r="M152" s="16"/>
    </row>
    <row r="153" spans="1:13" ht="12.75">
      <c r="A153" s="36"/>
      <c r="B153" s="67"/>
      <c r="C153" s="22"/>
      <c r="D153" s="25"/>
      <c r="E153" s="19"/>
      <c r="F153" s="19"/>
      <c r="G153" s="16"/>
      <c r="H153" s="16"/>
      <c r="I153" s="90"/>
      <c r="J153" s="38"/>
      <c r="K153" s="43"/>
      <c r="L153" s="19"/>
      <c r="M153" s="16"/>
    </row>
    <row r="154" spans="1:13" ht="12.75">
      <c r="A154" s="36"/>
      <c r="B154" s="67"/>
      <c r="C154" s="22"/>
      <c r="D154" s="25"/>
      <c r="E154" s="19"/>
      <c r="F154" s="19"/>
      <c r="G154" s="16"/>
      <c r="H154" s="16"/>
      <c r="I154" s="90"/>
      <c r="J154" s="38"/>
      <c r="K154" s="43"/>
      <c r="L154" s="19"/>
      <c r="M154" s="16"/>
    </row>
    <row r="155" spans="1:13" ht="12.75">
      <c r="A155" s="36"/>
      <c r="B155" s="67"/>
      <c r="C155" s="22"/>
      <c r="D155" s="25"/>
      <c r="E155" s="19"/>
      <c r="F155" s="19"/>
      <c r="G155" s="16"/>
      <c r="H155" s="16"/>
      <c r="I155" s="90"/>
      <c r="J155" s="38"/>
      <c r="K155" s="43"/>
      <c r="L155" s="19"/>
      <c r="M155" s="16"/>
    </row>
    <row r="156" spans="1:13" ht="12.75">
      <c r="A156" s="36"/>
      <c r="B156" s="67"/>
      <c r="C156" s="22"/>
      <c r="D156" s="25"/>
      <c r="E156" s="19"/>
      <c r="F156" s="19"/>
      <c r="G156" s="16"/>
      <c r="H156" s="16"/>
      <c r="I156" s="90"/>
      <c r="J156" s="38"/>
      <c r="K156" s="43"/>
      <c r="L156" s="19"/>
      <c r="M156" s="16"/>
    </row>
    <row r="157" spans="1:13" ht="12.75">
      <c r="A157" s="36"/>
      <c r="B157" s="67"/>
      <c r="C157" s="22"/>
      <c r="D157" s="25"/>
      <c r="E157" s="19"/>
      <c r="F157" s="19"/>
      <c r="G157" s="16"/>
      <c r="H157" s="16"/>
      <c r="I157" s="90"/>
      <c r="J157" s="38"/>
      <c r="K157" s="43"/>
      <c r="L157" s="19"/>
      <c r="M157" s="16"/>
    </row>
    <row r="158" spans="1:13" ht="12.75">
      <c r="A158" s="36"/>
      <c r="B158" s="67"/>
      <c r="C158" s="22"/>
      <c r="D158" s="25"/>
      <c r="E158" s="19"/>
      <c r="F158" s="19"/>
      <c r="G158" s="16"/>
      <c r="H158" s="16"/>
      <c r="I158" s="90"/>
      <c r="J158" s="38"/>
      <c r="K158" s="43"/>
      <c r="L158" s="19"/>
      <c r="M158" s="16"/>
    </row>
    <row r="159" spans="1:13" ht="12.75">
      <c r="A159" s="36"/>
      <c r="B159" s="67"/>
      <c r="C159" s="22"/>
      <c r="D159" s="25"/>
      <c r="E159" s="19"/>
      <c r="F159" s="19"/>
      <c r="G159" s="16"/>
      <c r="H159" s="16"/>
      <c r="I159" s="90"/>
      <c r="J159" s="38"/>
      <c r="K159" s="43"/>
      <c r="L159" s="19"/>
      <c r="M159" s="16"/>
    </row>
    <row r="160" spans="1:13" ht="12.75">
      <c r="A160" s="36"/>
      <c r="B160" s="67"/>
      <c r="C160" s="22"/>
      <c r="D160" s="25"/>
      <c r="E160" s="19"/>
      <c r="F160" s="19"/>
      <c r="G160" s="16"/>
      <c r="H160" s="16"/>
      <c r="I160" s="90"/>
      <c r="J160" s="38"/>
      <c r="K160" s="43"/>
      <c r="L160" s="19"/>
      <c r="M160" s="16"/>
    </row>
    <row r="161" spans="1:13" ht="12.75">
      <c r="A161" s="36"/>
      <c r="B161" s="67"/>
      <c r="C161" s="22"/>
      <c r="D161" s="25"/>
      <c r="E161" s="19"/>
      <c r="F161" s="19"/>
      <c r="G161" s="16"/>
      <c r="H161" s="16"/>
      <c r="I161" s="90"/>
      <c r="J161" s="38"/>
      <c r="K161" s="43"/>
      <c r="L161" s="19"/>
      <c r="M161" s="16"/>
    </row>
    <row r="162" spans="1:13" ht="12.75">
      <c r="A162" s="36"/>
      <c r="B162" s="67"/>
      <c r="C162" s="22"/>
      <c r="D162" s="25"/>
      <c r="E162" s="19"/>
      <c r="F162" s="19"/>
      <c r="G162" s="16"/>
      <c r="H162" s="16"/>
      <c r="I162" s="90"/>
      <c r="J162" s="38"/>
      <c r="K162" s="43"/>
      <c r="L162" s="19"/>
      <c r="M162" s="16"/>
    </row>
    <row r="163" spans="1:13" ht="12.75">
      <c r="A163" s="36"/>
      <c r="B163" s="67"/>
      <c r="C163" s="22"/>
      <c r="D163" s="25"/>
      <c r="E163" s="19"/>
      <c r="F163" s="19"/>
      <c r="G163" s="16"/>
      <c r="H163" s="16"/>
      <c r="I163" s="90"/>
      <c r="J163" s="38"/>
      <c r="K163" s="43"/>
      <c r="L163" s="19"/>
      <c r="M163" s="16"/>
    </row>
    <row r="164" spans="1:13" ht="12.75">
      <c r="A164" s="36"/>
      <c r="B164" s="67"/>
      <c r="C164" s="22"/>
      <c r="D164" s="25"/>
      <c r="E164" s="19"/>
      <c r="F164" s="19"/>
      <c r="G164" s="16"/>
      <c r="H164" s="16"/>
      <c r="I164" s="90"/>
      <c r="J164" s="38"/>
      <c r="K164" s="43"/>
      <c r="L164" s="19"/>
      <c r="M164" s="16"/>
    </row>
    <row r="165" spans="1:13" ht="12.75">
      <c r="A165" s="36"/>
      <c r="B165" s="67"/>
      <c r="C165" s="22"/>
      <c r="D165" s="25"/>
      <c r="E165" s="19"/>
      <c r="F165" s="19"/>
      <c r="G165" s="16"/>
      <c r="H165" s="16"/>
      <c r="I165" s="90"/>
      <c r="J165" s="38"/>
      <c r="K165" s="43"/>
      <c r="L165" s="19"/>
      <c r="M165" s="16"/>
    </row>
    <row r="166" spans="1:13" ht="12.75">
      <c r="A166" s="36"/>
      <c r="B166" s="67"/>
      <c r="C166" s="22"/>
      <c r="D166" s="25"/>
      <c r="E166" s="19"/>
      <c r="F166" s="19"/>
      <c r="G166" s="16"/>
      <c r="H166" s="16"/>
      <c r="I166" s="90"/>
      <c r="J166" s="38"/>
      <c r="K166" s="43"/>
      <c r="L166" s="19"/>
      <c r="M166" s="16"/>
    </row>
    <row r="167" spans="1:13" ht="12.75">
      <c r="A167" s="36"/>
      <c r="B167" s="67"/>
      <c r="C167" s="22"/>
      <c r="D167" s="25"/>
      <c r="E167" s="19"/>
      <c r="F167" s="19"/>
      <c r="G167" s="16"/>
      <c r="H167" s="16"/>
      <c r="I167" s="90"/>
      <c r="J167" s="38"/>
      <c r="K167" s="43"/>
      <c r="L167" s="19"/>
      <c r="M167" s="16"/>
    </row>
    <row r="168" spans="1:13" ht="12.75">
      <c r="A168" s="36"/>
      <c r="B168" s="67"/>
      <c r="C168" s="22"/>
      <c r="D168" s="25"/>
      <c r="E168" s="19"/>
      <c r="F168" s="19"/>
      <c r="G168" s="16"/>
      <c r="H168" s="16"/>
      <c r="I168" s="90"/>
      <c r="J168" s="38"/>
      <c r="K168" s="43"/>
      <c r="L168" s="19"/>
      <c r="M168" s="16"/>
    </row>
    <row r="169" spans="1:13" ht="12.75">
      <c r="A169" s="36"/>
      <c r="B169" s="67"/>
      <c r="C169" s="22"/>
      <c r="D169" s="25"/>
      <c r="E169" s="19"/>
      <c r="F169" s="19"/>
      <c r="G169" s="16"/>
      <c r="H169" s="16"/>
      <c r="I169" s="90"/>
      <c r="J169" s="38"/>
      <c r="K169" s="43"/>
      <c r="L169" s="19"/>
      <c r="M169" s="16"/>
    </row>
    <row r="170" spans="1:13" ht="12.75">
      <c r="A170" s="36"/>
      <c r="B170" s="67"/>
      <c r="C170" s="22"/>
      <c r="D170" s="25"/>
      <c r="E170" s="19"/>
      <c r="F170" s="19"/>
      <c r="G170" s="16"/>
      <c r="H170" s="16"/>
      <c r="I170" s="90"/>
      <c r="J170" s="38"/>
      <c r="K170" s="43"/>
      <c r="L170" s="19"/>
      <c r="M170" s="16"/>
    </row>
    <row r="171" spans="1:13" ht="12.75">
      <c r="A171" s="36"/>
      <c r="B171" s="67"/>
      <c r="C171" s="22"/>
      <c r="D171" s="25"/>
      <c r="E171" s="19"/>
      <c r="F171" s="19"/>
      <c r="G171" s="16"/>
      <c r="H171" s="16"/>
      <c r="I171" s="90"/>
      <c r="J171" s="38"/>
      <c r="K171" s="43"/>
      <c r="L171" s="19"/>
      <c r="M171" s="16"/>
    </row>
    <row r="172" spans="1:13" ht="12.75">
      <c r="A172" s="36"/>
      <c r="B172" s="67"/>
      <c r="C172" s="22"/>
      <c r="D172" s="25"/>
      <c r="E172" s="19"/>
      <c r="F172" s="19"/>
      <c r="G172" s="16"/>
      <c r="H172" s="16"/>
      <c r="I172" s="90"/>
      <c r="J172" s="38"/>
      <c r="K172" s="43"/>
      <c r="L172" s="19"/>
      <c r="M172" s="16"/>
    </row>
    <row r="173" spans="1:13" ht="12.75">
      <c r="A173" s="36"/>
      <c r="B173" s="67"/>
      <c r="C173" s="22"/>
      <c r="D173" s="25"/>
      <c r="E173" s="19"/>
      <c r="F173" s="19"/>
      <c r="G173" s="16"/>
      <c r="H173" s="16"/>
      <c r="I173" s="90"/>
      <c r="J173" s="38"/>
      <c r="K173" s="43"/>
      <c r="L173" s="19"/>
      <c r="M173" s="16"/>
    </row>
    <row r="174" spans="1:13" ht="12.75">
      <c r="A174" s="36"/>
      <c r="B174" s="67"/>
      <c r="C174" s="22"/>
      <c r="D174" s="25"/>
      <c r="E174" s="19"/>
      <c r="F174" s="19"/>
      <c r="G174" s="16"/>
      <c r="H174" s="16"/>
      <c r="I174" s="90"/>
      <c r="J174" s="38"/>
      <c r="K174" s="43"/>
      <c r="L174" s="19"/>
      <c r="M174" s="16"/>
    </row>
    <row r="175" spans="1:13" ht="12.75">
      <c r="A175" s="36"/>
      <c r="B175" s="67"/>
      <c r="C175" s="22"/>
      <c r="D175" s="25"/>
      <c r="E175" s="19"/>
      <c r="F175" s="19"/>
      <c r="G175" s="16"/>
      <c r="H175" s="16"/>
      <c r="I175" s="90"/>
      <c r="J175" s="38"/>
      <c r="K175" s="43"/>
      <c r="L175" s="19"/>
      <c r="M175" s="16"/>
    </row>
    <row r="176" spans="1:13" ht="12.75">
      <c r="A176" s="36"/>
      <c r="B176" s="67"/>
      <c r="C176" s="22"/>
      <c r="D176" s="25"/>
      <c r="E176" s="19"/>
      <c r="F176" s="19"/>
      <c r="G176" s="16"/>
      <c r="H176" s="16"/>
      <c r="I176" s="90"/>
      <c r="J176" s="38"/>
      <c r="K176" s="43"/>
      <c r="L176" s="19"/>
      <c r="M176" s="16"/>
    </row>
    <row r="177" spans="1:13" ht="12.75">
      <c r="A177" s="36"/>
      <c r="B177" s="67"/>
      <c r="C177" s="22"/>
      <c r="D177" s="25"/>
      <c r="E177" s="19"/>
      <c r="F177" s="19"/>
      <c r="G177" s="16"/>
      <c r="H177" s="16"/>
      <c r="I177" s="90"/>
      <c r="J177" s="38"/>
      <c r="K177" s="43"/>
      <c r="L177" s="19"/>
      <c r="M177" s="16"/>
    </row>
    <row r="178" spans="1:13" ht="12.75">
      <c r="A178" s="36"/>
      <c r="B178" s="67"/>
      <c r="C178" s="22"/>
      <c r="D178" s="25"/>
      <c r="E178" s="19"/>
      <c r="F178" s="19"/>
      <c r="G178" s="16"/>
      <c r="H178" s="16"/>
      <c r="I178" s="90"/>
      <c r="J178" s="38"/>
      <c r="K178" s="43"/>
      <c r="L178" s="19"/>
      <c r="M178" s="16"/>
    </row>
    <row r="179" spans="1:13" ht="12.75">
      <c r="A179" s="36"/>
      <c r="B179" s="67"/>
      <c r="C179" s="22"/>
      <c r="D179" s="25"/>
      <c r="E179" s="19"/>
      <c r="F179" s="19"/>
      <c r="G179" s="16"/>
      <c r="H179" s="16"/>
      <c r="I179" s="90"/>
      <c r="J179" s="38"/>
      <c r="K179" s="43"/>
      <c r="L179" s="19"/>
      <c r="M179" s="16"/>
    </row>
    <row r="180" spans="1:13" ht="12.75">
      <c r="A180" s="36"/>
      <c r="B180" s="67"/>
      <c r="C180" s="22"/>
      <c r="D180" s="25"/>
      <c r="E180" s="19"/>
      <c r="F180" s="19"/>
      <c r="G180" s="16"/>
      <c r="H180" s="16"/>
      <c r="I180" s="90"/>
      <c r="J180" s="38"/>
      <c r="K180" s="43"/>
      <c r="L180" s="19"/>
      <c r="M180" s="16"/>
    </row>
    <row r="181" spans="1:13" ht="12.75">
      <c r="A181" s="36"/>
      <c r="B181" s="67"/>
      <c r="C181" s="22"/>
      <c r="D181" s="25"/>
      <c r="E181" s="19"/>
      <c r="F181" s="19"/>
      <c r="G181" s="16"/>
      <c r="H181" s="16"/>
      <c r="I181" s="90"/>
      <c r="J181" s="38"/>
      <c r="K181" s="43"/>
      <c r="L181" s="19"/>
      <c r="M181" s="16"/>
    </row>
    <row r="182" spans="1:13" ht="12.75">
      <c r="A182" s="36"/>
      <c r="B182" s="67"/>
      <c r="C182" s="22"/>
      <c r="D182" s="25"/>
      <c r="E182" s="19"/>
      <c r="F182" s="19"/>
      <c r="G182" s="16"/>
      <c r="H182" s="16"/>
      <c r="I182" s="90"/>
      <c r="J182" s="38"/>
      <c r="K182" s="43"/>
      <c r="L182" s="19"/>
      <c r="M182" s="16"/>
    </row>
    <row r="183" spans="1:13" ht="12.75">
      <c r="A183" s="36"/>
      <c r="B183" s="67"/>
      <c r="C183" s="22"/>
      <c r="D183" s="25"/>
      <c r="E183" s="19"/>
      <c r="F183" s="19"/>
      <c r="G183" s="16"/>
      <c r="H183" s="16"/>
      <c r="I183" s="90"/>
      <c r="J183" s="38"/>
      <c r="K183" s="43"/>
      <c r="L183" s="19"/>
      <c r="M183" s="16"/>
    </row>
    <row r="184" spans="1:13" ht="12.75">
      <c r="A184" s="36"/>
      <c r="B184" s="67"/>
      <c r="C184" s="22"/>
      <c r="D184" s="25"/>
      <c r="E184" s="19"/>
      <c r="F184" s="19"/>
      <c r="G184" s="16"/>
      <c r="H184" s="16"/>
      <c r="I184" s="90"/>
      <c r="J184" s="38"/>
      <c r="K184" s="43"/>
      <c r="L184" s="19"/>
      <c r="M184" s="16"/>
    </row>
    <row r="185" spans="1:13" ht="12.75">
      <c r="A185" s="36"/>
      <c r="B185" s="67"/>
      <c r="C185" s="22"/>
      <c r="D185" s="25"/>
      <c r="E185" s="19"/>
      <c r="F185" s="19"/>
      <c r="G185" s="16"/>
      <c r="H185" s="16"/>
      <c r="I185" s="90"/>
      <c r="J185" s="38"/>
      <c r="K185" s="43"/>
      <c r="L185" s="19"/>
      <c r="M185" s="16"/>
    </row>
    <row r="186" spans="1:13" ht="12.75">
      <c r="A186" s="36"/>
      <c r="B186" s="67"/>
      <c r="C186" s="22"/>
      <c r="D186" s="25"/>
      <c r="E186" s="19"/>
      <c r="F186" s="19"/>
      <c r="G186" s="16"/>
      <c r="H186" s="16"/>
      <c r="I186" s="90"/>
      <c r="J186" s="38"/>
      <c r="K186" s="43"/>
      <c r="L186" s="19"/>
      <c r="M186" s="16"/>
    </row>
    <row r="187" spans="1:13" ht="12.75">
      <c r="A187" s="36"/>
      <c r="B187" s="67"/>
      <c r="C187" s="22"/>
      <c r="D187" s="25"/>
      <c r="E187" s="19"/>
      <c r="F187" s="19"/>
      <c r="G187" s="16"/>
      <c r="H187" s="16"/>
      <c r="I187" s="90"/>
      <c r="J187" s="38"/>
      <c r="K187" s="43"/>
      <c r="L187" s="19"/>
      <c r="M187" s="16"/>
    </row>
    <row r="188" spans="1:13" ht="12.75">
      <c r="A188" s="36"/>
      <c r="B188" s="67"/>
      <c r="C188" s="22"/>
      <c r="D188" s="25"/>
      <c r="E188" s="19"/>
      <c r="F188" s="19"/>
      <c r="G188" s="16"/>
      <c r="H188" s="16"/>
      <c r="I188" s="90"/>
      <c r="J188" s="38"/>
      <c r="K188" s="43"/>
      <c r="L188" s="19"/>
      <c r="M188" s="16"/>
    </row>
    <row r="189" spans="1:13" ht="12.75">
      <c r="A189" s="36"/>
      <c r="B189" s="67"/>
      <c r="C189" s="22"/>
      <c r="D189" s="25"/>
      <c r="E189" s="19"/>
      <c r="F189" s="19"/>
      <c r="G189" s="16"/>
      <c r="H189" s="16"/>
      <c r="I189" s="90"/>
      <c r="J189" s="38"/>
      <c r="K189" s="43"/>
      <c r="L189" s="19"/>
      <c r="M189" s="16"/>
    </row>
    <row r="190" spans="1:13" ht="12.75">
      <c r="A190" s="36"/>
      <c r="B190" s="67"/>
      <c r="C190" s="22"/>
      <c r="D190" s="25"/>
      <c r="E190" s="19"/>
      <c r="F190" s="19"/>
      <c r="G190" s="16"/>
      <c r="H190" s="16"/>
      <c r="I190" s="90"/>
      <c r="J190" s="38"/>
      <c r="K190" s="43"/>
      <c r="L190" s="19"/>
      <c r="M190" s="16"/>
    </row>
    <row r="191" spans="1:13" ht="12.75">
      <c r="A191" s="36"/>
      <c r="B191" s="67"/>
      <c r="C191" s="22"/>
      <c r="D191" s="25"/>
      <c r="E191" s="19"/>
      <c r="F191" s="19"/>
      <c r="G191" s="16"/>
      <c r="H191" s="16"/>
      <c r="I191" s="90"/>
      <c r="J191" s="38"/>
      <c r="K191" s="43"/>
      <c r="L191" s="19"/>
      <c r="M191" s="16"/>
    </row>
    <row r="192" spans="1:13" ht="12.75">
      <c r="A192" s="36"/>
      <c r="B192" s="67"/>
      <c r="C192" s="22"/>
      <c r="D192" s="25"/>
      <c r="E192" s="19"/>
      <c r="F192" s="19"/>
      <c r="G192" s="16"/>
      <c r="H192" s="16"/>
      <c r="I192" s="90"/>
      <c r="J192" s="38"/>
      <c r="K192" s="43"/>
      <c r="L192" s="19"/>
      <c r="M192" s="16"/>
    </row>
    <row r="193" spans="1:13" ht="12.75">
      <c r="A193" s="36"/>
      <c r="B193" s="67"/>
      <c r="C193" s="22"/>
      <c r="D193" s="25"/>
      <c r="E193" s="19"/>
      <c r="F193" s="19"/>
      <c r="G193" s="16"/>
      <c r="H193" s="16"/>
      <c r="I193" s="90"/>
      <c r="J193" s="38"/>
      <c r="K193" s="43"/>
      <c r="L193" s="19"/>
      <c r="M193" s="16"/>
    </row>
    <row r="194" spans="1:13" ht="12.75">
      <c r="A194" s="36"/>
      <c r="B194" s="67"/>
      <c r="C194" s="22"/>
      <c r="D194" s="25"/>
      <c r="E194" s="19"/>
      <c r="F194" s="19"/>
      <c r="G194" s="16"/>
      <c r="H194" s="16"/>
      <c r="I194" s="90"/>
      <c r="J194" s="38"/>
      <c r="K194" s="43"/>
      <c r="L194" s="19"/>
      <c r="M194" s="16"/>
    </row>
    <row r="195" spans="1:13" ht="12.75">
      <c r="A195" s="36"/>
      <c r="B195" s="67"/>
      <c r="C195" s="22"/>
      <c r="D195" s="25"/>
      <c r="E195" s="19"/>
      <c r="F195" s="19"/>
      <c r="G195" s="16"/>
      <c r="H195" s="16"/>
      <c r="I195" s="90"/>
      <c r="J195" s="38"/>
      <c r="K195" s="43"/>
      <c r="L195" s="19"/>
      <c r="M195" s="16"/>
    </row>
    <row r="196" spans="1:13" ht="12.75">
      <c r="A196" s="36"/>
      <c r="B196" s="67"/>
      <c r="C196" s="22"/>
      <c r="D196" s="25"/>
      <c r="E196" s="19"/>
      <c r="F196" s="19"/>
      <c r="G196" s="16"/>
      <c r="H196" s="16"/>
      <c r="I196" s="90"/>
      <c r="J196" s="38"/>
      <c r="K196" s="43"/>
      <c r="L196" s="19"/>
      <c r="M196" s="16"/>
    </row>
    <row r="197" spans="1:13" ht="12.75">
      <c r="A197" s="36"/>
      <c r="B197" s="67"/>
      <c r="C197" s="22"/>
      <c r="D197" s="25"/>
      <c r="E197" s="19"/>
      <c r="F197" s="19"/>
      <c r="G197" s="16"/>
      <c r="H197" s="16"/>
      <c r="I197" s="90"/>
      <c r="J197" s="38"/>
      <c r="K197" s="43"/>
      <c r="L197" s="19"/>
      <c r="M197" s="16"/>
    </row>
    <row r="198" spans="1:13" ht="12.75">
      <c r="A198" s="36"/>
      <c r="B198" s="67"/>
      <c r="C198" s="22"/>
      <c r="D198" s="25"/>
      <c r="E198" s="19"/>
      <c r="F198" s="19"/>
      <c r="G198" s="16"/>
      <c r="H198" s="16"/>
      <c r="I198" s="90"/>
      <c r="J198" s="38"/>
      <c r="K198" s="43"/>
      <c r="L198" s="19"/>
      <c r="M198" s="16"/>
    </row>
    <row r="199" spans="1:13" ht="12.75">
      <c r="A199" s="36"/>
      <c r="B199" s="67"/>
      <c r="C199" s="22"/>
      <c r="D199" s="25"/>
      <c r="E199" s="19"/>
      <c r="F199" s="19"/>
      <c r="G199" s="16"/>
      <c r="H199" s="16"/>
      <c r="I199" s="90"/>
      <c r="J199" s="38"/>
      <c r="K199" s="43"/>
      <c r="L199" s="19"/>
      <c r="M199" s="16"/>
    </row>
    <row r="200" spans="1:13" ht="12.75">
      <c r="A200" s="36"/>
      <c r="B200" s="67"/>
      <c r="C200" s="22"/>
      <c r="D200" s="25"/>
      <c r="E200" s="19"/>
      <c r="F200" s="19"/>
      <c r="G200" s="16"/>
      <c r="H200" s="16"/>
      <c r="I200" s="90"/>
      <c r="J200" s="38"/>
      <c r="K200" s="43"/>
      <c r="L200" s="19"/>
      <c r="M200" s="16"/>
    </row>
    <row r="201" spans="1:13" ht="12.75">
      <c r="A201" s="36"/>
      <c r="B201" s="67"/>
      <c r="C201" s="22"/>
      <c r="D201" s="25"/>
      <c r="E201" s="19"/>
      <c r="F201" s="19"/>
      <c r="G201" s="16"/>
      <c r="H201" s="16"/>
      <c r="I201" s="90"/>
      <c r="J201" s="38"/>
      <c r="K201" s="43"/>
      <c r="L201" s="19"/>
      <c r="M201" s="16"/>
    </row>
    <row r="202" spans="1:13" ht="12.75">
      <c r="A202" s="36"/>
      <c r="B202" s="67"/>
      <c r="C202" s="22"/>
      <c r="D202" s="25"/>
      <c r="E202" s="19"/>
      <c r="F202" s="19"/>
      <c r="G202" s="16"/>
      <c r="H202" s="16"/>
      <c r="I202" s="90"/>
      <c r="J202" s="38"/>
      <c r="K202" s="43"/>
      <c r="L202" s="19"/>
      <c r="M202" s="16"/>
    </row>
    <row r="203" spans="1:13" ht="12.75">
      <c r="A203" s="36"/>
      <c r="B203" s="67"/>
      <c r="C203" s="22"/>
      <c r="D203" s="25"/>
      <c r="E203" s="19"/>
      <c r="F203" s="19"/>
      <c r="G203" s="16"/>
      <c r="H203" s="16"/>
      <c r="I203" s="90"/>
      <c r="J203" s="38"/>
      <c r="K203" s="43"/>
      <c r="L203" s="19"/>
      <c r="M203" s="16"/>
    </row>
    <row r="204" spans="1:13" ht="12.75">
      <c r="A204" s="36"/>
      <c r="B204" s="67"/>
      <c r="C204" s="22"/>
      <c r="D204" s="25"/>
      <c r="E204" s="19"/>
      <c r="F204" s="19"/>
      <c r="G204" s="16"/>
      <c r="H204" s="16"/>
      <c r="I204" s="90"/>
      <c r="J204" s="38"/>
      <c r="K204" s="43"/>
      <c r="L204" s="19"/>
      <c r="M204" s="16"/>
    </row>
    <row r="205" spans="1:13" ht="12.75">
      <c r="A205" s="36"/>
      <c r="B205" s="67"/>
      <c r="C205" s="22"/>
      <c r="D205" s="25"/>
      <c r="E205" s="19"/>
      <c r="F205" s="19"/>
      <c r="G205" s="16"/>
      <c r="H205" s="16"/>
      <c r="I205" s="90"/>
      <c r="J205" s="38"/>
      <c r="K205" s="43"/>
      <c r="L205" s="19"/>
      <c r="M205" s="16"/>
    </row>
    <row r="206" spans="1:13" ht="12.75">
      <c r="A206" s="36"/>
      <c r="B206" s="67"/>
      <c r="C206" s="22"/>
      <c r="D206" s="25"/>
      <c r="E206" s="19"/>
      <c r="F206" s="19"/>
      <c r="G206" s="16"/>
      <c r="H206" s="16"/>
      <c r="I206" s="90"/>
      <c r="J206" s="38"/>
      <c r="K206" s="43"/>
      <c r="L206" s="19"/>
      <c r="M206" s="16"/>
    </row>
    <row r="207" spans="1:13" ht="12.75">
      <c r="A207" s="36"/>
      <c r="B207" s="67"/>
      <c r="C207" s="22"/>
      <c r="D207" s="25"/>
      <c r="E207" s="19"/>
      <c r="F207" s="19"/>
      <c r="G207" s="16"/>
      <c r="H207" s="16"/>
      <c r="I207" s="90"/>
      <c r="J207" s="38"/>
      <c r="K207" s="43"/>
      <c r="L207" s="19"/>
      <c r="M207" s="16"/>
    </row>
    <row r="208" spans="1:13" ht="12.75">
      <c r="A208" s="36"/>
      <c r="B208" s="67"/>
      <c r="C208" s="22"/>
      <c r="D208" s="25"/>
      <c r="E208" s="19"/>
      <c r="F208" s="19"/>
      <c r="G208" s="16"/>
      <c r="H208" s="16"/>
      <c r="I208" s="90"/>
      <c r="J208" s="38"/>
      <c r="K208" s="43"/>
      <c r="L208" s="19"/>
      <c r="M208" s="16"/>
    </row>
    <row r="209" spans="1:13" ht="12.75">
      <c r="A209" s="36"/>
      <c r="B209" s="67"/>
      <c r="C209" s="22"/>
      <c r="D209" s="25"/>
      <c r="E209" s="19"/>
      <c r="F209" s="19"/>
      <c r="G209" s="16"/>
      <c r="H209" s="16"/>
      <c r="I209" s="90"/>
      <c r="J209" s="38"/>
      <c r="K209" s="43"/>
      <c r="L209" s="19"/>
      <c r="M209" s="16"/>
    </row>
    <row r="210" spans="1:13" ht="12.75">
      <c r="A210" s="36"/>
      <c r="B210" s="67"/>
      <c r="C210" s="22"/>
      <c r="D210" s="25"/>
      <c r="E210" s="19"/>
      <c r="F210" s="19"/>
      <c r="G210" s="16"/>
      <c r="H210" s="16"/>
      <c r="I210" s="90"/>
      <c r="J210" s="38"/>
      <c r="K210" s="43"/>
      <c r="L210" s="19"/>
      <c r="M210" s="16"/>
    </row>
    <row r="211" spans="1:13" ht="12.75">
      <c r="A211" s="36"/>
      <c r="B211" s="67"/>
      <c r="C211" s="22"/>
      <c r="D211" s="25"/>
      <c r="E211" s="19"/>
      <c r="F211" s="19"/>
      <c r="G211" s="16"/>
      <c r="H211" s="16"/>
      <c r="I211" s="90"/>
      <c r="J211" s="38"/>
      <c r="K211" s="43"/>
      <c r="L211" s="19"/>
      <c r="M211" s="16"/>
    </row>
    <row r="212" spans="1:13" ht="12.75">
      <c r="A212" s="36"/>
      <c r="B212" s="67"/>
      <c r="C212" s="22"/>
      <c r="D212" s="25"/>
      <c r="E212" s="19"/>
      <c r="F212" s="19"/>
      <c r="G212" s="16"/>
      <c r="H212" s="16"/>
      <c r="I212" s="90"/>
      <c r="J212" s="38"/>
      <c r="K212" s="43"/>
      <c r="L212" s="19"/>
      <c r="M212" s="16"/>
    </row>
    <row r="213" spans="1:13" ht="12.75">
      <c r="A213" s="36"/>
      <c r="B213" s="67"/>
      <c r="C213" s="22"/>
      <c r="D213" s="25"/>
      <c r="E213" s="19"/>
      <c r="F213" s="19"/>
      <c r="G213" s="16"/>
      <c r="H213" s="16"/>
      <c r="I213" s="90"/>
      <c r="J213" s="38"/>
      <c r="K213" s="43"/>
      <c r="L213" s="19"/>
      <c r="M213" s="16"/>
    </row>
    <row r="214" spans="1:13" ht="12.75">
      <c r="A214" s="36"/>
      <c r="B214" s="67"/>
      <c r="C214" s="22"/>
      <c r="D214" s="25"/>
      <c r="E214" s="19"/>
      <c r="F214" s="19"/>
      <c r="G214" s="16"/>
      <c r="H214" s="16"/>
      <c r="I214" s="90"/>
      <c r="J214" s="38"/>
      <c r="K214" s="43"/>
      <c r="L214" s="19"/>
      <c r="M214" s="16"/>
    </row>
    <row r="215" spans="1:13" ht="12.75">
      <c r="A215" s="36"/>
      <c r="B215" s="67"/>
      <c r="C215" s="22"/>
      <c r="D215" s="25"/>
      <c r="E215" s="19"/>
      <c r="F215" s="19"/>
      <c r="G215" s="16"/>
      <c r="H215" s="16"/>
      <c r="I215" s="90"/>
      <c r="J215" s="38"/>
      <c r="K215" s="43"/>
      <c r="L215" s="19"/>
      <c r="M215" s="16"/>
    </row>
    <row r="216" spans="1:13" ht="12.75">
      <c r="A216" s="36"/>
      <c r="B216" s="67"/>
      <c r="C216" s="22"/>
      <c r="D216" s="25"/>
      <c r="E216" s="19"/>
      <c r="F216" s="19"/>
      <c r="G216" s="16"/>
      <c r="H216" s="16"/>
      <c r="I216" s="90"/>
      <c r="J216" s="38"/>
      <c r="K216" s="43"/>
      <c r="L216" s="19"/>
      <c r="M216" s="16"/>
    </row>
    <row r="217" spans="1:13" ht="12.75">
      <c r="A217" s="36"/>
      <c r="B217" s="67"/>
      <c r="C217" s="22"/>
      <c r="D217" s="25"/>
      <c r="E217" s="19"/>
      <c r="F217" s="19"/>
      <c r="G217" s="16"/>
      <c r="H217" s="16"/>
      <c r="I217" s="90"/>
      <c r="J217" s="38"/>
      <c r="K217" s="43"/>
      <c r="L217" s="19"/>
      <c r="M217" s="16"/>
    </row>
    <row r="218" spans="1:13" ht="12.75">
      <c r="A218" s="36"/>
      <c r="B218" s="67"/>
      <c r="C218" s="22"/>
      <c r="D218" s="25"/>
      <c r="E218" s="19"/>
      <c r="F218" s="19"/>
      <c r="G218" s="16"/>
      <c r="H218" s="16"/>
      <c r="I218" s="90"/>
      <c r="J218" s="38"/>
      <c r="K218" s="43"/>
      <c r="L218" s="19"/>
      <c r="M218" s="16"/>
    </row>
    <row r="219" spans="1:13" ht="12.75">
      <c r="A219" s="36"/>
      <c r="B219" s="67"/>
      <c r="C219" s="22"/>
      <c r="D219" s="25"/>
      <c r="E219" s="19"/>
      <c r="F219" s="19"/>
      <c r="G219" s="16"/>
      <c r="H219" s="16"/>
      <c r="I219" s="90"/>
      <c r="J219" s="38"/>
      <c r="K219" s="43"/>
      <c r="L219" s="19"/>
      <c r="M219" s="16"/>
    </row>
    <row r="220" spans="1:13" ht="12.75">
      <c r="A220" s="36"/>
      <c r="B220" s="67"/>
      <c r="C220" s="22"/>
      <c r="D220" s="25"/>
      <c r="E220" s="19"/>
      <c r="F220" s="19"/>
      <c r="G220" s="16"/>
      <c r="H220" s="16"/>
      <c r="I220" s="90"/>
      <c r="J220" s="38"/>
      <c r="K220" s="43"/>
      <c r="L220" s="19"/>
      <c r="M220" s="16"/>
    </row>
    <row r="221" spans="1:13" ht="12.75">
      <c r="A221" s="36"/>
      <c r="B221" s="67"/>
      <c r="C221" s="22"/>
      <c r="D221" s="25"/>
      <c r="E221" s="19"/>
      <c r="F221" s="19"/>
      <c r="G221" s="16"/>
      <c r="H221" s="16"/>
      <c r="I221" s="90"/>
      <c r="J221" s="38"/>
      <c r="K221" s="43"/>
      <c r="L221" s="19"/>
      <c r="M221" s="16"/>
    </row>
    <row r="222" spans="1:13" ht="12.75">
      <c r="A222" s="36"/>
      <c r="B222" s="67"/>
      <c r="C222" s="22"/>
      <c r="D222" s="25"/>
      <c r="E222" s="19"/>
      <c r="F222" s="19"/>
      <c r="G222" s="16"/>
      <c r="H222" s="16"/>
      <c r="I222" s="90"/>
      <c r="J222" s="38"/>
      <c r="K222" s="43"/>
      <c r="L222" s="19"/>
      <c r="M222" s="16"/>
    </row>
    <row r="223" spans="1:13" ht="12.75">
      <c r="A223" s="36"/>
      <c r="B223" s="67"/>
      <c r="C223" s="22"/>
      <c r="D223" s="25"/>
      <c r="E223" s="19"/>
      <c r="F223" s="19"/>
      <c r="G223" s="16"/>
      <c r="H223" s="16"/>
      <c r="I223" s="90"/>
      <c r="J223" s="38"/>
      <c r="K223" s="43"/>
      <c r="L223" s="19"/>
      <c r="M223" s="16"/>
    </row>
    <row r="224" spans="1:13" ht="12.75">
      <c r="A224" s="36"/>
      <c r="B224" s="67"/>
      <c r="C224" s="22"/>
      <c r="D224" s="25"/>
      <c r="E224" s="19"/>
      <c r="F224" s="19"/>
      <c r="G224" s="16"/>
      <c r="H224" s="16"/>
      <c r="I224" s="90"/>
      <c r="J224" s="38"/>
      <c r="K224" s="43"/>
      <c r="L224" s="19"/>
      <c r="M224" s="16"/>
    </row>
    <row r="225" spans="1:13" ht="12.75">
      <c r="A225" s="36"/>
      <c r="B225" s="67"/>
      <c r="C225" s="22"/>
      <c r="D225" s="25"/>
      <c r="E225" s="19"/>
      <c r="F225" s="19"/>
      <c r="G225" s="16"/>
      <c r="H225" s="16"/>
      <c r="I225" s="90"/>
      <c r="J225" s="38"/>
      <c r="K225" s="43"/>
      <c r="L225" s="19"/>
      <c r="M225" s="16"/>
    </row>
    <row r="226" spans="1:13" ht="12.75">
      <c r="A226" s="36"/>
      <c r="B226" s="67"/>
      <c r="C226" s="22"/>
      <c r="D226" s="25"/>
      <c r="E226" s="19"/>
      <c r="F226" s="19"/>
      <c r="G226" s="16"/>
      <c r="H226" s="16"/>
      <c r="I226" s="90"/>
      <c r="J226" s="38"/>
      <c r="K226" s="43"/>
      <c r="L226" s="19"/>
      <c r="M226" s="16"/>
    </row>
    <row r="227" spans="1:13" ht="12.75">
      <c r="A227" s="36"/>
      <c r="B227" s="67"/>
      <c r="C227" s="22"/>
      <c r="D227" s="25"/>
      <c r="E227" s="19"/>
      <c r="F227" s="19"/>
      <c r="G227" s="16"/>
      <c r="H227" s="16"/>
      <c r="I227" s="90"/>
      <c r="J227" s="38"/>
      <c r="K227" s="43"/>
      <c r="L227" s="19"/>
      <c r="M227" s="16"/>
    </row>
    <row r="228" spans="1:13" ht="12.75">
      <c r="A228" s="36"/>
      <c r="B228" s="67"/>
      <c r="C228" s="22"/>
      <c r="D228" s="25"/>
      <c r="E228" s="19"/>
      <c r="F228" s="19"/>
      <c r="G228" s="16"/>
      <c r="H228" s="16"/>
      <c r="I228" s="90"/>
      <c r="J228" s="38"/>
      <c r="K228" s="43"/>
      <c r="L228" s="19"/>
      <c r="M228" s="16"/>
    </row>
    <row r="229" spans="1:13" ht="12.75">
      <c r="A229" s="36"/>
      <c r="B229" s="67"/>
      <c r="C229" s="22"/>
      <c r="D229" s="25"/>
      <c r="E229" s="19"/>
      <c r="F229" s="19"/>
      <c r="G229" s="16"/>
      <c r="H229" s="16"/>
      <c r="I229" s="90"/>
      <c r="J229" s="38"/>
      <c r="K229" s="43"/>
      <c r="L229" s="19"/>
      <c r="M229" s="16"/>
    </row>
    <row r="230" spans="1:13" ht="12.75">
      <c r="A230" s="36"/>
      <c r="B230" s="67"/>
      <c r="C230" s="22"/>
      <c r="D230" s="25"/>
      <c r="E230" s="19"/>
      <c r="F230" s="19"/>
      <c r="G230" s="16"/>
      <c r="H230" s="16"/>
      <c r="I230" s="90"/>
      <c r="J230" s="38"/>
      <c r="K230" s="43"/>
      <c r="L230" s="19"/>
      <c r="M230" s="16"/>
    </row>
    <row r="231" spans="1:13" ht="12.75">
      <c r="A231" s="36"/>
      <c r="B231" s="67"/>
      <c r="C231" s="22"/>
      <c r="D231" s="25"/>
      <c r="E231" s="19"/>
      <c r="F231" s="19"/>
      <c r="G231" s="16"/>
      <c r="H231" s="16"/>
      <c r="I231" s="90"/>
      <c r="J231" s="38"/>
      <c r="K231" s="43"/>
      <c r="L231" s="19"/>
      <c r="M231" s="16"/>
    </row>
    <row r="232" spans="1:13" ht="12.75">
      <c r="A232" s="36"/>
      <c r="B232" s="67"/>
      <c r="C232" s="22"/>
      <c r="D232" s="25"/>
      <c r="E232" s="19"/>
      <c r="F232" s="19"/>
      <c r="G232" s="16"/>
      <c r="H232" s="16"/>
      <c r="I232" s="90"/>
      <c r="J232" s="38"/>
      <c r="K232" s="43"/>
      <c r="L232" s="19"/>
      <c r="M232" s="16"/>
    </row>
    <row r="233" spans="1:13" ht="12.75">
      <c r="A233" s="36"/>
      <c r="B233" s="67"/>
      <c r="C233" s="22"/>
      <c r="D233" s="25"/>
      <c r="E233" s="19"/>
      <c r="F233" s="19"/>
      <c r="G233" s="16"/>
      <c r="H233" s="16"/>
      <c r="I233" s="90"/>
      <c r="J233" s="38"/>
      <c r="K233" s="43"/>
      <c r="L233" s="19"/>
      <c r="M233" s="16"/>
    </row>
    <row r="234" spans="1:13" ht="12.75">
      <c r="A234" s="36"/>
      <c r="B234" s="67"/>
      <c r="C234" s="22"/>
      <c r="D234" s="25"/>
      <c r="E234" s="19"/>
      <c r="F234" s="19"/>
      <c r="G234" s="16"/>
      <c r="H234" s="16"/>
      <c r="I234" s="90"/>
      <c r="J234" s="38"/>
      <c r="K234" s="43"/>
      <c r="L234" s="19"/>
      <c r="M234" s="16"/>
    </row>
    <row r="235" spans="1:13" ht="12.75">
      <c r="A235" s="36"/>
      <c r="B235" s="67"/>
      <c r="C235" s="22"/>
      <c r="D235" s="25"/>
      <c r="E235" s="19"/>
      <c r="F235" s="19"/>
      <c r="G235" s="16"/>
      <c r="H235" s="16"/>
      <c r="I235" s="90"/>
      <c r="J235" s="38"/>
      <c r="K235" s="43"/>
      <c r="L235" s="19"/>
      <c r="M235" s="16"/>
    </row>
    <row r="236" spans="1:13" ht="12.75">
      <c r="A236" s="36"/>
      <c r="B236" s="67"/>
      <c r="C236" s="22"/>
      <c r="D236" s="25"/>
      <c r="E236" s="19"/>
      <c r="F236" s="19"/>
      <c r="G236" s="16"/>
      <c r="H236" s="16"/>
      <c r="I236" s="90"/>
      <c r="J236" s="38"/>
      <c r="K236" s="43"/>
      <c r="L236" s="19"/>
      <c r="M236" s="16"/>
    </row>
    <row r="237" spans="1:13" ht="12.75">
      <c r="A237" s="36"/>
      <c r="B237" s="67"/>
      <c r="C237" s="22"/>
      <c r="D237" s="25"/>
      <c r="E237" s="19"/>
      <c r="F237" s="19"/>
      <c r="G237" s="16"/>
      <c r="H237" s="16"/>
      <c r="I237" s="90"/>
      <c r="J237" s="38"/>
      <c r="K237" s="43"/>
      <c r="L237" s="19"/>
      <c r="M237" s="16"/>
    </row>
    <row r="238" spans="1:13" ht="12.75">
      <c r="A238" s="36"/>
      <c r="B238" s="67"/>
      <c r="C238" s="22"/>
      <c r="D238" s="25"/>
      <c r="E238" s="19"/>
      <c r="F238" s="19"/>
      <c r="G238" s="16"/>
      <c r="H238" s="16"/>
      <c r="I238" s="90"/>
      <c r="J238" s="38"/>
      <c r="K238" s="43"/>
      <c r="L238" s="19"/>
      <c r="M238" s="16"/>
    </row>
    <row r="239" spans="1:13" ht="12.75">
      <c r="A239" s="36"/>
      <c r="B239" s="67"/>
      <c r="C239" s="22"/>
      <c r="D239" s="25"/>
      <c r="E239" s="19"/>
      <c r="F239" s="19"/>
      <c r="G239" s="16"/>
      <c r="H239" s="16"/>
      <c r="I239" s="90"/>
      <c r="J239" s="38"/>
      <c r="K239" s="43"/>
      <c r="L239" s="19"/>
      <c r="M239" s="16"/>
    </row>
    <row r="240" spans="1:13" ht="12.75">
      <c r="A240" s="36"/>
      <c r="B240" s="67"/>
      <c r="C240" s="22"/>
      <c r="D240" s="25"/>
      <c r="E240" s="19"/>
      <c r="F240" s="19"/>
      <c r="G240" s="16"/>
      <c r="H240" s="16"/>
      <c r="I240" s="90"/>
      <c r="J240" s="38"/>
      <c r="K240" s="43"/>
      <c r="L240" s="19"/>
      <c r="M240" s="16"/>
    </row>
    <row r="241" spans="1:13" ht="12.75">
      <c r="A241" s="36"/>
      <c r="B241" s="67"/>
      <c r="C241" s="22"/>
      <c r="D241" s="25"/>
      <c r="E241" s="19"/>
      <c r="F241" s="19"/>
      <c r="G241" s="16"/>
      <c r="H241" s="16"/>
      <c r="I241" s="90"/>
      <c r="J241" s="38"/>
      <c r="K241" s="43"/>
      <c r="L241" s="19"/>
      <c r="M241" s="16"/>
    </row>
    <row r="242" spans="1:13" ht="12.75">
      <c r="A242" s="36"/>
      <c r="B242" s="67"/>
      <c r="C242" s="22"/>
      <c r="D242" s="25"/>
      <c r="E242" s="19"/>
      <c r="F242" s="19"/>
      <c r="G242" s="16"/>
      <c r="H242" s="16"/>
      <c r="I242" s="90"/>
      <c r="J242" s="38"/>
      <c r="K242" s="43"/>
      <c r="L242" s="19"/>
      <c r="M242" s="16"/>
    </row>
    <row r="243" spans="1:13" ht="12.75">
      <c r="A243" s="36"/>
      <c r="B243" s="67"/>
      <c r="C243" s="22"/>
      <c r="D243" s="25"/>
      <c r="E243" s="19"/>
      <c r="F243" s="19"/>
      <c r="G243" s="16"/>
      <c r="H243" s="16"/>
      <c r="I243" s="90"/>
      <c r="J243" s="38"/>
      <c r="K243" s="43"/>
      <c r="L243" s="19"/>
      <c r="M243" s="16"/>
    </row>
    <row r="244" spans="1:13" ht="12.75">
      <c r="A244" s="36"/>
      <c r="B244" s="67"/>
      <c r="C244" s="22"/>
      <c r="D244" s="25"/>
      <c r="E244" s="19"/>
      <c r="F244" s="19"/>
      <c r="G244" s="16"/>
      <c r="H244" s="16"/>
      <c r="I244" s="90"/>
      <c r="J244" s="38"/>
      <c r="K244" s="43"/>
      <c r="L244" s="19"/>
      <c r="M244" s="16"/>
    </row>
    <row r="245" spans="1:13" ht="12.75">
      <c r="A245" s="36"/>
      <c r="B245" s="67"/>
      <c r="C245" s="22"/>
      <c r="D245" s="25"/>
      <c r="E245" s="19"/>
      <c r="F245" s="19"/>
      <c r="G245" s="16"/>
      <c r="H245" s="16"/>
      <c r="I245" s="90"/>
      <c r="J245" s="38"/>
      <c r="K245" s="43"/>
      <c r="L245" s="19"/>
      <c r="M245" s="16"/>
    </row>
    <row r="246" spans="1:13" ht="12.75">
      <c r="A246" s="36"/>
      <c r="B246" s="67"/>
      <c r="C246" s="22"/>
      <c r="D246" s="25"/>
      <c r="E246" s="19"/>
      <c r="F246" s="19"/>
      <c r="G246" s="16"/>
      <c r="H246" s="16"/>
      <c r="I246" s="90"/>
      <c r="J246" s="38"/>
      <c r="K246" s="43"/>
      <c r="L246" s="19"/>
      <c r="M246" s="16"/>
    </row>
    <row r="247" spans="1:13" ht="12.75">
      <c r="A247" s="36"/>
      <c r="B247" s="67"/>
      <c r="C247" s="22"/>
      <c r="D247" s="25"/>
      <c r="E247" s="19"/>
      <c r="F247" s="19"/>
      <c r="G247" s="16"/>
      <c r="H247" s="16"/>
      <c r="I247" s="90"/>
      <c r="J247" s="38"/>
      <c r="K247" s="43"/>
      <c r="L247" s="19"/>
      <c r="M247" s="16"/>
    </row>
    <row r="248" spans="1:13" ht="12.75">
      <c r="A248" s="36"/>
      <c r="B248" s="67"/>
      <c r="C248" s="22"/>
      <c r="D248" s="25"/>
      <c r="E248" s="19"/>
      <c r="F248" s="19"/>
      <c r="G248" s="16"/>
      <c r="H248" s="16"/>
      <c r="I248" s="90"/>
      <c r="J248" s="38"/>
      <c r="K248" s="43"/>
      <c r="L248" s="19"/>
      <c r="M248" s="16"/>
    </row>
    <row r="249" spans="1:13" ht="12.75">
      <c r="A249" s="36"/>
      <c r="B249" s="67"/>
      <c r="C249" s="22"/>
      <c r="D249" s="25"/>
      <c r="E249" s="19"/>
      <c r="F249" s="19"/>
      <c r="G249" s="16"/>
      <c r="H249" s="16"/>
      <c r="I249" s="90"/>
      <c r="J249" s="38"/>
      <c r="K249" s="43"/>
      <c r="L249" s="19"/>
      <c r="M249" s="16"/>
    </row>
    <row r="250" spans="1:13" ht="12.75">
      <c r="A250" s="36"/>
      <c r="B250" s="67"/>
      <c r="C250" s="22"/>
      <c r="D250" s="25"/>
      <c r="E250" s="19"/>
      <c r="F250" s="19"/>
      <c r="G250" s="16"/>
      <c r="H250" s="16"/>
      <c r="I250" s="90"/>
      <c r="J250" s="38"/>
      <c r="K250" s="43"/>
      <c r="L250" s="19"/>
      <c r="M250" s="16"/>
    </row>
    <row r="251" spans="1:13" ht="12.75">
      <c r="A251" s="36"/>
      <c r="B251" s="67"/>
      <c r="C251" s="22"/>
      <c r="D251" s="25"/>
      <c r="E251" s="19"/>
      <c r="F251" s="19"/>
      <c r="G251" s="16"/>
      <c r="H251" s="16"/>
      <c r="I251" s="90"/>
      <c r="J251" s="38"/>
      <c r="K251" s="43"/>
      <c r="L251" s="19"/>
      <c r="M251" s="16"/>
    </row>
    <row r="252" spans="1:13" ht="12.75">
      <c r="A252" s="36"/>
      <c r="B252" s="67"/>
      <c r="C252" s="22"/>
      <c r="D252" s="25"/>
      <c r="E252" s="19"/>
      <c r="F252" s="19"/>
      <c r="G252" s="16"/>
      <c r="H252" s="16"/>
      <c r="I252" s="90"/>
      <c r="J252" s="38"/>
      <c r="K252" s="43"/>
      <c r="L252" s="19"/>
      <c r="M252" s="16"/>
    </row>
    <row r="253" spans="1:13" ht="12.75">
      <c r="A253" s="36"/>
      <c r="B253" s="67"/>
      <c r="C253" s="22"/>
      <c r="D253" s="25"/>
      <c r="E253" s="19"/>
      <c r="F253" s="19"/>
      <c r="G253" s="16"/>
      <c r="H253" s="16"/>
      <c r="I253" s="90"/>
      <c r="J253" s="38"/>
      <c r="K253" s="43"/>
      <c r="L253" s="19"/>
      <c r="M253" s="16"/>
    </row>
    <row r="254" spans="1:13" ht="12.75">
      <c r="A254" s="36"/>
      <c r="B254" s="67"/>
      <c r="C254" s="22"/>
      <c r="D254" s="25"/>
      <c r="E254" s="19"/>
      <c r="F254" s="19"/>
      <c r="G254" s="16"/>
      <c r="H254" s="16"/>
      <c r="I254" s="90"/>
      <c r="J254" s="38"/>
      <c r="K254" s="43"/>
      <c r="L254" s="19"/>
      <c r="M254" s="16"/>
    </row>
    <row r="255" spans="1:13" ht="12.75">
      <c r="A255" s="36"/>
      <c r="B255" s="67"/>
      <c r="C255" s="22"/>
      <c r="D255" s="25"/>
      <c r="E255" s="19"/>
      <c r="F255" s="19"/>
      <c r="G255" s="16"/>
      <c r="H255" s="16"/>
      <c r="I255" s="90"/>
      <c r="J255" s="38"/>
      <c r="K255" s="43"/>
      <c r="L255" s="19"/>
      <c r="M255" s="16"/>
    </row>
    <row r="256" spans="1:13" ht="12.75">
      <c r="A256" s="36"/>
      <c r="B256" s="67"/>
      <c r="C256" s="22"/>
      <c r="D256" s="25"/>
      <c r="E256" s="19"/>
      <c r="F256" s="19"/>
      <c r="G256" s="16"/>
      <c r="H256" s="16"/>
      <c r="I256" s="90"/>
      <c r="J256" s="38"/>
      <c r="K256" s="43"/>
      <c r="L256" s="19"/>
      <c r="M256" s="16"/>
    </row>
    <row r="257" spans="1:13" ht="12.75">
      <c r="A257" s="36"/>
      <c r="B257" s="67"/>
      <c r="C257" s="22"/>
      <c r="D257" s="25"/>
      <c r="E257" s="19"/>
      <c r="F257" s="19"/>
      <c r="G257" s="16"/>
      <c r="H257" s="16"/>
      <c r="I257" s="90"/>
      <c r="J257" s="38"/>
      <c r="K257" s="43"/>
      <c r="L257" s="19"/>
      <c r="M257" s="16"/>
    </row>
    <row r="258" spans="1:13" ht="12.75">
      <c r="A258" s="36"/>
      <c r="B258" s="67"/>
      <c r="C258" s="22"/>
      <c r="D258" s="25"/>
      <c r="E258" s="19"/>
      <c r="F258" s="19"/>
      <c r="G258" s="16"/>
      <c r="H258" s="16"/>
      <c r="I258" s="90"/>
      <c r="J258" s="38"/>
      <c r="K258" s="43"/>
      <c r="L258" s="19"/>
      <c r="M258" s="16"/>
    </row>
    <row r="259" spans="1:13" ht="12.75">
      <c r="A259" s="36"/>
      <c r="B259" s="67"/>
      <c r="C259" s="22"/>
      <c r="D259" s="25"/>
      <c r="E259" s="19"/>
      <c r="F259" s="19"/>
      <c r="G259" s="16"/>
      <c r="H259" s="16"/>
      <c r="I259" s="90"/>
      <c r="J259" s="38"/>
      <c r="K259" s="43"/>
      <c r="L259" s="19"/>
      <c r="M259" s="16"/>
    </row>
    <row r="260" spans="1:13" ht="12.75">
      <c r="A260" s="36"/>
      <c r="B260" s="67"/>
      <c r="C260" s="22"/>
      <c r="D260" s="25"/>
      <c r="E260" s="19"/>
      <c r="F260" s="19"/>
      <c r="G260" s="16"/>
      <c r="H260" s="16"/>
      <c r="I260" s="90"/>
      <c r="J260" s="38"/>
      <c r="K260" s="43"/>
      <c r="L260" s="19"/>
      <c r="M260" s="16"/>
    </row>
    <row r="261" spans="1:13" ht="12.75">
      <c r="A261" s="36"/>
      <c r="B261" s="67"/>
      <c r="C261" s="22"/>
      <c r="D261" s="25"/>
      <c r="E261" s="19"/>
      <c r="F261" s="19"/>
      <c r="G261" s="16"/>
      <c r="H261" s="16"/>
      <c r="I261" s="90"/>
      <c r="J261" s="38"/>
      <c r="K261" s="43"/>
      <c r="L261" s="19"/>
      <c r="M261" s="16"/>
    </row>
    <row r="262" spans="1:13" ht="12.75">
      <c r="A262" s="36"/>
      <c r="B262" s="67"/>
      <c r="C262" s="22"/>
      <c r="D262" s="25"/>
      <c r="E262" s="19"/>
      <c r="F262" s="19"/>
      <c r="G262" s="16"/>
      <c r="H262" s="16"/>
      <c r="I262" s="90"/>
      <c r="J262" s="38"/>
      <c r="K262" s="43"/>
      <c r="L262" s="19"/>
      <c r="M262" s="16"/>
    </row>
    <row r="263" spans="1:13" ht="12.75">
      <c r="A263" s="36"/>
      <c r="B263" s="67"/>
      <c r="C263" s="22"/>
      <c r="D263" s="25"/>
      <c r="E263" s="19"/>
      <c r="F263" s="19"/>
      <c r="G263" s="16"/>
      <c r="H263" s="16"/>
      <c r="I263" s="90"/>
      <c r="J263" s="38"/>
      <c r="K263" s="43"/>
      <c r="L263" s="19"/>
      <c r="M263" s="16"/>
    </row>
    <row r="264" spans="1:13" ht="12.75">
      <c r="A264" s="36"/>
      <c r="B264" s="67"/>
      <c r="C264" s="22"/>
      <c r="D264" s="25"/>
      <c r="E264" s="19"/>
      <c r="F264" s="19"/>
      <c r="G264" s="16"/>
      <c r="H264" s="16"/>
      <c r="I264" s="90"/>
      <c r="J264" s="38"/>
      <c r="K264" s="43"/>
      <c r="L264" s="19"/>
      <c r="M264" s="16"/>
    </row>
    <row r="265" spans="1:13" ht="12.75">
      <c r="A265" s="36"/>
      <c r="B265" s="67"/>
      <c r="C265" s="22"/>
      <c r="D265" s="25"/>
      <c r="E265" s="19"/>
      <c r="F265" s="19"/>
      <c r="G265" s="16"/>
      <c r="H265" s="16"/>
      <c r="I265" s="90"/>
      <c r="J265" s="38"/>
      <c r="K265" s="43"/>
      <c r="L265" s="19"/>
      <c r="M265" s="16"/>
    </row>
    <row r="266" spans="1:13" ht="12.75">
      <c r="A266" s="36"/>
      <c r="B266" s="67"/>
      <c r="C266" s="22"/>
      <c r="D266" s="25"/>
      <c r="E266" s="19"/>
      <c r="F266" s="19"/>
      <c r="G266" s="16"/>
      <c r="H266" s="16"/>
      <c r="I266" s="90"/>
      <c r="J266" s="38"/>
      <c r="K266" s="43"/>
      <c r="L266" s="19"/>
      <c r="M266" s="16"/>
    </row>
    <row r="267" spans="1:13" ht="12.75">
      <c r="A267" s="36"/>
      <c r="B267" s="67"/>
      <c r="C267" s="22"/>
      <c r="D267" s="25"/>
      <c r="E267" s="19"/>
      <c r="F267" s="19"/>
      <c r="G267" s="16"/>
      <c r="H267" s="16"/>
      <c r="I267" s="90"/>
      <c r="J267" s="38"/>
      <c r="K267" s="43"/>
      <c r="L267" s="19"/>
      <c r="M267" s="16"/>
    </row>
    <row r="268" spans="1:13" ht="12.75">
      <c r="A268" s="36"/>
      <c r="B268" s="67"/>
      <c r="C268" s="22"/>
      <c r="D268" s="25"/>
      <c r="E268" s="19"/>
      <c r="F268" s="19"/>
      <c r="G268" s="16"/>
      <c r="H268" s="16"/>
      <c r="I268" s="90"/>
      <c r="J268" s="38"/>
      <c r="K268" s="43"/>
      <c r="L268" s="19"/>
      <c r="M268" s="16"/>
    </row>
    <row r="269" spans="1:13" ht="12.75">
      <c r="A269" s="36"/>
      <c r="B269" s="67"/>
      <c r="C269" s="22"/>
      <c r="D269" s="25"/>
      <c r="E269" s="19"/>
      <c r="F269" s="19"/>
      <c r="G269" s="16"/>
      <c r="H269" s="16"/>
      <c r="I269" s="90"/>
      <c r="J269" s="38"/>
      <c r="K269" s="43"/>
      <c r="L269" s="19"/>
      <c r="M269" s="16"/>
    </row>
    <row r="270" spans="1:13" ht="12.75">
      <c r="A270" s="36"/>
      <c r="B270" s="67"/>
      <c r="C270" s="22"/>
      <c r="D270" s="25"/>
      <c r="E270" s="19"/>
      <c r="F270" s="19"/>
      <c r="G270" s="16"/>
      <c r="H270" s="16"/>
      <c r="I270" s="90"/>
      <c r="J270" s="38"/>
      <c r="K270" s="43"/>
      <c r="L270" s="19"/>
      <c r="M270" s="16"/>
    </row>
    <row r="271" spans="1:13" ht="12.75">
      <c r="A271" s="36"/>
      <c r="B271" s="67"/>
      <c r="C271" s="22"/>
      <c r="D271" s="25"/>
      <c r="E271" s="19"/>
      <c r="F271" s="19"/>
      <c r="G271" s="16"/>
      <c r="H271" s="16"/>
      <c r="I271" s="90"/>
      <c r="J271" s="38"/>
      <c r="K271" s="43"/>
      <c r="L271" s="19"/>
      <c r="M271" s="16"/>
    </row>
    <row r="272" spans="1:13" ht="12.75">
      <c r="A272" s="36"/>
      <c r="B272" s="67"/>
      <c r="C272" s="22"/>
      <c r="D272" s="25"/>
      <c r="E272" s="19"/>
      <c r="F272" s="19"/>
      <c r="G272" s="16"/>
      <c r="H272" s="16"/>
      <c r="I272" s="90"/>
      <c r="J272" s="38"/>
      <c r="K272" s="43"/>
      <c r="L272" s="19"/>
      <c r="M272" s="16"/>
    </row>
    <row r="273" spans="1:13" ht="12.75">
      <c r="A273" s="36"/>
      <c r="B273" s="67"/>
      <c r="C273" s="22"/>
      <c r="D273" s="25"/>
      <c r="E273" s="19"/>
      <c r="F273" s="19"/>
      <c r="G273" s="16"/>
      <c r="H273" s="16"/>
      <c r="I273" s="90"/>
      <c r="J273" s="38"/>
      <c r="K273" s="43"/>
      <c r="L273" s="19"/>
      <c r="M273" s="16"/>
    </row>
    <row r="274" spans="1:13" ht="12.75">
      <c r="A274" s="36"/>
      <c r="B274" s="67"/>
      <c r="C274" s="22"/>
      <c r="D274" s="25"/>
      <c r="E274" s="19"/>
      <c r="F274" s="19"/>
      <c r="G274" s="16"/>
      <c r="H274" s="16"/>
      <c r="I274" s="90"/>
      <c r="J274" s="38"/>
      <c r="K274" s="43"/>
      <c r="L274" s="19"/>
      <c r="M274" s="16"/>
    </row>
    <row r="275" spans="1:13" ht="12.75">
      <c r="A275" s="36"/>
      <c r="B275" s="67"/>
      <c r="C275" s="22"/>
      <c r="D275" s="25"/>
      <c r="E275" s="19"/>
      <c r="F275" s="19"/>
      <c r="G275" s="16"/>
      <c r="H275" s="16"/>
      <c r="I275" s="90"/>
      <c r="J275" s="38"/>
      <c r="K275" s="43"/>
      <c r="L275" s="19"/>
      <c r="M275" s="16"/>
    </row>
    <row r="276" spans="1:13" ht="12.75">
      <c r="A276" s="36"/>
      <c r="B276" s="67"/>
      <c r="C276" s="22"/>
      <c r="D276" s="25"/>
      <c r="E276" s="19"/>
      <c r="F276" s="19"/>
      <c r="G276" s="16"/>
      <c r="H276" s="16"/>
      <c r="I276" s="90"/>
      <c r="J276" s="38"/>
      <c r="K276" s="43"/>
      <c r="L276" s="19"/>
      <c r="M276" s="16"/>
    </row>
    <row r="277" spans="1:13" ht="12.75">
      <c r="A277" s="36"/>
      <c r="B277" s="67"/>
      <c r="C277" s="22"/>
      <c r="D277" s="25"/>
      <c r="E277" s="19"/>
      <c r="F277" s="19"/>
      <c r="G277" s="16"/>
      <c r="H277" s="16"/>
      <c r="I277" s="90"/>
      <c r="J277" s="38"/>
      <c r="K277" s="43"/>
      <c r="L277" s="19"/>
      <c r="M277" s="16"/>
    </row>
    <row r="278" spans="1:13" ht="12.75">
      <c r="A278" s="36"/>
      <c r="B278" s="67"/>
      <c r="C278" s="22"/>
      <c r="D278" s="25"/>
      <c r="E278" s="19"/>
      <c r="F278" s="19"/>
      <c r="G278" s="16"/>
      <c r="H278" s="16"/>
      <c r="I278" s="90"/>
      <c r="J278" s="38"/>
      <c r="K278" s="43"/>
      <c r="L278" s="19"/>
      <c r="M278" s="16"/>
    </row>
    <row r="279" spans="1:13" ht="12.75">
      <c r="A279" s="36"/>
      <c r="B279" s="67"/>
      <c r="C279" s="22"/>
      <c r="D279" s="25"/>
      <c r="E279" s="19"/>
      <c r="F279" s="19"/>
      <c r="G279" s="16"/>
      <c r="H279" s="16"/>
      <c r="I279" s="90"/>
      <c r="J279" s="38"/>
      <c r="K279" s="43"/>
      <c r="L279" s="19"/>
      <c r="M279" s="16"/>
    </row>
    <row r="280" spans="1:13" ht="12.75">
      <c r="A280" s="36"/>
      <c r="B280" s="67"/>
      <c r="C280" s="22"/>
      <c r="D280" s="25"/>
      <c r="E280" s="19"/>
      <c r="F280" s="19"/>
      <c r="G280" s="16"/>
      <c r="H280" s="16"/>
      <c r="I280" s="90"/>
      <c r="J280" s="38"/>
      <c r="K280" s="43"/>
      <c r="L280" s="19"/>
      <c r="M280" s="16"/>
    </row>
    <row r="281" spans="1:13" ht="12.75">
      <c r="A281" s="36"/>
      <c r="B281" s="67"/>
      <c r="C281" s="22"/>
      <c r="D281" s="25"/>
      <c r="E281" s="19"/>
      <c r="F281" s="19"/>
      <c r="G281" s="16"/>
      <c r="H281" s="16"/>
      <c r="I281" s="90"/>
      <c r="J281" s="38"/>
      <c r="K281" s="43"/>
      <c r="L281" s="19"/>
      <c r="M281" s="16"/>
    </row>
    <row r="282" spans="1:13" ht="12.75">
      <c r="A282" s="36"/>
      <c r="B282" s="67"/>
      <c r="C282" s="22"/>
      <c r="D282" s="25"/>
      <c r="E282" s="19"/>
      <c r="F282" s="19"/>
      <c r="G282" s="16"/>
      <c r="H282" s="16"/>
      <c r="I282" s="90"/>
      <c r="J282" s="38"/>
      <c r="K282" s="43"/>
      <c r="L282" s="19"/>
      <c r="M282" s="16"/>
    </row>
    <row r="283" spans="1:13" ht="12.75">
      <c r="A283" s="36"/>
      <c r="B283" s="67"/>
      <c r="C283" s="22"/>
      <c r="D283" s="25"/>
      <c r="E283" s="19"/>
      <c r="F283" s="19"/>
      <c r="G283" s="16"/>
      <c r="H283" s="16"/>
      <c r="I283" s="90"/>
      <c r="J283" s="38"/>
      <c r="K283" s="43"/>
      <c r="L283" s="19"/>
      <c r="M283" s="16"/>
    </row>
    <row r="284" spans="1:13" ht="12.75">
      <c r="A284" s="36"/>
      <c r="B284" s="67"/>
      <c r="C284" s="22"/>
      <c r="D284" s="25"/>
      <c r="E284" s="19"/>
      <c r="F284" s="19"/>
      <c r="G284" s="16"/>
      <c r="H284" s="16"/>
      <c r="I284" s="90"/>
      <c r="J284" s="38"/>
      <c r="K284" s="43"/>
      <c r="L284" s="19"/>
      <c r="M284" s="16"/>
    </row>
    <row r="285" spans="1:13" ht="12.75">
      <c r="A285" s="36"/>
      <c r="B285" s="67"/>
      <c r="C285" s="22"/>
      <c r="D285" s="25"/>
      <c r="E285" s="19"/>
      <c r="F285" s="19"/>
      <c r="G285" s="16"/>
      <c r="H285" s="16"/>
      <c r="I285" s="90"/>
      <c r="J285" s="38"/>
      <c r="K285" s="43"/>
      <c r="L285" s="19"/>
      <c r="M285" s="16"/>
    </row>
    <row r="286" spans="1:13" ht="12.75">
      <c r="A286" s="36"/>
      <c r="B286" s="67"/>
      <c r="C286" s="22"/>
      <c r="D286" s="25"/>
      <c r="E286" s="19"/>
      <c r="F286" s="19"/>
      <c r="G286" s="16"/>
      <c r="H286" s="16"/>
      <c r="I286" s="90"/>
      <c r="J286" s="38"/>
      <c r="K286" s="43"/>
      <c r="L286" s="19"/>
      <c r="M286" s="16"/>
    </row>
    <row r="287" spans="1:13" ht="12.75">
      <c r="A287" s="36"/>
      <c r="B287" s="67"/>
      <c r="C287" s="22"/>
      <c r="D287" s="25"/>
      <c r="E287" s="19"/>
      <c r="F287" s="19"/>
      <c r="G287" s="16"/>
      <c r="H287" s="16"/>
      <c r="I287" s="90"/>
      <c r="J287" s="38"/>
      <c r="K287" s="43"/>
      <c r="L287" s="19"/>
      <c r="M287" s="16"/>
    </row>
    <row r="288" spans="1:13" ht="12.75">
      <c r="A288" s="36"/>
      <c r="B288" s="67"/>
      <c r="C288" s="22"/>
      <c r="D288" s="25"/>
      <c r="E288" s="19"/>
      <c r="F288" s="19"/>
      <c r="G288" s="16"/>
      <c r="H288" s="16"/>
      <c r="I288" s="90"/>
      <c r="J288" s="38"/>
      <c r="K288" s="43"/>
      <c r="L288" s="19"/>
      <c r="M288" s="16"/>
    </row>
    <row r="289" spans="1:13" ht="12.75">
      <c r="A289" s="36"/>
      <c r="B289" s="67"/>
      <c r="C289" s="22"/>
      <c r="D289" s="25"/>
      <c r="E289" s="19"/>
      <c r="F289" s="19"/>
      <c r="G289" s="16"/>
      <c r="H289" s="16"/>
      <c r="I289" s="90"/>
      <c r="J289" s="38"/>
      <c r="K289" s="43"/>
      <c r="L289" s="19"/>
      <c r="M289" s="16"/>
    </row>
    <row r="290" spans="1:13" ht="12.75">
      <c r="A290" s="36"/>
      <c r="B290" s="67"/>
      <c r="C290" s="22"/>
      <c r="D290" s="25"/>
      <c r="E290" s="19"/>
      <c r="F290" s="19"/>
      <c r="G290" s="16"/>
      <c r="H290" s="16"/>
      <c r="I290" s="90"/>
      <c r="J290" s="38"/>
      <c r="K290" s="43"/>
      <c r="L290" s="19"/>
      <c r="M290" s="16"/>
    </row>
    <row r="291" spans="1:13" ht="12.75">
      <c r="A291" s="36"/>
      <c r="B291" s="67"/>
      <c r="C291" s="22"/>
      <c r="D291" s="25"/>
      <c r="E291" s="19"/>
      <c r="F291" s="19"/>
      <c r="G291" s="16"/>
      <c r="H291" s="16"/>
      <c r="I291" s="90"/>
      <c r="J291" s="38"/>
      <c r="K291" s="43"/>
      <c r="L291" s="19"/>
      <c r="M291" s="16"/>
    </row>
    <row r="292" spans="1:13" ht="12.75">
      <c r="A292" s="36"/>
      <c r="B292" s="67"/>
      <c r="C292" s="22"/>
      <c r="D292" s="25"/>
      <c r="E292" s="19"/>
      <c r="F292" s="19"/>
      <c r="G292" s="16"/>
      <c r="H292" s="16"/>
      <c r="I292" s="90"/>
      <c r="J292" s="38"/>
      <c r="K292" s="43"/>
      <c r="L292" s="19"/>
      <c r="M292" s="16"/>
    </row>
    <row r="293" spans="1:13" ht="12.75">
      <c r="A293" s="36"/>
      <c r="B293" s="67"/>
      <c r="C293" s="22"/>
      <c r="D293" s="25"/>
      <c r="E293" s="19"/>
      <c r="F293" s="19"/>
      <c r="G293" s="16"/>
      <c r="H293" s="16"/>
      <c r="I293" s="90"/>
      <c r="J293" s="38"/>
      <c r="K293" s="43"/>
      <c r="L293" s="19"/>
      <c r="M293" s="16"/>
    </row>
    <row r="294" spans="1:13" ht="12.75">
      <c r="A294" s="36"/>
      <c r="B294" s="67"/>
      <c r="C294" s="22"/>
      <c r="D294" s="25"/>
      <c r="E294" s="19"/>
      <c r="F294" s="19"/>
      <c r="G294" s="16"/>
      <c r="H294" s="16"/>
      <c r="I294" s="90"/>
      <c r="J294" s="38"/>
      <c r="K294" s="43"/>
      <c r="L294" s="19"/>
      <c r="M294" s="16"/>
    </row>
    <row r="295" spans="1:13" ht="12.75">
      <c r="A295" s="36"/>
      <c r="B295" s="67"/>
      <c r="C295" s="22"/>
      <c r="D295" s="25"/>
      <c r="E295" s="19"/>
      <c r="F295" s="19"/>
      <c r="G295" s="16"/>
      <c r="H295" s="16"/>
      <c r="I295" s="90"/>
      <c r="J295" s="38"/>
      <c r="K295" s="43"/>
      <c r="L295" s="19"/>
      <c r="M295" s="16"/>
    </row>
    <row r="296" spans="1:13" ht="12.75">
      <c r="A296" s="36"/>
      <c r="B296" s="67"/>
      <c r="C296" s="22"/>
      <c r="D296" s="25"/>
      <c r="E296" s="19"/>
      <c r="F296" s="19"/>
      <c r="G296" s="16"/>
      <c r="H296" s="16"/>
      <c r="I296" s="90"/>
      <c r="J296" s="38"/>
      <c r="K296" s="43"/>
      <c r="L296" s="19"/>
      <c r="M296" s="16"/>
    </row>
    <row r="297" spans="1:13" ht="12.75">
      <c r="A297" s="36"/>
      <c r="B297" s="67"/>
      <c r="C297" s="22"/>
      <c r="D297" s="25"/>
      <c r="E297" s="19"/>
      <c r="F297" s="19"/>
      <c r="G297" s="16"/>
      <c r="H297" s="16"/>
      <c r="I297" s="90"/>
      <c r="J297" s="38"/>
      <c r="K297" s="43"/>
      <c r="L297" s="19"/>
      <c r="M297" s="16"/>
    </row>
    <row r="298" spans="1:13" ht="12.75">
      <c r="A298" s="36"/>
      <c r="B298" s="67"/>
      <c r="C298" s="22"/>
      <c r="D298" s="25"/>
      <c r="E298" s="19"/>
      <c r="F298" s="19"/>
      <c r="G298" s="16"/>
      <c r="H298" s="16"/>
      <c r="I298" s="90"/>
      <c r="J298" s="38"/>
      <c r="K298" s="43"/>
      <c r="L298" s="19"/>
      <c r="M298" s="16"/>
    </row>
    <row r="299" spans="1:13" ht="12.75">
      <c r="A299" s="36"/>
      <c r="B299" s="67"/>
      <c r="C299" s="22"/>
      <c r="D299" s="25"/>
      <c r="E299" s="19"/>
      <c r="F299" s="19"/>
      <c r="G299" s="16"/>
      <c r="H299" s="16"/>
      <c r="I299" s="90"/>
      <c r="J299" s="38"/>
      <c r="K299" s="43"/>
      <c r="L299" s="19"/>
      <c r="M299" s="16"/>
    </row>
    <row r="300" spans="1:13" ht="12.75">
      <c r="A300" s="36"/>
      <c r="B300" s="67"/>
      <c r="C300" s="22"/>
      <c r="D300" s="25"/>
      <c r="E300" s="19"/>
      <c r="F300" s="19"/>
      <c r="G300" s="16"/>
      <c r="H300" s="16"/>
      <c r="I300" s="90"/>
      <c r="J300" s="38"/>
      <c r="K300" s="43"/>
      <c r="L300" s="19"/>
      <c r="M300" s="16"/>
    </row>
    <row r="301" spans="1:13" ht="12.75">
      <c r="A301" s="36"/>
      <c r="B301" s="67"/>
      <c r="C301" s="22"/>
      <c r="D301" s="25"/>
      <c r="E301" s="19"/>
      <c r="F301" s="19"/>
      <c r="G301" s="16"/>
      <c r="H301" s="16"/>
      <c r="I301" s="90"/>
      <c r="J301" s="38"/>
      <c r="K301" s="43"/>
      <c r="L301" s="19"/>
      <c r="M301" s="16"/>
    </row>
    <row r="302" spans="1:13" ht="12.75">
      <c r="A302" s="36"/>
      <c r="B302" s="67"/>
      <c r="C302" s="22"/>
      <c r="D302" s="25"/>
      <c r="E302" s="19"/>
      <c r="F302" s="19"/>
      <c r="G302" s="16"/>
      <c r="H302" s="16"/>
      <c r="I302" s="90"/>
      <c r="J302" s="38"/>
      <c r="K302" s="43"/>
      <c r="L302" s="19"/>
      <c r="M302" s="16"/>
    </row>
    <row r="303" spans="1:13" ht="12.75">
      <c r="A303" s="36"/>
      <c r="B303" s="67"/>
      <c r="C303" s="22"/>
      <c r="D303" s="25"/>
      <c r="E303" s="19"/>
      <c r="F303" s="19"/>
      <c r="G303" s="16"/>
      <c r="H303" s="16"/>
      <c r="I303" s="90"/>
      <c r="J303" s="38"/>
      <c r="K303" s="43"/>
      <c r="L303" s="19"/>
      <c r="M303" s="16"/>
    </row>
    <row r="304" spans="1:13" ht="12.75">
      <c r="A304" s="36"/>
      <c r="B304" s="67"/>
      <c r="C304" s="22"/>
      <c r="D304" s="25"/>
      <c r="E304" s="19"/>
      <c r="F304" s="19"/>
      <c r="G304" s="16"/>
      <c r="H304" s="16"/>
      <c r="I304" s="90"/>
      <c r="J304" s="38"/>
      <c r="K304" s="43"/>
      <c r="L304" s="19"/>
      <c r="M304" s="16"/>
    </row>
    <row r="305" spans="1:13" ht="12.75">
      <c r="A305" s="36"/>
      <c r="B305" s="67"/>
      <c r="C305" s="22"/>
      <c r="D305" s="25"/>
      <c r="E305" s="19"/>
      <c r="F305" s="19"/>
      <c r="G305" s="16"/>
      <c r="H305" s="16"/>
      <c r="I305" s="90"/>
      <c r="J305" s="38"/>
      <c r="K305" s="43"/>
      <c r="L305" s="19"/>
      <c r="M305" s="16"/>
    </row>
    <row r="306" spans="1:13" ht="12.75">
      <c r="A306" s="36"/>
      <c r="B306" s="67"/>
      <c r="C306" s="22"/>
      <c r="D306" s="25"/>
      <c r="E306" s="19"/>
      <c r="F306" s="19"/>
      <c r="G306" s="16"/>
      <c r="H306" s="16"/>
      <c r="I306" s="90"/>
      <c r="J306" s="38"/>
      <c r="K306" s="43"/>
      <c r="L306" s="19"/>
      <c r="M306" s="16"/>
    </row>
    <row r="307" spans="1:13" ht="12.75">
      <c r="A307" s="36"/>
      <c r="B307" s="67"/>
      <c r="C307" s="22"/>
      <c r="D307" s="25"/>
      <c r="E307" s="19"/>
      <c r="F307" s="19"/>
      <c r="G307" s="16"/>
      <c r="H307" s="16"/>
      <c r="I307" s="90"/>
      <c r="J307" s="38"/>
      <c r="K307" s="43"/>
      <c r="L307" s="19"/>
      <c r="M307" s="16"/>
    </row>
    <row r="308" spans="1:13" ht="12.75">
      <c r="A308" s="36"/>
      <c r="B308" s="67"/>
      <c r="C308" s="22"/>
      <c r="D308" s="25"/>
      <c r="E308" s="19"/>
      <c r="F308" s="19"/>
      <c r="G308" s="16"/>
      <c r="H308" s="16"/>
      <c r="I308" s="90"/>
      <c r="J308" s="38"/>
      <c r="K308" s="43"/>
      <c r="L308" s="19"/>
      <c r="M308" s="16"/>
    </row>
    <row r="309" spans="1:13" ht="12.75">
      <c r="A309" s="36"/>
      <c r="B309" s="67"/>
      <c r="C309" s="22"/>
      <c r="D309" s="25"/>
      <c r="E309" s="19"/>
      <c r="F309" s="19"/>
      <c r="G309" s="16"/>
      <c r="H309" s="16"/>
      <c r="I309" s="90"/>
      <c r="J309" s="38"/>
      <c r="K309" s="43"/>
      <c r="L309" s="19"/>
      <c r="M309" s="16"/>
    </row>
    <row r="310" spans="1:13" ht="12.75">
      <c r="A310" s="36"/>
      <c r="B310" s="67"/>
      <c r="C310" s="22"/>
      <c r="D310" s="25"/>
      <c r="E310" s="19"/>
      <c r="F310" s="19"/>
      <c r="G310" s="16"/>
      <c r="H310" s="16"/>
      <c r="I310" s="90"/>
      <c r="J310" s="38"/>
      <c r="K310" s="43"/>
      <c r="L310" s="19"/>
      <c r="M310" s="16"/>
    </row>
    <row r="311" spans="1:13" ht="12.75">
      <c r="A311" s="36"/>
      <c r="B311" s="67"/>
      <c r="C311" s="22"/>
      <c r="D311" s="25"/>
      <c r="E311" s="19"/>
      <c r="F311" s="19"/>
      <c r="G311" s="16"/>
      <c r="H311" s="16"/>
      <c r="I311" s="90"/>
      <c r="J311" s="38"/>
      <c r="K311" s="43"/>
      <c r="L311" s="19"/>
      <c r="M311" s="16"/>
    </row>
    <row r="312" spans="1:13" ht="12.75">
      <c r="A312" s="36"/>
      <c r="B312" s="67"/>
      <c r="C312" s="22"/>
      <c r="D312" s="25"/>
      <c r="E312" s="19"/>
      <c r="F312" s="19"/>
      <c r="G312" s="16"/>
      <c r="H312" s="16"/>
      <c r="I312" s="90"/>
      <c r="J312" s="38"/>
      <c r="K312" s="43"/>
      <c r="L312" s="19"/>
      <c r="M312" s="16"/>
    </row>
    <row r="313" spans="1:13" ht="12.75">
      <c r="A313" s="36"/>
      <c r="B313" s="67"/>
      <c r="C313" s="22"/>
      <c r="D313" s="25"/>
      <c r="E313" s="19"/>
      <c r="F313" s="19"/>
      <c r="G313" s="16"/>
      <c r="H313" s="16"/>
      <c r="I313" s="90"/>
      <c r="J313" s="38"/>
      <c r="K313" s="43"/>
      <c r="L313" s="19"/>
      <c r="M313" s="16"/>
    </row>
    <row r="314" spans="1:13" ht="12.75">
      <c r="A314" s="36"/>
      <c r="B314" s="67"/>
      <c r="C314" s="22"/>
      <c r="D314" s="25"/>
      <c r="E314" s="19"/>
      <c r="F314" s="19"/>
      <c r="G314" s="16"/>
      <c r="H314" s="16"/>
      <c r="I314" s="90"/>
      <c r="J314" s="38"/>
      <c r="K314" s="43"/>
      <c r="L314" s="19"/>
      <c r="M314" s="16"/>
    </row>
    <row r="315" spans="1:13" ht="12.75">
      <c r="A315" s="36"/>
      <c r="B315" s="67"/>
      <c r="C315" s="22"/>
      <c r="D315" s="25"/>
      <c r="E315" s="19"/>
      <c r="F315" s="19"/>
      <c r="G315" s="16"/>
      <c r="H315" s="16"/>
      <c r="I315" s="90"/>
      <c r="J315" s="38"/>
      <c r="K315" s="43"/>
      <c r="L315" s="19"/>
      <c r="M315" s="16"/>
    </row>
    <row r="316" spans="1:13" ht="12.75">
      <c r="A316" s="36"/>
      <c r="B316" s="67"/>
      <c r="C316" s="22"/>
      <c r="D316" s="25"/>
      <c r="E316" s="19"/>
      <c r="F316" s="19"/>
      <c r="G316" s="16"/>
      <c r="H316" s="16"/>
      <c r="I316" s="90"/>
      <c r="J316" s="38"/>
      <c r="K316" s="43"/>
      <c r="L316" s="19"/>
      <c r="M316" s="16"/>
    </row>
    <row r="317" spans="1:13" ht="12.75">
      <c r="A317" s="36"/>
      <c r="B317" s="67"/>
      <c r="C317" s="22"/>
      <c r="D317" s="25"/>
      <c r="E317" s="19"/>
      <c r="F317" s="19"/>
      <c r="G317" s="16"/>
      <c r="H317" s="16"/>
      <c r="I317" s="90"/>
      <c r="J317" s="38"/>
      <c r="K317" s="43"/>
      <c r="L317" s="19"/>
      <c r="M317" s="16"/>
    </row>
    <row r="318" spans="1:13" ht="12.75">
      <c r="A318" s="36"/>
      <c r="B318" s="67"/>
      <c r="C318" s="22"/>
      <c r="D318" s="25"/>
      <c r="E318" s="19"/>
      <c r="F318" s="19"/>
      <c r="G318" s="16"/>
      <c r="H318" s="16"/>
      <c r="I318" s="90"/>
      <c r="J318" s="38"/>
      <c r="K318" s="43"/>
      <c r="L318" s="19"/>
      <c r="M318" s="16"/>
    </row>
    <row r="319" spans="1:13" ht="12.75">
      <c r="A319" s="36"/>
      <c r="B319" s="67"/>
      <c r="C319" s="22"/>
      <c r="D319" s="25"/>
      <c r="E319" s="19"/>
      <c r="F319" s="19"/>
      <c r="G319" s="16"/>
      <c r="H319" s="16"/>
      <c r="I319" s="90"/>
      <c r="J319" s="38"/>
      <c r="K319" s="43"/>
      <c r="L319" s="19"/>
      <c r="M319" s="16"/>
    </row>
    <row r="320" spans="1:13" ht="12.75">
      <c r="A320" s="36"/>
      <c r="B320" s="67"/>
      <c r="C320" s="22"/>
      <c r="D320" s="25"/>
      <c r="E320" s="19"/>
      <c r="F320" s="19"/>
      <c r="G320" s="16"/>
      <c r="H320" s="16"/>
      <c r="I320" s="90"/>
      <c r="J320" s="38"/>
      <c r="K320" s="43"/>
      <c r="L320" s="19"/>
      <c r="M320" s="16"/>
    </row>
    <row r="321" spans="1:13" ht="12.75">
      <c r="A321" s="36"/>
      <c r="B321" s="67"/>
      <c r="C321" s="22"/>
      <c r="D321" s="25"/>
      <c r="E321" s="19"/>
      <c r="F321" s="19"/>
      <c r="G321" s="16"/>
      <c r="H321" s="16"/>
      <c r="I321" s="90"/>
      <c r="J321" s="38"/>
      <c r="K321" s="43"/>
      <c r="L321" s="19"/>
      <c r="M321" s="16"/>
    </row>
    <row r="322" spans="1:13" ht="12.75">
      <c r="A322" s="36"/>
      <c r="B322" s="67"/>
      <c r="C322" s="22"/>
      <c r="D322" s="25"/>
      <c r="E322" s="19"/>
      <c r="F322" s="19"/>
      <c r="G322" s="16"/>
      <c r="H322" s="16"/>
      <c r="I322" s="90"/>
      <c r="J322" s="38"/>
      <c r="K322" s="43"/>
      <c r="L322" s="19"/>
      <c r="M322" s="16"/>
    </row>
    <row r="323" spans="1:13" ht="12.75">
      <c r="A323" s="36"/>
      <c r="B323" s="67"/>
      <c r="C323" s="22"/>
      <c r="D323" s="25"/>
      <c r="E323" s="19"/>
      <c r="F323" s="19"/>
      <c r="G323" s="16"/>
      <c r="H323" s="16"/>
      <c r="I323" s="90"/>
      <c r="J323" s="38"/>
      <c r="K323" s="43"/>
      <c r="L323" s="19"/>
      <c r="M323" s="16"/>
    </row>
    <row r="324" spans="1:13" ht="12.75">
      <c r="A324" s="36"/>
      <c r="B324" s="67"/>
      <c r="C324" s="22"/>
      <c r="D324" s="25"/>
      <c r="E324" s="19"/>
      <c r="F324" s="19"/>
      <c r="G324" s="16"/>
      <c r="H324" s="16"/>
      <c r="I324" s="90"/>
      <c r="J324" s="38"/>
      <c r="K324" s="43"/>
      <c r="L324" s="19"/>
      <c r="M324" s="16"/>
    </row>
    <row r="325" spans="1:13" ht="12.75">
      <c r="A325" s="36"/>
      <c r="B325" s="67"/>
      <c r="C325" s="22"/>
      <c r="D325" s="25"/>
      <c r="E325" s="19"/>
      <c r="F325" s="19"/>
      <c r="G325" s="16"/>
      <c r="H325" s="16"/>
      <c r="I325" s="90"/>
      <c r="J325" s="38"/>
      <c r="K325" s="43"/>
      <c r="L325" s="19"/>
      <c r="M325" s="16"/>
    </row>
    <row r="326" spans="1:13" ht="12.75">
      <c r="A326" s="36"/>
      <c r="B326" s="67"/>
      <c r="C326" s="22"/>
      <c r="D326" s="25"/>
      <c r="E326" s="19"/>
      <c r="F326" s="19"/>
      <c r="G326" s="16"/>
      <c r="H326" s="16"/>
      <c r="I326" s="90"/>
      <c r="J326" s="38"/>
      <c r="K326" s="43"/>
      <c r="L326" s="19"/>
      <c r="M326" s="16"/>
    </row>
    <row r="327" spans="1:13" ht="12.75">
      <c r="A327" s="36"/>
      <c r="B327" s="67"/>
      <c r="C327" s="22"/>
      <c r="D327" s="25"/>
      <c r="E327" s="19"/>
      <c r="F327" s="19"/>
      <c r="G327" s="16"/>
      <c r="H327" s="16"/>
      <c r="I327" s="90"/>
      <c r="J327" s="38"/>
      <c r="K327" s="43"/>
      <c r="L327" s="19"/>
      <c r="M327" s="16"/>
    </row>
    <row r="328" spans="1:13" ht="12.75">
      <c r="A328" s="36"/>
      <c r="B328" s="67"/>
      <c r="C328" s="22"/>
      <c r="D328" s="25"/>
      <c r="E328" s="19"/>
      <c r="F328" s="19"/>
      <c r="G328" s="16"/>
      <c r="H328" s="16"/>
      <c r="I328" s="90"/>
      <c r="J328" s="38"/>
      <c r="K328" s="43"/>
      <c r="L328" s="19"/>
      <c r="M328" s="16"/>
    </row>
    <row r="329" spans="1:13" ht="12.75">
      <c r="A329" s="36"/>
      <c r="B329" s="67"/>
      <c r="C329" s="22"/>
      <c r="D329" s="25"/>
      <c r="E329" s="19"/>
      <c r="F329" s="19"/>
      <c r="G329" s="16"/>
      <c r="H329" s="16"/>
      <c r="I329" s="90"/>
      <c r="J329" s="38"/>
      <c r="K329" s="43"/>
      <c r="L329" s="19"/>
      <c r="M329" s="16"/>
    </row>
    <row r="330" spans="1:13" ht="12.75">
      <c r="A330" s="36"/>
      <c r="B330" s="67"/>
      <c r="C330" s="22"/>
      <c r="D330" s="25"/>
      <c r="E330" s="19"/>
      <c r="F330" s="19"/>
      <c r="G330" s="16"/>
      <c r="H330" s="16"/>
      <c r="I330" s="90"/>
      <c r="J330" s="38"/>
      <c r="K330" s="43"/>
      <c r="L330" s="19"/>
      <c r="M330" s="16"/>
    </row>
    <row r="331" spans="1:13" ht="12.75">
      <c r="A331" s="36"/>
      <c r="B331" s="67"/>
      <c r="C331" s="22"/>
      <c r="D331" s="25"/>
      <c r="E331" s="19"/>
      <c r="F331" s="19"/>
      <c r="G331" s="16"/>
      <c r="H331" s="16"/>
      <c r="I331" s="90"/>
      <c r="J331" s="38"/>
      <c r="K331" s="43"/>
      <c r="L331" s="19"/>
      <c r="M331" s="16"/>
    </row>
    <row r="332" spans="1:13" ht="12.75">
      <c r="A332" s="36"/>
      <c r="B332" s="67"/>
      <c r="C332" s="22"/>
      <c r="D332" s="25"/>
      <c r="E332" s="19"/>
      <c r="F332" s="19"/>
      <c r="G332" s="16"/>
      <c r="H332" s="16"/>
      <c r="I332" s="90"/>
      <c r="J332" s="38"/>
      <c r="K332" s="43"/>
      <c r="L332" s="19"/>
      <c r="M332" s="16"/>
    </row>
    <row r="333" spans="1:13" ht="12.75">
      <c r="A333" s="36"/>
      <c r="B333" s="67"/>
      <c r="C333" s="22"/>
      <c r="D333" s="25"/>
      <c r="E333" s="19"/>
      <c r="F333" s="19"/>
      <c r="G333" s="16"/>
      <c r="H333" s="16"/>
      <c r="I333" s="90"/>
      <c r="J333" s="38"/>
      <c r="K333" s="43"/>
      <c r="L333" s="19"/>
      <c r="M333" s="16"/>
    </row>
    <row r="334" spans="1:13" ht="12.75">
      <c r="A334" s="36"/>
      <c r="B334" s="67"/>
      <c r="C334" s="22"/>
      <c r="D334" s="25"/>
      <c r="E334" s="19"/>
      <c r="F334" s="19"/>
      <c r="G334" s="16"/>
      <c r="H334" s="16"/>
      <c r="I334" s="90"/>
      <c r="J334" s="38"/>
      <c r="K334" s="43"/>
      <c r="L334" s="19"/>
      <c r="M334" s="16"/>
    </row>
    <row r="335" spans="1:13" ht="12.75">
      <c r="A335" s="36"/>
      <c r="B335" s="67"/>
      <c r="C335" s="22"/>
      <c r="D335" s="25"/>
      <c r="E335" s="19"/>
      <c r="F335" s="19"/>
      <c r="G335" s="16"/>
      <c r="H335" s="16"/>
      <c r="I335" s="90"/>
      <c r="J335" s="38"/>
      <c r="K335" s="43"/>
      <c r="L335" s="19"/>
      <c r="M335" s="16"/>
    </row>
    <row r="336" spans="1:13" ht="12.75">
      <c r="A336" s="36"/>
      <c r="B336" s="67"/>
      <c r="C336" s="22"/>
      <c r="D336" s="25"/>
      <c r="E336" s="19"/>
      <c r="F336" s="19"/>
      <c r="G336" s="16"/>
      <c r="H336" s="16"/>
      <c r="I336" s="90"/>
      <c r="J336" s="38"/>
      <c r="K336" s="43"/>
      <c r="L336" s="19"/>
      <c r="M336" s="16"/>
    </row>
    <row r="337" spans="1:13" ht="12.75">
      <c r="A337" s="36"/>
      <c r="B337" s="67"/>
      <c r="C337" s="22"/>
      <c r="D337" s="25"/>
      <c r="E337" s="19"/>
      <c r="F337" s="19"/>
      <c r="G337" s="16"/>
      <c r="H337" s="16"/>
      <c r="I337" s="90"/>
      <c r="J337" s="38"/>
      <c r="K337" s="43"/>
      <c r="L337" s="19"/>
      <c r="M337" s="16"/>
    </row>
    <row r="338" spans="1:13" ht="12.75">
      <c r="A338" s="36"/>
      <c r="B338" s="67"/>
      <c r="C338" s="22"/>
      <c r="D338" s="25"/>
      <c r="E338" s="19"/>
      <c r="F338" s="19"/>
      <c r="G338" s="16"/>
      <c r="H338" s="16"/>
      <c r="I338" s="90"/>
      <c r="J338" s="38"/>
      <c r="K338" s="43"/>
      <c r="L338" s="19"/>
      <c r="M338" s="16"/>
    </row>
    <row r="339" spans="1:13" ht="12.75">
      <c r="A339" s="36"/>
      <c r="B339" s="67"/>
      <c r="C339" s="22"/>
      <c r="D339" s="25"/>
      <c r="E339" s="19"/>
      <c r="F339" s="19"/>
      <c r="G339" s="16"/>
      <c r="H339" s="16"/>
      <c r="I339" s="90"/>
      <c r="J339" s="38"/>
      <c r="K339" s="43"/>
      <c r="L339" s="19"/>
      <c r="M339" s="16"/>
    </row>
    <row r="340" spans="1:13" ht="12.75">
      <c r="A340" s="36"/>
      <c r="B340" s="67"/>
      <c r="C340" s="22"/>
      <c r="D340" s="25"/>
      <c r="E340" s="19"/>
      <c r="F340" s="19"/>
      <c r="G340" s="16"/>
      <c r="H340" s="16"/>
      <c r="I340" s="90"/>
      <c r="J340" s="38"/>
      <c r="K340" s="43"/>
      <c r="L340" s="19"/>
      <c r="M340" s="16"/>
    </row>
    <row r="341" spans="1:13" ht="12.75">
      <c r="A341" s="36"/>
      <c r="B341" s="67"/>
      <c r="C341" s="22"/>
      <c r="D341" s="25"/>
      <c r="E341" s="19"/>
      <c r="F341" s="19"/>
      <c r="G341" s="16"/>
      <c r="H341" s="16"/>
      <c r="I341" s="90"/>
      <c r="J341" s="38"/>
      <c r="K341" s="43"/>
      <c r="L341" s="19"/>
      <c r="M341" s="16"/>
    </row>
    <row r="342" spans="1:13" ht="12.75">
      <c r="A342" s="36"/>
      <c r="B342" s="67"/>
      <c r="C342" s="22"/>
      <c r="D342" s="25"/>
      <c r="E342" s="19"/>
      <c r="F342" s="19"/>
      <c r="G342" s="16"/>
      <c r="H342" s="16"/>
      <c r="I342" s="90"/>
      <c r="J342" s="38"/>
      <c r="K342" s="43"/>
      <c r="L342" s="19"/>
      <c r="M342" s="16"/>
    </row>
    <row r="343" spans="1:13" ht="12.75">
      <c r="A343" s="36"/>
      <c r="B343" s="67"/>
      <c r="C343" s="22"/>
      <c r="D343" s="25"/>
      <c r="E343" s="19"/>
      <c r="F343" s="19"/>
      <c r="G343" s="16"/>
      <c r="H343" s="16"/>
      <c r="I343" s="90"/>
      <c r="J343" s="38"/>
      <c r="K343" s="43"/>
      <c r="L343" s="19"/>
      <c r="M343" s="16"/>
    </row>
    <row r="344" spans="1:13" ht="12.75">
      <c r="A344" s="36"/>
      <c r="B344" s="67"/>
      <c r="C344" s="22"/>
      <c r="D344" s="25"/>
      <c r="E344" s="19"/>
      <c r="F344" s="19"/>
      <c r="G344" s="16"/>
      <c r="H344" s="16"/>
      <c r="I344" s="90"/>
      <c r="J344" s="38"/>
      <c r="K344" s="43"/>
      <c r="L344" s="19"/>
      <c r="M344" s="16"/>
    </row>
    <row r="345" spans="1:13" ht="12.75">
      <c r="A345" s="36"/>
      <c r="B345" s="67"/>
      <c r="C345" s="22"/>
      <c r="D345" s="25"/>
      <c r="E345" s="19"/>
      <c r="F345" s="19"/>
      <c r="G345" s="16"/>
      <c r="H345" s="16"/>
      <c r="I345" s="90"/>
      <c r="J345" s="38"/>
      <c r="K345" s="43"/>
      <c r="L345" s="19"/>
      <c r="M345" s="16"/>
    </row>
    <row r="346" spans="1:13" ht="12.75">
      <c r="A346" s="36"/>
      <c r="B346" s="67"/>
      <c r="C346" s="22"/>
      <c r="D346" s="25"/>
      <c r="E346" s="19"/>
      <c r="F346" s="19"/>
      <c r="G346" s="16"/>
      <c r="H346" s="16"/>
      <c r="I346" s="90"/>
      <c r="J346" s="38"/>
      <c r="K346" s="43"/>
      <c r="L346" s="19"/>
      <c r="M346" s="16"/>
    </row>
    <row r="347" spans="1:13" ht="12.75">
      <c r="A347" s="36"/>
      <c r="B347" s="67"/>
      <c r="C347" s="22"/>
      <c r="D347" s="25"/>
      <c r="E347" s="19"/>
      <c r="F347" s="19"/>
      <c r="G347" s="16"/>
      <c r="H347" s="16"/>
      <c r="I347" s="90"/>
      <c r="J347" s="38"/>
      <c r="K347" s="43"/>
      <c r="L347" s="19"/>
      <c r="M347" s="16"/>
    </row>
    <row r="348" spans="1:13" ht="12.75">
      <c r="A348" s="36"/>
      <c r="B348" s="67"/>
      <c r="C348" s="22"/>
      <c r="D348" s="25"/>
      <c r="E348" s="19"/>
      <c r="F348" s="19"/>
      <c r="G348" s="16"/>
      <c r="H348" s="16"/>
      <c r="I348" s="90"/>
      <c r="J348" s="38"/>
      <c r="K348" s="43"/>
      <c r="L348" s="19"/>
      <c r="M348" s="16"/>
    </row>
    <row r="349" spans="1:13" ht="12.75">
      <c r="A349" s="36"/>
      <c r="B349" s="67"/>
      <c r="C349" s="22"/>
      <c r="D349" s="25"/>
      <c r="E349" s="19"/>
      <c r="F349" s="19"/>
      <c r="G349" s="16"/>
      <c r="H349" s="16"/>
      <c r="I349" s="90"/>
      <c r="J349" s="38"/>
      <c r="K349" s="43"/>
      <c r="L349" s="19"/>
      <c r="M349" s="16"/>
    </row>
    <row r="350" spans="1:13" ht="12.75">
      <c r="A350" s="36"/>
      <c r="B350" s="67"/>
      <c r="C350" s="22"/>
      <c r="D350" s="25"/>
      <c r="E350" s="19"/>
      <c r="F350" s="19"/>
      <c r="G350" s="16"/>
      <c r="H350" s="16"/>
      <c r="I350" s="90"/>
      <c r="J350" s="38"/>
      <c r="K350" s="43"/>
      <c r="L350" s="19"/>
      <c r="M350" s="16"/>
    </row>
    <row r="351" spans="1:13" ht="12.75">
      <c r="A351" s="36"/>
      <c r="B351" s="67"/>
      <c r="C351" s="22"/>
      <c r="D351" s="25"/>
      <c r="E351" s="19"/>
      <c r="F351" s="19"/>
      <c r="G351" s="16"/>
      <c r="H351" s="16"/>
      <c r="I351" s="90"/>
      <c r="J351" s="38"/>
      <c r="K351" s="43"/>
      <c r="L351" s="19"/>
      <c r="M351" s="16"/>
    </row>
    <row r="352" spans="1:13" ht="12.75">
      <c r="A352" s="36"/>
      <c r="B352" s="67"/>
      <c r="C352" s="22"/>
      <c r="D352" s="25"/>
      <c r="E352" s="19"/>
      <c r="F352" s="19"/>
      <c r="G352" s="16"/>
      <c r="H352" s="16"/>
      <c r="I352" s="90"/>
      <c r="J352" s="38"/>
      <c r="K352" s="43"/>
      <c r="L352" s="19"/>
      <c r="M352" s="16"/>
    </row>
    <row r="353" spans="1:13" ht="12.75">
      <c r="A353" s="36"/>
      <c r="B353" s="67"/>
      <c r="C353" s="22"/>
      <c r="D353" s="25"/>
      <c r="E353" s="19"/>
      <c r="F353" s="19"/>
      <c r="G353" s="16"/>
      <c r="H353" s="16"/>
      <c r="I353" s="90"/>
      <c r="J353" s="38"/>
      <c r="K353" s="43"/>
      <c r="L353" s="19"/>
      <c r="M353" s="16"/>
    </row>
    <row r="354" spans="1:13" ht="12.75">
      <c r="A354" s="36"/>
      <c r="B354" s="67"/>
      <c r="C354" s="22"/>
      <c r="D354" s="25"/>
      <c r="E354" s="19"/>
      <c r="F354" s="19"/>
      <c r="G354" s="16"/>
      <c r="H354" s="16"/>
      <c r="I354" s="90"/>
      <c r="J354" s="38"/>
      <c r="K354" s="43"/>
      <c r="L354" s="19"/>
      <c r="M354" s="16"/>
    </row>
    <row r="355" spans="1:13" ht="12.75">
      <c r="A355" s="36"/>
      <c r="B355" s="67"/>
      <c r="C355" s="22"/>
      <c r="D355" s="25"/>
      <c r="E355" s="19"/>
      <c r="F355" s="19"/>
      <c r="G355" s="16"/>
      <c r="H355" s="16"/>
      <c r="I355" s="90"/>
      <c r="J355" s="38"/>
      <c r="K355" s="43"/>
      <c r="L355" s="19"/>
      <c r="M355" s="16"/>
    </row>
    <row r="356" spans="1:13" ht="12.75">
      <c r="A356" s="36"/>
      <c r="B356" s="67"/>
      <c r="C356" s="22"/>
      <c r="D356" s="25"/>
      <c r="E356" s="19"/>
      <c r="F356" s="19"/>
      <c r="G356" s="16"/>
      <c r="H356" s="16"/>
      <c r="I356" s="90"/>
      <c r="J356" s="38"/>
      <c r="K356" s="43"/>
      <c r="L356" s="19"/>
      <c r="M356" s="16"/>
    </row>
    <row r="357" spans="1:13" ht="12.75">
      <c r="A357" s="36"/>
      <c r="B357" s="67"/>
      <c r="C357" s="22"/>
      <c r="D357" s="25"/>
      <c r="E357" s="19"/>
      <c r="F357" s="19"/>
      <c r="G357" s="16"/>
      <c r="H357" s="16"/>
      <c r="I357" s="90"/>
      <c r="J357" s="38"/>
      <c r="K357" s="43"/>
      <c r="L357" s="19"/>
      <c r="M357" s="16"/>
    </row>
    <row r="358" spans="1:13" ht="12.75">
      <c r="A358" s="36"/>
      <c r="B358" s="67"/>
      <c r="C358" s="22"/>
      <c r="D358" s="25"/>
      <c r="E358" s="19"/>
      <c r="F358" s="19"/>
      <c r="G358" s="16"/>
      <c r="H358" s="16"/>
      <c r="I358" s="90"/>
      <c r="J358" s="38"/>
      <c r="K358" s="43"/>
      <c r="L358" s="19"/>
      <c r="M358" s="16"/>
    </row>
    <row r="359" spans="1:13" ht="12.75">
      <c r="A359" s="36"/>
      <c r="B359" s="67"/>
      <c r="C359" s="22"/>
      <c r="D359" s="25"/>
      <c r="E359" s="19"/>
      <c r="F359" s="19"/>
      <c r="G359" s="16"/>
      <c r="H359" s="16"/>
      <c r="I359" s="90"/>
      <c r="J359" s="38"/>
      <c r="K359" s="43"/>
      <c r="L359" s="19"/>
      <c r="M359" s="16"/>
    </row>
    <row r="360" spans="1:13" ht="12.75">
      <c r="A360" s="36"/>
      <c r="B360" s="67"/>
      <c r="C360" s="22"/>
      <c r="D360" s="25"/>
      <c r="E360" s="19"/>
      <c r="F360" s="19"/>
      <c r="G360" s="16"/>
      <c r="H360" s="16"/>
      <c r="I360" s="90"/>
      <c r="J360" s="38"/>
      <c r="K360" s="43"/>
      <c r="L360" s="19"/>
      <c r="M360" s="16"/>
    </row>
    <row r="361" spans="1:13" ht="12.75">
      <c r="A361" s="36"/>
      <c r="B361" s="67"/>
      <c r="C361" s="22"/>
      <c r="D361" s="25"/>
      <c r="E361" s="19"/>
      <c r="F361" s="19"/>
      <c r="G361" s="16"/>
      <c r="H361" s="16"/>
      <c r="I361" s="90"/>
      <c r="J361" s="38"/>
      <c r="K361" s="43"/>
      <c r="L361" s="19"/>
      <c r="M361" s="16"/>
    </row>
    <row r="362" spans="1:13" ht="12.75">
      <c r="A362" s="36"/>
      <c r="B362" s="67"/>
      <c r="C362" s="22"/>
      <c r="D362" s="25"/>
      <c r="E362" s="19"/>
      <c r="F362" s="19"/>
      <c r="G362" s="16"/>
      <c r="H362" s="16"/>
      <c r="I362" s="90"/>
      <c r="J362" s="38"/>
      <c r="K362" s="43"/>
      <c r="L362" s="19"/>
      <c r="M362" s="16"/>
    </row>
    <row r="363" spans="1:13" ht="12.75">
      <c r="A363" s="36"/>
      <c r="B363" s="67"/>
      <c r="C363" s="22"/>
      <c r="D363" s="25"/>
      <c r="E363" s="19"/>
      <c r="F363" s="19"/>
      <c r="G363" s="16"/>
      <c r="H363" s="16"/>
      <c r="I363" s="90"/>
      <c r="J363" s="38"/>
      <c r="K363" s="43"/>
      <c r="L363" s="19"/>
      <c r="M363" s="16"/>
    </row>
    <row r="364" spans="1:13" ht="12.75">
      <c r="A364" s="36"/>
      <c r="B364" s="67"/>
      <c r="C364" s="22"/>
      <c r="D364" s="25"/>
      <c r="E364" s="19"/>
      <c r="F364" s="19"/>
      <c r="G364" s="16"/>
      <c r="H364" s="16"/>
      <c r="I364" s="90"/>
      <c r="J364" s="38"/>
      <c r="K364" s="43"/>
      <c r="L364" s="19"/>
      <c r="M364" s="16"/>
    </row>
    <row r="365" spans="1:13" ht="12.75">
      <c r="A365" s="36"/>
      <c r="B365" s="67"/>
      <c r="C365" s="22"/>
      <c r="D365" s="25"/>
      <c r="E365" s="19"/>
      <c r="F365" s="19"/>
      <c r="G365" s="16"/>
      <c r="H365" s="16"/>
      <c r="I365" s="90"/>
      <c r="J365" s="38"/>
      <c r="K365" s="43"/>
      <c r="L365" s="19"/>
      <c r="M365" s="16"/>
    </row>
    <row r="366" spans="1:13" ht="12.75">
      <c r="A366" s="36"/>
      <c r="B366" s="67"/>
      <c r="C366" s="22"/>
      <c r="D366" s="25"/>
      <c r="E366" s="19"/>
      <c r="F366" s="19"/>
      <c r="G366" s="16"/>
      <c r="H366" s="16"/>
      <c r="I366" s="90"/>
      <c r="J366" s="38"/>
      <c r="K366" s="43"/>
      <c r="L366" s="19"/>
      <c r="M366" s="16"/>
    </row>
    <row r="367" spans="1:13" ht="12.75">
      <c r="A367" s="36"/>
      <c r="B367" s="67"/>
      <c r="C367" s="22"/>
      <c r="D367" s="25"/>
      <c r="E367" s="19"/>
      <c r="F367" s="19"/>
      <c r="G367" s="16"/>
      <c r="H367" s="16"/>
      <c r="I367" s="90"/>
      <c r="J367" s="38"/>
      <c r="K367" s="43"/>
      <c r="L367" s="19"/>
      <c r="M367" s="16"/>
    </row>
    <row r="368" spans="1:13" ht="12.75">
      <c r="A368" s="36"/>
      <c r="B368" s="67"/>
      <c r="C368" s="22"/>
      <c r="D368" s="25"/>
      <c r="E368" s="19"/>
      <c r="F368" s="19"/>
      <c r="G368" s="16"/>
      <c r="H368" s="16"/>
      <c r="I368" s="90"/>
      <c r="J368" s="38"/>
      <c r="K368" s="43"/>
      <c r="L368" s="19"/>
      <c r="M368" s="16"/>
    </row>
    <row r="369" spans="1:13" ht="12.75">
      <c r="A369" s="36"/>
      <c r="B369" s="67"/>
      <c r="C369" s="22"/>
      <c r="D369" s="25"/>
      <c r="E369" s="19"/>
      <c r="F369" s="19"/>
      <c r="G369" s="16"/>
      <c r="H369" s="16"/>
      <c r="I369" s="90"/>
      <c r="J369" s="38"/>
      <c r="K369" s="43"/>
      <c r="L369" s="19"/>
      <c r="M369" s="16"/>
    </row>
    <row r="370" spans="1:13" ht="12.75">
      <c r="A370" s="36"/>
      <c r="B370" s="67"/>
      <c r="C370" s="22"/>
      <c r="D370" s="25"/>
      <c r="E370" s="19"/>
      <c r="F370" s="19"/>
      <c r="G370" s="16"/>
      <c r="H370" s="16"/>
      <c r="I370" s="90"/>
      <c r="J370" s="38"/>
      <c r="K370" s="43"/>
      <c r="L370" s="19"/>
      <c r="M370" s="16"/>
    </row>
    <row r="371" spans="1:13" ht="12.75">
      <c r="A371" s="36"/>
      <c r="B371" s="67"/>
      <c r="C371" s="22"/>
      <c r="D371" s="25"/>
      <c r="E371" s="19"/>
      <c r="F371" s="19"/>
      <c r="G371" s="16"/>
      <c r="H371" s="16"/>
      <c r="I371" s="90"/>
      <c r="J371" s="38"/>
      <c r="K371" s="43"/>
      <c r="L371" s="19"/>
      <c r="M371" s="16"/>
    </row>
    <row r="372" spans="1:13" ht="12.75">
      <c r="A372" s="36"/>
      <c r="B372" s="67"/>
      <c r="C372" s="22"/>
      <c r="D372" s="25"/>
      <c r="E372" s="19"/>
      <c r="F372" s="19"/>
      <c r="G372" s="16"/>
      <c r="H372" s="16"/>
      <c r="I372" s="90"/>
      <c r="J372" s="38"/>
      <c r="K372" s="43"/>
      <c r="L372" s="19"/>
      <c r="M372" s="16"/>
    </row>
    <row r="373" spans="1:13" ht="12.75">
      <c r="A373" s="36"/>
      <c r="B373" s="67"/>
      <c r="C373" s="22"/>
      <c r="D373" s="25"/>
      <c r="E373" s="19"/>
      <c r="F373" s="19"/>
      <c r="G373" s="16"/>
      <c r="H373" s="16"/>
      <c r="I373" s="90"/>
      <c r="J373" s="38"/>
      <c r="K373" s="43"/>
      <c r="L373" s="19"/>
      <c r="M373" s="16"/>
    </row>
    <row r="374" spans="1:13" ht="12.75">
      <c r="A374" s="36"/>
      <c r="B374" s="67"/>
      <c r="C374" s="22"/>
      <c r="D374" s="25"/>
      <c r="E374" s="19"/>
      <c r="F374" s="19"/>
      <c r="G374" s="16"/>
      <c r="H374" s="16"/>
      <c r="I374" s="90"/>
      <c r="J374" s="38"/>
      <c r="K374" s="43"/>
      <c r="L374" s="19"/>
      <c r="M374" s="16"/>
    </row>
    <row r="375" spans="1:13" ht="12.75">
      <c r="A375" s="36"/>
      <c r="B375" s="67"/>
      <c r="C375" s="22"/>
      <c r="D375" s="25"/>
      <c r="E375" s="19"/>
      <c r="F375" s="19"/>
      <c r="G375" s="16"/>
      <c r="H375" s="16"/>
      <c r="I375" s="90"/>
      <c r="J375" s="38"/>
      <c r="K375" s="43"/>
      <c r="L375" s="19"/>
      <c r="M375" s="16"/>
    </row>
    <row r="376" spans="1:13" ht="12.75">
      <c r="A376" s="36"/>
      <c r="B376" s="67"/>
      <c r="C376" s="22"/>
      <c r="D376" s="25"/>
      <c r="E376" s="19"/>
      <c r="F376" s="19"/>
      <c r="G376" s="16"/>
      <c r="H376" s="16"/>
      <c r="I376" s="90"/>
      <c r="J376" s="38"/>
      <c r="K376" s="43"/>
      <c r="L376" s="19"/>
      <c r="M376" s="16"/>
    </row>
    <row r="377" spans="1:13" ht="12.75">
      <c r="A377" s="36"/>
      <c r="B377" s="67"/>
      <c r="C377" s="22"/>
      <c r="D377" s="25"/>
      <c r="E377" s="19"/>
      <c r="F377" s="19"/>
      <c r="G377" s="16"/>
      <c r="H377" s="16"/>
      <c r="I377" s="90"/>
      <c r="J377" s="38"/>
      <c r="K377" s="43"/>
      <c r="L377" s="19"/>
      <c r="M377" s="16"/>
    </row>
    <row r="378" spans="1:13" ht="12.75">
      <c r="A378" s="36"/>
      <c r="B378" s="67"/>
      <c r="C378" s="22"/>
      <c r="D378" s="25"/>
      <c r="E378" s="19"/>
      <c r="F378" s="19"/>
      <c r="G378" s="16"/>
      <c r="H378" s="16"/>
      <c r="I378" s="90"/>
      <c r="J378" s="38"/>
      <c r="K378" s="43"/>
      <c r="L378" s="19"/>
      <c r="M378" s="16"/>
    </row>
    <row r="379" spans="1:13" ht="12.75">
      <c r="A379" s="36"/>
      <c r="B379" s="67"/>
      <c r="C379" s="22"/>
      <c r="D379" s="25"/>
      <c r="E379" s="19"/>
      <c r="F379" s="19"/>
      <c r="G379" s="16"/>
      <c r="H379" s="16"/>
      <c r="I379" s="90"/>
      <c r="J379" s="38"/>
      <c r="K379" s="43"/>
      <c r="L379" s="19"/>
      <c r="M379" s="16"/>
    </row>
    <row r="380" spans="1:13" ht="12.75">
      <c r="A380" s="36"/>
      <c r="B380" s="67"/>
      <c r="C380" s="22"/>
      <c r="D380" s="25"/>
      <c r="E380" s="19"/>
      <c r="F380" s="19"/>
      <c r="G380" s="16"/>
      <c r="H380" s="16"/>
      <c r="I380" s="90"/>
      <c r="J380" s="38"/>
      <c r="K380" s="43"/>
      <c r="L380" s="19"/>
      <c r="M380" s="16"/>
    </row>
    <row r="381" spans="1:13" ht="12.75">
      <c r="A381" s="36"/>
      <c r="B381" s="67"/>
      <c r="C381" s="22"/>
      <c r="D381" s="25"/>
      <c r="E381" s="19"/>
      <c r="F381" s="19"/>
      <c r="G381" s="16"/>
      <c r="H381" s="16"/>
      <c r="I381" s="90"/>
      <c r="J381" s="38"/>
      <c r="K381" s="43"/>
      <c r="L381" s="19"/>
      <c r="M381" s="16"/>
    </row>
    <row r="382" spans="1:13" ht="12.75">
      <c r="A382" s="36"/>
      <c r="B382" s="67"/>
      <c r="C382" s="22"/>
      <c r="D382" s="25"/>
      <c r="E382" s="19"/>
      <c r="F382" s="19"/>
      <c r="G382" s="16"/>
      <c r="H382" s="16"/>
      <c r="I382" s="90"/>
      <c r="J382" s="38"/>
      <c r="K382" s="43"/>
      <c r="L382" s="19"/>
      <c r="M382" s="16"/>
    </row>
    <row r="383" spans="1:13" ht="12.75">
      <c r="A383" s="36"/>
      <c r="B383" s="67"/>
      <c r="C383" s="22"/>
      <c r="D383" s="25"/>
      <c r="E383" s="19"/>
      <c r="F383" s="19"/>
      <c r="G383" s="16"/>
      <c r="H383" s="16"/>
      <c r="I383" s="90"/>
      <c r="J383" s="38"/>
      <c r="K383" s="43"/>
      <c r="L383" s="19"/>
      <c r="M383" s="16"/>
    </row>
    <row r="384" spans="1:13" ht="12.75">
      <c r="A384" s="36"/>
      <c r="B384" s="67"/>
      <c r="C384" s="22"/>
      <c r="D384" s="25"/>
      <c r="E384" s="19"/>
      <c r="F384" s="19"/>
      <c r="G384" s="16"/>
      <c r="H384" s="16"/>
      <c r="I384" s="90"/>
      <c r="J384" s="38"/>
      <c r="K384" s="43"/>
      <c r="L384" s="19"/>
      <c r="M384" s="16"/>
    </row>
    <row r="385" spans="1:13" ht="12.75">
      <c r="A385" s="36"/>
      <c r="B385" s="67"/>
      <c r="C385" s="22"/>
      <c r="D385" s="25"/>
      <c r="E385" s="19"/>
      <c r="F385" s="19"/>
      <c r="G385" s="16"/>
      <c r="H385" s="16"/>
      <c r="I385" s="90"/>
      <c r="J385" s="38"/>
      <c r="K385" s="43"/>
      <c r="L385" s="19"/>
      <c r="M385" s="16"/>
    </row>
    <row r="386" spans="1:13" ht="12.75">
      <c r="A386" s="36"/>
      <c r="B386" s="67"/>
      <c r="C386" s="22"/>
      <c r="D386" s="25"/>
      <c r="E386" s="19"/>
      <c r="F386" s="19"/>
      <c r="G386" s="16"/>
      <c r="H386" s="16"/>
      <c r="I386" s="90"/>
      <c r="J386" s="38"/>
      <c r="K386" s="43"/>
      <c r="L386" s="19"/>
      <c r="M386" s="16"/>
    </row>
    <row r="387" spans="1:13" ht="12.75">
      <c r="A387" s="36"/>
      <c r="B387" s="67"/>
      <c r="C387" s="22"/>
      <c r="D387" s="25"/>
      <c r="E387" s="19"/>
      <c r="F387" s="19"/>
      <c r="G387" s="16"/>
      <c r="H387" s="16"/>
      <c r="I387" s="90"/>
      <c r="J387" s="38"/>
      <c r="K387" s="43"/>
      <c r="L387" s="19"/>
      <c r="M387" s="16"/>
    </row>
    <row r="388" spans="1:13" ht="12.75">
      <c r="A388" s="36"/>
      <c r="B388" s="67"/>
      <c r="C388" s="22"/>
      <c r="D388" s="25"/>
      <c r="E388" s="19"/>
      <c r="F388" s="19"/>
      <c r="G388" s="16"/>
      <c r="H388" s="16"/>
      <c r="I388" s="90"/>
      <c r="J388" s="38"/>
      <c r="K388" s="43"/>
      <c r="L388" s="19"/>
      <c r="M388" s="16"/>
    </row>
    <row r="389" spans="1:13" ht="12.75">
      <c r="A389" s="36"/>
      <c r="B389" s="67"/>
      <c r="C389" s="22"/>
      <c r="D389" s="25"/>
      <c r="E389" s="19"/>
      <c r="F389" s="19"/>
      <c r="G389" s="16"/>
      <c r="H389" s="16"/>
      <c r="I389" s="90"/>
      <c r="J389" s="38"/>
      <c r="K389" s="43"/>
      <c r="L389" s="19"/>
      <c r="M389" s="16"/>
    </row>
    <row r="390" spans="1:13" ht="12.75">
      <c r="A390" s="36"/>
      <c r="B390" s="67"/>
      <c r="C390" s="22"/>
      <c r="D390" s="25"/>
      <c r="E390" s="19"/>
      <c r="F390" s="19"/>
      <c r="G390" s="16"/>
      <c r="H390" s="16"/>
      <c r="I390" s="90"/>
      <c r="J390" s="38"/>
      <c r="K390" s="43"/>
      <c r="L390" s="19"/>
      <c r="M390" s="16"/>
    </row>
    <row r="391" spans="1:13" ht="12.75">
      <c r="A391" s="36"/>
      <c r="B391" s="67"/>
      <c r="C391" s="22"/>
      <c r="D391" s="25"/>
      <c r="E391" s="19"/>
      <c r="F391" s="19"/>
      <c r="G391" s="16"/>
      <c r="H391" s="16"/>
      <c r="I391" s="90"/>
      <c r="J391" s="38"/>
      <c r="K391" s="43"/>
      <c r="L391" s="19"/>
      <c r="M391" s="16"/>
    </row>
    <row r="392" spans="1:13" ht="12.75">
      <c r="A392" s="36"/>
      <c r="B392" s="67"/>
      <c r="C392" s="22"/>
      <c r="D392" s="25"/>
      <c r="E392" s="19"/>
      <c r="F392" s="19"/>
      <c r="G392" s="16"/>
      <c r="H392" s="16"/>
      <c r="I392" s="90"/>
      <c r="J392" s="38"/>
      <c r="K392" s="43"/>
      <c r="L392" s="19"/>
      <c r="M392" s="16"/>
    </row>
    <row r="393" spans="1:13" ht="12.75">
      <c r="A393" s="36"/>
      <c r="B393" s="67"/>
      <c r="C393" s="22"/>
      <c r="D393" s="25"/>
      <c r="E393" s="19"/>
      <c r="F393" s="19"/>
      <c r="G393" s="16"/>
      <c r="H393" s="16"/>
      <c r="I393" s="90"/>
      <c r="J393" s="38"/>
      <c r="K393" s="43"/>
      <c r="L393" s="19"/>
      <c r="M393" s="16"/>
    </row>
    <row r="394" spans="1:13" ht="12.75">
      <c r="A394" s="36"/>
      <c r="B394" s="67"/>
      <c r="C394" s="22"/>
      <c r="D394" s="25"/>
      <c r="E394" s="19"/>
      <c r="F394" s="19"/>
      <c r="G394" s="16"/>
      <c r="H394" s="16"/>
      <c r="I394" s="90"/>
      <c r="J394" s="38"/>
      <c r="K394" s="43"/>
      <c r="L394" s="19"/>
      <c r="M394" s="16"/>
    </row>
    <row r="395" spans="1:13" ht="12.75">
      <c r="A395" s="36"/>
      <c r="B395" s="67"/>
      <c r="C395" s="22"/>
      <c r="D395" s="25"/>
      <c r="E395" s="19"/>
      <c r="F395" s="19"/>
      <c r="G395" s="16"/>
      <c r="H395" s="16"/>
      <c r="I395" s="90"/>
      <c r="J395" s="38"/>
      <c r="K395" s="43"/>
      <c r="L395" s="19"/>
      <c r="M395" s="16"/>
    </row>
    <row r="396" spans="1:13" ht="12.75">
      <c r="A396" s="36"/>
      <c r="B396" s="67"/>
      <c r="C396" s="22"/>
      <c r="D396" s="25"/>
      <c r="E396" s="19"/>
      <c r="F396" s="19"/>
      <c r="G396" s="16"/>
      <c r="H396" s="16"/>
      <c r="I396" s="90"/>
      <c r="J396" s="38"/>
      <c r="K396" s="43"/>
      <c r="L396" s="19"/>
      <c r="M396" s="16"/>
    </row>
    <row r="397" spans="1:13" ht="12.75">
      <c r="A397" s="36"/>
      <c r="B397" s="67"/>
      <c r="C397" s="22"/>
      <c r="D397" s="25"/>
      <c r="E397" s="19"/>
      <c r="F397" s="19"/>
      <c r="G397" s="16"/>
      <c r="H397" s="16"/>
      <c r="I397" s="90"/>
      <c r="J397" s="38"/>
      <c r="K397" s="43"/>
      <c r="L397" s="19"/>
      <c r="M397" s="16"/>
    </row>
    <row r="398" spans="1:13" ht="12.75">
      <c r="A398" s="36"/>
      <c r="B398" s="67"/>
      <c r="C398" s="22"/>
      <c r="D398" s="25"/>
      <c r="E398" s="19"/>
      <c r="F398" s="19"/>
      <c r="G398" s="16"/>
      <c r="H398" s="16"/>
      <c r="I398" s="90"/>
      <c r="J398" s="38"/>
      <c r="K398" s="43"/>
      <c r="L398" s="19"/>
      <c r="M398" s="16"/>
    </row>
    <row r="399" spans="1:13" ht="12.75">
      <c r="A399" s="36"/>
      <c r="B399" s="67"/>
      <c r="C399" s="22"/>
      <c r="D399" s="25"/>
      <c r="E399" s="19"/>
      <c r="F399" s="19"/>
      <c r="G399" s="16"/>
      <c r="H399" s="16"/>
      <c r="I399" s="90"/>
      <c r="J399" s="38"/>
      <c r="K399" s="43"/>
      <c r="L399" s="19"/>
      <c r="M399" s="16"/>
    </row>
    <row r="400" spans="1:13" ht="12.75">
      <c r="A400" s="36"/>
      <c r="B400" s="67"/>
      <c r="C400" s="22"/>
      <c r="D400" s="25"/>
      <c r="E400" s="19"/>
      <c r="F400" s="19"/>
      <c r="G400" s="16"/>
      <c r="H400" s="16"/>
      <c r="I400" s="90"/>
      <c r="J400" s="38"/>
      <c r="K400" s="43"/>
      <c r="L400" s="19"/>
      <c r="M400" s="16"/>
    </row>
    <row r="401" spans="1:13" ht="12.75">
      <c r="A401" s="36"/>
      <c r="B401" s="67"/>
      <c r="C401" s="22"/>
      <c r="D401" s="25"/>
      <c r="E401" s="19"/>
      <c r="F401" s="19"/>
      <c r="G401" s="16"/>
      <c r="H401" s="16"/>
      <c r="I401" s="90"/>
      <c r="J401" s="38"/>
      <c r="K401" s="43"/>
      <c r="L401" s="19"/>
      <c r="M401" s="16"/>
    </row>
    <row r="402" spans="1:13" ht="12.75">
      <c r="A402" s="36"/>
      <c r="B402" s="67"/>
      <c r="C402" s="22"/>
      <c r="D402" s="25"/>
      <c r="E402" s="19"/>
      <c r="F402" s="19"/>
      <c r="G402" s="16"/>
      <c r="H402" s="16"/>
      <c r="I402" s="90"/>
      <c r="J402" s="38"/>
      <c r="K402" s="43"/>
      <c r="L402" s="19"/>
      <c r="M402" s="16"/>
    </row>
    <row r="403" spans="1:13" ht="12.75">
      <c r="A403" s="36"/>
      <c r="B403" s="67"/>
      <c r="C403" s="22"/>
      <c r="D403" s="25"/>
      <c r="E403" s="19"/>
      <c r="F403" s="19"/>
      <c r="G403" s="16"/>
      <c r="H403" s="16"/>
      <c r="I403" s="90"/>
      <c r="J403" s="38"/>
      <c r="K403" s="43"/>
      <c r="L403" s="19"/>
      <c r="M403" s="16"/>
    </row>
    <row r="404" spans="1:13" ht="12.75">
      <c r="A404" s="36"/>
      <c r="B404" s="67"/>
      <c r="C404" s="22"/>
      <c r="D404" s="25"/>
      <c r="E404" s="19"/>
      <c r="F404" s="19"/>
      <c r="G404" s="16"/>
      <c r="H404" s="16"/>
      <c r="I404" s="90"/>
      <c r="J404" s="38"/>
      <c r="K404" s="43"/>
      <c r="L404" s="19"/>
      <c r="M404" s="16"/>
    </row>
    <row r="405" spans="1:13" ht="12.75">
      <c r="A405" s="36"/>
      <c r="B405" s="67"/>
      <c r="C405" s="22"/>
      <c r="D405" s="25"/>
      <c r="E405" s="19"/>
      <c r="F405" s="19"/>
      <c r="G405" s="16"/>
      <c r="H405" s="16"/>
      <c r="I405" s="90"/>
      <c r="J405" s="38"/>
      <c r="K405" s="43"/>
      <c r="L405" s="19"/>
      <c r="M405" s="16"/>
    </row>
    <row r="406" spans="1:13" ht="12.75">
      <c r="A406" s="36"/>
      <c r="B406" s="67"/>
      <c r="C406" s="22"/>
      <c r="D406" s="25"/>
      <c r="E406" s="19"/>
      <c r="F406" s="19"/>
      <c r="G406" s="16"/>
      <c r="H406" s="16"/>
      <c r="I406" s="90"/>
      <c r="J406" s="38"/>
      <c r="K406" s="43"/>
      <c r="L406" s="19"/>
      <c r="M406" s="16"/>
    </row>
    <row r="407" spans="1:13" ht="12.75">
      <c r="A407" s="36"/>
      <c r="B407" s="67"/>
      <c r="C407" s="22"/>
      <c r="D407" s="25"/>
      <c r="E407" s="19"/>
      <c r="F407" s="19"/>
      <c r="G407" s="16"/>
      <c r="H407" s="16"/>
      <c r="I407" s="90"/>
      <c r="J407" s="38"/>
      <c r="K407" s="43"/>
      <c r="L407" s="19"/>
      <c r="M407" s="16"/>
    </row>
    <row r="408" spans="1:13" ht="12.75">
      <c r="A408" s="36"/>
      <c r="B408" s="67"/>
      <c r="C408" s="22"/>
      <c r="D408" s="25"/>
      <c r="E408" s="19"/>
      <c r="F408" s="19"/>
      <c r="G408" s="16"/>
      <c r="H408" s="16"/>
      <c r="I408" s="90"/>
      <c r="J408" s="38"/>
      <c r="K408" s="43"/>
      <c r="L408" s="19"/>
      <c r="M408" s="16"/>
    </row>
    <row r="409" spans="1:13" ht="12.75">
      <c r="A409" s="36"/>
      <c r="B409" s="67"/>
      <c r="C409" s="22"/>
      <c r="D409" s="25"/>
      <c r="E409" s="19"/>
      <c r="F409" s="19"/>
      <c r="G409" s="16"/>
      <c r="H409" s="16"/>
      <c r="I409" s="90"/>
      <c r="J409" s="38"/>
      <c r="K409" s="43"/>
      <c r="L409" s="19"/>
      <c r="M409" s="16"/>
    </row>
    <row r="410" spans="1:13" ht="12.75">
      <c r="A410" s="36"/>
      <c r="B410" s="67"/>
      <c r="C410" s="22"/>
      <c r="D410" s="25"/>
      <c r="E410" s="19"/>
      <c r="F410" s="19"/>
      <c r="G410" s="16"/>
      <c r="H410" s="16"/>
      <c r="I410" s="90"/>
      <c r="J410" s="38"/>
      <c r="K410" s="43"/>
      <c r="L410" s="19"/>
      <c r="M410" s="16"/>
    </row>
    <row r="411" spans="1:13" ht="12.75">
      <c r="A411" s="36"/>
      <c r="B411" s="67"/>
      <c r="C411" s="22"/>
      <c r="D411" s="25"/>
      <c r="E411" s="19"/>
      <c r="F411" s="19"/>
      <c r="G411" s="16"/>
      <c r="H411" s="16"/>
      <c r="I411" s="90"/>
      <c r="J411" s="38"/>
      <c r="K411" s="43"/>
      <c r="L411" s="19"/>
      <c r="M411" s="16"/>
    </row>
    <row r="412" spans="1:13" ht="12.75">
      <c r="A412" s="36"/>
      <c r="B412" s="67"/>
      <c r="C412" s="22"/>
      <c r="D412" s="25"/>
      <c r="E412" s="19"/>
      <c r="F412" s="19"/>
      <c r="G412" s="16"/>
      <c r="H412" s="16"/>
      <c r="I412" s="90"/>
      <c r="J412" s="38"/>
      <c r="K412" s="43"/>
      <c r="L412" s="19"/>
      <c r="M412" s="16"/>
    </row>
    <row r="413" spans="1:13" ht="12.75">
      <c r="A413" s="36"/>
      <c r="B413" s="67"/>
      <c r="C413" s="22"/>
      <c r="D413" s="25"/>
      <c r="E413" s="19"/>
      <c r="F413" s="19"/>
      <c r="G413" s="16"/>
      <c r="H413" s="16"/>
      <c r="I413" s="90"/>
      <c r="J413" s="38"/>
      <c r="K413" s="43"/>
      <c r="L413" s="19"/>
      <c r="M413" s="16"/>
    </row>
    <row r="414" spans="1:13" ht="12.75">
      <c r="A414" s="36"/>
      <c r="B414" s="67"/>
      <c r="C414" s="22"/>
      <c r="D414" s="25"/>
      <c r="E414" s="19"/>
      <c r="F414" s="19"/>
      <c r="G414" s="16"/>
      <c r="H414" s="16"/>
      <c r="I414" s="90"/>
      <c r="J414" s="38"/>
      <c r="K414" s="43"/>
      <c r="L414" s="19"/>
      <c r="M414" s="16"/>
    </row>
    <row r="415" spans="1:13" ht="12.75">
      <c r="A415" s="36"/>
      <c r="B415" s="67"/>
      <c r="C415" s="22"/>
      <c r="D415" s="25"/>
      <c r="E415" s="19"/>
      <c r="F415" s="19"/>
      <c r="G415" s="16"/>
      <c r="H415" s="16"/>
      <c r="I415" s="90"/>
      <c r="J415" s="38"/>
      <c r="K415" s="43"/>
      <c r="L415" s="19"/>
      <c r="M415" s="16"/>
    </row>
    <row r="416" spans="1:13" ht="12.75">
      <c r="A416" s="36"/>
      <c r="B416" s="67"/>
      <c r="C416" s="22"/>
      <c r="D416" s="25"/>
      <c r="E416" s="19"/>
      <c r="F416" s="19"/>
      <c r="G416" s="16"/>
      <c r="H416" s="16"/>
      <c r="I416" s="90"/>
      <c r="J416" s="38"/>
      <c r="K416" s="43"/>
      <c r="L416" s="19"/>
      <c r="M416" s="16"/>
    </row>
    <row r="417" spans="1:13" ht="12.75">
      <c r="A417" s="36"/>
      <c r="B417" s="67"/>
      <c r="C417" s="22"/>
      <c r="D417" s="25"/>
      <c r="E417" s="19"/>
      <c r="F417" s="19"/>
      <c r="G417" s="16"/>
      <c r="H417" s="16"/>
      <c r="I417" s="90"/>
      <c r="J417" s="38"/>
      <c r="K417" s="43"/>
      <c r="L417" s="19"/>
      <c r="M417" s="16"/>
    </row>
    <row r="418" spans="1:13" ht="12.75">
      <c r="A418" s="36"/>
      <c r="B418" s="67"/>
      <c r="C418" s="22"/>
      <c r="D418" s="25"/>
      <c r="E418" s="19"/>
      <c r="F418" s="19"/>
      <c r="G418" s="16"/>
      <c r="H418" s="16"/>
      <c r="I418" s="90"/>
      <c r="J418" s="38"/>
      <c r="K418" s="43"/>
      <c r="L418" s="19"/>
      <c r="M418" s="16"/>
    </row>
    <row r="419" spans="1:13" ht="12.75">
      <c r="A419" s="36"/>
      <c r="B419" s="67"/>
      <c r="C419" s="22"/>
      <c r="D419" s="25"/>
      <c r="E419" s="19"/>
      <c r="F419" s="19"/>
      <c r="G419" s="16"/>
      <c r="H419" s="16"/>
      <c r="I419" s="90"/>
      <c r="J419" s="38"/>
      <c r="K419" s="43"/>
      <c r="L419" s="19"/>
      <c r="M419" s="16"/>
    </row>
    <row r="420" spans="1:13" ht="12.75">
      <c r="A420" s="36"/>
      <c r="B420" s="67"/>
      <c r="C420" s="22"/>
      <c r="D420" s="25"/>
      <c r="E420" s="19"/>
      <c r="F420" s="19"/>
      <c r="G420" s="16"/>
      <c r="H420" s="16"/>
      <c r="I420" s="90"/>
      <c r="J420" s="38"/>
      <c r="K420" s="43"/>
      <c r="L420" s="19"/>
      <c r="M420" s="16"/>
    </row>
    <row r="421" spans="1:13" ht="12.75">
      <c r="A421" s="36"/>
      <c r="B421" s="67"/>
      <c r="C421" s="22"/>
      <c r="D421" s="25"/>
      <c r="E421" s="19"/>
      <c r="F421" s="19"/>
      <c r="G421" s="16"/>
      <c r="H421" s="16"/>
      <c r="I421" s="90"/>
      <c r="J421" s="38"/>
      <c r="K421" s="43"/>
      <c r="L421" s="19"/>
      <c r="M421" s="16"/>
    </row>
    <row r="422" spans="1:13" ht="12.75">
      <c r="A422" s="36"/>
      <c r="B422" s="67"/>
      <c r="C422" s="22"/>
      <c r="D422" s="25"/>
      <c r="E422" s="19"/>
      <c r="F422" s="19"/>
      <c r="G422" s="16"/>
      <c r="H422" s="16"/>
      <c r="I422" s="90"/>
      <c r="J422" s="38"/>
      <c r="K422" s="43"/>
      <c r="L422" s="19"/>
      <c r="M422" s="16"/>
    </row>
    <row r="423" spans="1:13" ht="12.75">
      <c r="A423" s="36"/>
      <c r="B423" s="67"/>
      <c r="C423" s="22"/>
      <c r="D423" s="25"/>
      <c r="E423" s="19"/>
      <c r="F423" s="19"/>
      <c r="G423" s="16"/>
      <c r="H423" s="16"/>
      <c r="I423" s="90"/>
      <c r="J423" s="38"/>
      <c r="K423" s="43"/>
      <c r="L423" s="19"/>
      <c r="M423" s="16"/>
    </row>
    <row r="424" spans="1:13" ht="12.75">
      <c r="A424" s="36"/>
      <c r="B424" s="67"/>
      <c r="C424" s="22"/>
      <c r="D424" s="25"/>
      <c r="E424" s="19"/>
      <c r="F424" s="19"/>
      <c r="G424" s="16"/>
      <c r="H424" s="16"/>
      <c r="I424" s="90"/>
      <c r="J424" s="38"/>
      <c r="K424" s="43"/>
      <c r="L424" s="19"/>
      <c r="M424" s="16"/>
    </row>
    <row r="425" spans="1:13" ht="12.75">
      <c r="A425" s="36"/>
      <c r="B425" s="67"/>
      <c r="C425" s="22"/>
      <c r="D425" s="25"/>
      <c r="E425" s="19"/>
      <c r="F425" s="19"/>
      <c r="G425" s="16"/>
      <c r="H425" s="16"/>
      <c r="I425" s="90"/>
      <c r="J425" s="38"/>
      <c r="K425" s="43"/>
      <c r="L425" s="19"/>
      <c r="M425" s="16"/>
    </row>
    <row r="426" spans="1:13" ht="12.75">
      <c r="A426" s="36"/>
      <c r="B426" s="67"/>
      <c r="C426" s="22"/>
      <c r="D426" s="25"/>
      <c r="E426" s="19"/>
      <c r="F426" s="19"/>
      <c r="G426" s="16"/>
      <c r="H426" s="16"/>
      <c r="I426" s="90"/>
      <c r="J426" s="38"/>
      <c r="K426" s="43"/>
      <c r="L426" s="19"/>
      <c r="M426" s="16"/>
    </row>
    <row r="427" spans="1:13" ht="12.75">
      <c r="A427" s="36"/>
      <c r="B427" s="67"/>
      <c r="C427" s="22"/>
      <c r="D427" s="25"/>
      <c r="E427" s="19"/>
      <c r="F427" s="19"/>
      <c r="G427" s="16"/>
      <c r="H427" s="16"/>
      <c r="I427" s="90"/>
      <c r="J427" s="38"/>
      <c r="K427" s="43"/>
      <c r="L427" s="19"/>
      <c r="M427" s="16"/>
    </row>
    <row r="428" spans="1:13" ht="12.75">
      <c r="A428" s="36"/>
      <c r="B428" s="67"/>
      <c r="C428" s="22"/>
      <c r="D428" s="25"/>
      <c r="E428" s="19"/>
      <c r="F428" s="19"/>
      <c r="G428" s="16"/>
      <c r="H428" s="16"/>
      <c r="I428" s="90"/>
      <c r="J428" s="38"/>
      <c r="K428" s="43"/>
      <c r="L428" s="19"/>
      <c r="M428" s="16"/>
    </row>
    <row r="429" spans="1:13" ht="12.75">
      <c r="A429" s="36"/>
      <c r="B429" s="67"/>
      <c r="C429" s="22"/>
      <c r="D429" s="25"/>
      <c r="E429" s="19"/>
      <c r="F429" s="19"/>
      <c r="G429" s="16"/>
      <c r="H429" s="16"/>
      <c r="I429" s="90"/>
      <c r="J429" s="38"/>
      <c r="K429" s="43"/>
      <c r="L429" s="19"/>
      <c r="M429" s="16"/>
    </row>
    <row r="430" spans="1:13" ht="12.75">
      <c r="A430" s="36"/>
      <c r="B430" s="67"/>
      <c r="C430" s="22"/>
      <c r="D430" s="25"/>
      <c r="E430" s="19"/>
      <c r="F430" s="19"/>
      <c r="G430" s="16"/>
      <c r="H430" s="16"/>
      <c r="I430" s="90"/>
      <c r="J430" s="38"/>
      <c r="K430" s="43"/>
      <c r="L430" s="19"/>
      <c r="M430" s="16"/>
    </row>
    <row r="431" spans="1:13" ht="12.75">
      <c r="A431" s="36"/>
      <c r="B431" s="67"/>
      <c r="C431" s="22"/>
      <c r="D431" s="25"/>
      <c r="E431" s="19"/>
      <c r="F431" s="19"/>
      <c r="G431" s="16"/>
      <c r="H431" s="16"/>
      <c r="I431" s="90"/>
      <c r="J431" s="38"/>
      <c r="K431" s="43"/>
      <c r="L431" s="19"/>
      <c r="M431" s="16"/>
    </row>
    <row r="432" spans="1:13" ht="12.75">
      <c r="A432" s="36"/>
      <c r="B432" s="67"/>
      <c r="C432" s="22"/>
      <c r="D432" s="25"/>
      <c r="E432" s="19"/>
      <c r="F432" s="19"/>
      <c r="G432" s="16"/>
      <c r="H432" s="16"/>
      <c r="I432" s="90"/>
      <c r="J432" s="38"/>
      <c r="K432" s="43"/>
      <c r="L432" s="19"/>
      <c r="M432" s="16"/>
    </row>
    <row r="433" spans="1:13" ht="12.75">
      <c r="A433" s="36"/>
      <c r="B433" s="67"/>
      <c r="C433" s="22"/>
      <c r="D433" s="25"/>
      <c r="E433" s="19"/>
      <c r="F433" s="19"/>
      <c r="G433" s="16"/>
      <c r="H433" s="16"/>
      <c r="I433" s="90"/>
      <c r="J433" s="38"/>
      <c r="K433" s="43"/>
      <c r="L433" s="19"/>
      <c r="M433" s="16"/>
    </row>
    <row r="434" spans="1:13" ht="12.75">
      <c r="A434" s="36"/>
      <c r="B434" s="67"/>
      <c r="C434" s="22"/>
      <c r="D434" s="25"/>
      <c r="E434" s="19"/>
      <c r="F434" s="19"/>
      <c r="G434" s="16"/>
      <c r="H434" s="16"/>
      <c r="I434" s="90"/>
      <c r="J434" s="38"/>
      <c r="K434" s="43"/>
      <c r="L434" s="19"/>
      <c r="M434" s="16"/>
    </row>
    <row r="435" spans="1:13" ht="12.75">
      <c r="A435" s="36"/>
      <c r="B435" s="67"/>
      <c r="C435" s="22"/>
      <c r="D435" s="25"/>
      <c r="E435" s="19"/>
      <c r="F435" s="19"/>
      <c r="G435" s="16"/>
      <c r="H435" s="16"/>
      <c r="I435" s="90"/>
      <c r="J435" s="38"/>
      <c r="K435" s="43"/>
      <c r="L435" s="19"/>
      <c r="M435" s="16"/>
    </row>
    <row r="436" spans="1:13" ht="12.75">
      <c r="A436" s="36"/>
      <c r="B436" s="67"/>
      <c r="C436" s="22"/>
      <c r="D436" s="25"/>
      <c r="E436" s="19"/>
      <c r="F436" s="19"/>
      <c r="G436" s="16"/>
      <c r="H436" s="16"/>
      <c r="I436" s="90"/>
      <c r="J436" s="38"/>
      <c r="K436" s="43"/>
      <c r="L436" s="19"/>
      <c r="M436" s="16"/>
    </row>
    <row r="437" spans="1:13" ht="12.75">
      <c r="A437" s="36"/>
      <c r="B437" s="67"/>
      <c r="C437" s="22"/>
      <c r="D437" s="25"/>
      <c r="E437" s="19"/>
      <c r="F437" s="19"/>
      <c r="G437" s="16"/>
      <c r="H437" s="16"/>
      <c r="I437" s="90"/>
      <c r="J437" s="38"/>
      <c r="K437" s="43"/>
      <c r="L437" s="19"/>
      <c r="M437" s="16"/>
    </row>
    <row r="438" spans="1:13" ht="12.75">
      <c r="A438" s="36"/>
      <c r="B438" s="67"/>
      <c r="C438" s="22"/>
      <c r="D438" s="25"/>
      <c r="E438" s="19"/>
      <c r="F438" s="19"/>
      <c r="G438" s="16"/>
      <c r="H438" s="16"/>
      <c r="I438" s="90"/>
      <c r="J438" s="38"/>
      <c r="K438" s="43"/>
      <c r="L438" s="19"/>
      <c r="M438" s="16"/>
    </row>
    <row r="439" spans="1:13" ht="12.75">
      <c r="A439" s="36"/>
      <c r="B439" s="67"/>
      <c r="C439" s="22"/>
      <c r="D439" s="25"/>
      <c r="E439" s="19"/>
      <c r="F439" s="19"/>
      <c r="G439" s="16"/>
      <c r="H439" s="16"/>
      <c r="I439" s="90"/>
      <c r="J439" s="38"/>
      <c r="K439" s="43"/>
      <c r="L439" s="19"/>
      <c r="M439" s="16"/>
    </row>
    <row r="440" spans="1:13" ht="12.75">
      <c r="A440" s="36"/>
      <c r="B440" s="67"/>
      <c r="C440" s="22"/>
      <c r="D440" s="25"/>
      <c r="E440" s="19"/>
      <c r="F440" s="19"/>
      <c r="G440" s="16"/>
      <c r="H440" s="16"/>
      <c r="I440" s="90"/>
      <c r="J440" s="38"/>
      <c r="K440" s="43"/>
      <c r="L440" s="19"/>
      <c r="M440" s="16"/>
    </row>
    <row r="441" spans="1:13" ht="12.75">
      <c r="A441" s="36"/>
      <c r="B441" s="67"/>
      <c r="C441" s="22"/>
      <c r="D441" s="25"/>
      <c r="E441" s="19"/>
      <c r="F441" s="19"/>
      <c r="G441" s="16"/>
      <c r="H441" s="16"/>
      <c r="I441" s="90"/>
      <c r="J441" s="38"/>
      <c r="K441" s="43"/>
      <c r="L441" s="19"/>
      <c r="M441" s="16"/>
    </row>
    <row r="442" spans="1:13" ht="12.75">
      <c r="A442" s="36"/>
      <c r="B442" s="67"/>
      <c r="C442" s="22"/>
      <c r="D442" s="25"/>
      <c r="E442" s="19"/>
      <c r="F442" s="19"/>
      <c r="G442" s="16"/>
      <c r="H442" s="16"/>
      <c r="I442" s="90"/>
      <c r="J442" s="38"/>
      <c r="K442" s="43"/>
      <c r="L442" s="19"/>
      <c r="M442" s="16"/>
    </row>
    <row r="443" spans="1:13" ht="12.75">
      <c r="A443" s="36"/>
      <c r="B443" s="67"/>
      <c r="C443" s="22"/>
      <c r="D443" s="25"/>
      <c r="E443" s="19"/>
      <c r="F443" s="19"/>
      <c r="G443" s="16"/>
      <c r="H443" s="16"/>
      <c r="I443" s="90"/>
      <c r="J443" s="38"/>
      <c r="K443" s="43"/>
      <c r="L443" s="19"/>
      <c r="M443" s="16"/>
    </row>
    <row r="444" spans="1:13" ht="12.75">
      <c r="A444" s="36"/>
      <c r="B444" s="67"/>
      <c r="C444" s="22"/>
      <c r="D444" s="25"/>
      <c r="E444" s="19"/>
      <c r="F444" s="19"/>
      <c r="G444" s="16"/>
      <c r="H444" s="16"/>
      <c r="I444" s="90"/>
      <c r="J444" s="38"/>
      <c r="K444" s="43"/>
      <c r="L444" s="19"/>
      <c r="M444" s="16"/>
    </row>
    <row r="445" spans="1:13" ht="12.75">
      <c r="A445" s="36"/>
      <c r="B445" s="67"/>
      <c r="C445" s="22"/>
      <c r="D445" s="25"/>
      <c r="E445" s="19"/>
      <c r="F445" s="19"/>
      <c r="G445" s="16"/>
      <c r="H445" s="16"/>
      <c r="I445" s="90"/>
      <c r="J445" s="38"/>
      <c r="K445" s="43"/>
      <c r="L445" s="19"/>
      <c r="M445" s="16"/>
    </row>
    <row r="446" spans="1:13" ht="12.75">
      <c r="A446" s="36"/>
      <c r="B446" s="67"/>
      <c r="C446" s="22"/>
      <c r="D446" s="25"/>
      <c r="E446" s="19"/>
      <c r="F446" s="19"/>
      <c r="G446" s="16"/>
      <c r="H446" s="16"/>
      <c r="I446" s="90"/>
      <c r="J446" s="38"/>
      <c r="K446" s="43"/>
      <c r="L446" s="19"/>
      <c r="M446" s="16"/>
    </row>
    <row r="447" spans="1:13" ht="12.75">
      <c r="A447" s="36"/>
      <c r="B447" s="67"/>
      <c r="C447" s="22"/>
      <c r="D447" s="25"/>
      <c r="E447" s="19"/>
      <c r="F447" s="19"/>
      <c r="G447" s="16"/>
      <c r="H447" s="16"/>
      <c r="I447" s="90"/>
      <c r="J447" s="38"/>
      <c r="K447" s="43"/>
      <c r="L447" s="19"/>
      <c r="M447" s="16"/>
    </row>
    <row r="448" spans="1:13" ht="12.75">
      <c r="A448" s="36"/>
      <c r="B448" s="67"/>
      <c r="C448" s="22"/>
      <c r="D448" s="25"/>
      <c r="E448" s="19"/>
      <c r="F448" s="19"/>
      <c r="G448" s="16"/>
      <c r="H448" s="16"/>
      <c r="I448" s="90"/>
      <c r="J448" s="38"/>
      <c r="K448" s="43"/>
      <c r="L448" s="19"/>
      <c r="M448" s="16"/>
    </row>
    <row r="449" spans="1:13" ht="12.75">
      <c r="A449" s="36"/>
      <c r="B449" s="67"/>
      <c r="C449" s="22"/>
      <c r="D449" s="25"/>
      <c r="E449" s="19"/>
      <c r="F449" s="19"/>
      <c r="G449" s="16"/>
      <c r="H449" s="16"/>
      <c r="I449" s="90"/>
      <c r="J449" s="38"/>
      <c r="K449" s="43"/>
      <c r="L449" s="19"/>
      <c r="M449" s="16"/>
    </row>
    <row r="450" spans="1:13" ht="12.75">
      <c r="A450" s="36"/>
      <c r="B450" s="67"/>
      <c r="C450" s="22"/>
      <c r="D450" s="25"/>
      <c r="E450" s="19"/>
      <c r="F450" s="19"/>
      <c r="G450" s="16"/>
      <c r="H450" s="16"/>
      <c r="I450" s="90"/>
      <c r="J450" s="38"/>
      <c r="K450" s="43"/>
      <c r="L450" s="19"/>
      <c r="M450" s="16"/>
    </row>
    <row r="451" spans="1:13" ht="12.75">
      <c r="A451" s="36"/>
      <c r="B451" s="67"/>
      <c r="C451" s="22"/>
      <c r="D451" s="25"/>
      <c r="E451" s="19"/>
      <c r="F451" s="19"/>
      <c r="G451" s="16"/>
      <c r="H451" s="16"/>
      <c r="I451" s="90"/>
      <c r="J451" s="38"/>
      <c r="K451" s="43"/>
      <c r="L451" s="19"/>
      <c r="M451" s="16"/>
    </row>
    <row r="452" spans="1:13" ht="12.75">
      <c r="A452" s="36"/>
      <c r="B452" s="67"/>
      <c r="C452" s="22"/>
      <c r="D452" s="25"/>
      <c r="E452" s="19"/>
      <c r="F452" s="19"/>
      <c r="G452" s="16"/>
      <c r="H452" s="16"/>
      <c r="I452" s="90"/>
      <c r="J452" s="38"/>
      <c r="K452" s="43"/>
      <c r="L452" s="19"/>
      <c r="M452" s="16"/>
    </row>
    <row r="453" spans="1:13" ht="12.75">
      <c r="A453" s="36"/>
      <c r="B453" s="67"/>
      <c r="C453" s="22"/>
      <c r="D453" s="25"/>
      <c r="E453" s="19"/>
      <c r="F453" s="19"/>
      <c r="G453" s="16"/>
      <c r="H453" s="16"/>
      <c r="I453" s="90"/>
      <c r="J453" s="38"/>
      <c r="K453" s="43"/>
      <c r="L453" s="19"/>
      <c r="M453" s="16"/>
    </row>
    <row r="454" spans="1:13" ht="12.75">
      <c r="A454" s="36"/>
      <c r="B454" s="67"/>
      <c r="C454" s="22"/>
      <c r="D454" s="25"/>
      <c r="E454" s="19"/>
      <c r="F454" s="19"/>
      <c r="G454" s="16"/>
      <c r="H454" s="16"/>
      <c r="I454" s="90"/>
      <c r="J454" s="38"/>
      <c r="K454" s="43"/>
      <c r="L454" s="19"/>
      <c r="M454" s="16"/>
    </row>
    <row r="455" spans="1:13" ht="12.75">
      <c r="A455" s="36"/>
      <c r="B455" s="67"/>
      <c r="C455" s="22"/>
      <c r="D455" s="25"/>
      <c r="E455" s="19"/>
      <c r="F455" s="19"/>
      <c r="G455" s="16"/>
      <c r="H455" s="16"/>
      <c r="I455" s="90"/>
      <c r="J455" s="38"/>
      <c r="K455" s="43"/>
      <c r="L455" s="19"/>
      <c r="M455" s="16"/>
    </row>
    <row r="456" spans="1:13" ht="12.75">
      <c r="A456" s="36"/>
      <c r="B456" s="67"/>
      <c r="C456" s="22"/>
      <c r="D456" s="25"/>
      <c r="E456" s="19"/>
      <c r="F456" s="19"/>
      <c r="G456" s="16"/>
      <c r="H456" s="16"/>
      <c r="I456" s="90"/>
      <c r="J456" s="38"/>
      <c r="K456" s="43"/>
      <c r="L456" s="19"/>
      <c r="M456" s="16"/>
    </row>
    <row r="457" spans="1:13" ht="12.75">
      <c r="A457" s="36"/>
      <c r="B457" s="67"/>
      <c r="C457" s="22"/>
      <c r="D457" s="25"/>
      <c r="E457" s="19"/>
      <c r="F457" s="19"/>
      <c r="G457" s="16"/>
      <c r="H457" s="16"/>
      <c r="I457" s="90"/>
      <c r="J457" s="38"/>
      <c r="K457" s="43"/>
      <c r="L457" s="19"/>
      <c r="M457" s="16"/>
    </row>
    <row r="458" spans="1:13" ht="12.75">
      <c r="A458" s="36"/>
      <c r="B458" s="67"/>
      <c r="C458" s="22"/>
      <c r="D458" s="25"/>
      <c r="E458" s="19"/>
      <c r="F458" s="19"/>
      <c r="G458" s="16"/>
      <c r="H458" s="16"/>
      <c r="I458" s="90"/>
      <c r="J458" s="38"/>
      <c r="K458" s="43"/>
      <c r="L458" s="19"/>
      <c r="M458" s="16"/>
    </row>
    <row r="459" spans="1:13" ht="12.75">
      <c r="A459" s="36"/>
      <c r="B459" s="67"/>
      <c r="C459" s="22"/>
      <c r="D459" s="25"/>
      <c r="E459" s="19"/>
      <c r="F459" s="19"/>
      <c r="G459" s="16"/>
      <c r="H459" s="16"/>
      <c r="I459" s="90"/>
      <c r="J459" s="38"/>
      <c r="K459" s="43"/>
      <c r="L459" s="19"/>
      <c r="M459" s="16"/>
    </row>
    <row r="460" spans="1:13" ht="12.75">
      <c r="A460" s="36"/>
      <c r="B460" s="67"/>
      <c r="C460" s="22"/>
      <c r="D460" s="25"/>
      <c r="E460" s="19"/>
      <c r="F460" s="19"/>
      <c r="G460" s="16"/>
      <c r="H460" s="16"/>
      <c r="I460" s="90"/>
      <c r="J460" s="38"/>
      <c r="K460" s="43"/>
      <c r="L460" s="19"/>
      <c r="M460" s="16"/>
    </row>
    <row r="461" spans="1:13" ht="12.75">
      <c r="A461" s="36"/>
      <c r="B461" s="67"/>
      <c r="C461" s="22"/>
      <c r="D461" s="25"/>
      <c r="E461" s="19"/>
      <c r="F461" s="19"/>
      <c r="G461" s="16"/>
      <c r="H461" s="16"/>
      <c r="I461" s="90"/>
      <c r="J461" s="38"/>
      <c r="K461" s="43"/>
      <c r="L461" s="19"/>
      <c r="M461" s="16"/>
    </row>
    <row r="462" spans="1:13" ht="12.75">
      <c r="A462" s="36"/>
      <c r="B462" s="67"/>
      <c r="C462" s="22"/>
      <c r="D462" s="25"/>
      <c r="E462" s="19"/>
      <c r="F462" s="19"/>
      <c r="G462" s="16"/>
      <c r="H462" s="16"/>
      <c r="I462" s="90"/>
      <c r="J462" s="38"/>
      <c r="K462" s="43"/>
      <c r="L462" s="19"/>
      <c r="M462" s="16"/>
    </row>
    <row r="463" spans="1:13" ht="12.75">
      <c r="A463" s="36"/>
      <c r="B463" s="67"/>
      <c r="C463" s="22"/>
      <c r="D463" s="25"/>
      <c r="E463" s="19"/>
      <c r="F463" s="19"/>
      <c r="G463" s="16"/>
      <c r="H463" s="16"/>
      <c r="I463" s="90"/>
      <c r="J463" s="38"/>
      <c r="K463" s="43"/>
      <c r="L463" s="19"/>
      <c r="M463" s="16"/>
    </row>
    <row r="464" spans="1:13" ht="12.75">
      <c r="A464" s="36"/>
      <c r="B464" s="67"/>
      <c r="C464" s="22"/>
      <c r="D464" s="25"/>
      <c r="E464" s="19"/>
      <c r="F464" s="19"/>
      <c r="G464" s="16"/>
      <c r="H464" s="16"/>
      <c r="I464" s="90"/>
      <c r="J464" s="38"/>
      <c r="K464" s="43"/>
      <c r="L464" s="19"/>
      <c r="M464" s="16"/>
    </row>
    <row r="465" spans="1:13" ht="12.75">
      <c r="A465" s="36"/>
      <c r="B465" s="67"/>
      <c r="C465" s="22"/>
      <c r="D465" s="25"/>
      <c r="E465" s="19"/>
      <c r="F465" s="19"/>
      <c r="G465" s="16"/>
      <c r="H465" s="16"/>
      <c r="I465" s="90"/>
      <c r="J465" s="38"/>
      <c r="K465" s="43"/>
      <c r="L465" s="19"/>
      <c r="M465" s="16"/>
    </row>
    <row r="466" spans="1:13" ht="12.75">
      <c r="A466" s="36"/>
      <c r="B466" s="67"/>
      <c r="C466" s="22"/>
      <c r="D466" s="25"/>
      <c r="E466" s="19"/>
      <c r="F466" s="19"/>
      <c r="G466" s="16"/>
      <c r="H466" s="16"/>
      <c r="I466" s="90"/>
      <c r="J466" s="38"/>
      <c r="K466" s="43"/>
      <c r="L466" s="19"/>
      <c r="M466" s="16"/>
    </row>
    <row r="467" spans="1:13" ht="12.75">
      <c r="A467" s="36"/>
      <c r="B467" s="67"/>
      <c r="C467" s="22"/>
      <c r="D467" s="25"/>
      <c r="E467" s="19"/>
      <c r="F467" s="19"/>
      <c r="G467" s="16"/>
      <c r="H467" s="16"/>
      <c r="I467" s="90"/>
      <c r="J467" s="38"/>
      <c r="K467" s="43"/>
      <c r="L467" s="19"/>
      <c r="M467" s="16"/>
    </row>
    <row r="468" spans="1:13" ht="12.75">
      <c r="A468" s="36"/>
      <c r="B468" s="67"/>
      <c r="C468" s="22"/>
      <c r="D468" s="25"/>
      <c r="E468" s="19"/>
      <c r="F468" s="19"/>
      <c r="G468" s="16"/>
      <c r="H468" s="16"/>
      <c r="I468" s="90"/>
      <c r="J468" s="38"/>
      <c r="K468" s="43"/>
      <c r="L468" s="19"/>
      <c r="M468" s="16"/>
    </row>
    <row r="469" spans="1:13" ht="12.75">
      <c r="A469" s="36"/>
      <c r="B469" s="67"/>
      <c r="C469" s="22"/>
      <c r="D469" s="25"/>
      <c r="E469" s="19"/>
      <c r="F469" s="19"/>
      <c r="G469" s="16"/>
      <c r="H469" s="16"/>
      <c r="I469" s="90"/>
      <c r="J469" s="38"/>
      <c r="K469" s="43"/>
      <c r="L469" s="19"/>
      <c r="M469" s="16"/>
    </row>
    <row r="470" spans="1:13" ht="12.75">
      <c r="A470" s="36"/>
      <c r="B470" s="67"/>
      <c r="C470" s="22"/>
      <c r="D470" s="25"/>
      <c r="E470" s="19"/>
      <c r="F470" s="19"/>
      <c r="G470" s="16"/>
      <c r="H470" s="16"/>
      <c r="I470" s="90"/>
      <c r="J470" s="38"/>
      <c r="K470" s="43"/>
      <c r="L470" s="19"/>
      <c r="M470" s="16"/>
    </row>
    <row r="471" spans="1:13" ht="12.75">
      <c r="A471" s="36"/>
      <c r="B471" s="67"/>
      <c r="C471" s="22"/>
      <c r="D471" s="25"/>
      <c r="E471" s="19"/>
      <c r="F471" s="19"/>
      <c r="G471" s="16"/>
      <c r="H471" s="16"/>
      <c r="I471" s="90"/>
      <c r="J471" s="38"/>
      <c r="K471" s="43"/>
      <c r="L471" s="19"/>
      <c r="M471" s="16"/>
    </row>
    <row r="472" spans="1:13" ht="12.75">
      <c r="A472" s="36"/>
      <c r="B472" s="67"/>
      <c r="C472" s="22"/>
      <c r="D472" s="25"/>
      <c r="E472" s="19"/>
      <c r="F472" s="19"/>
      <c r="G472" s="16"/>
      <c r="H472" s="16"/>
      <c r="I472" s="90"/>
      <c r="J472" s="38"/>
      <c r="K472" s="43"/>
      <c r="L472" s="19"/>
      <c r="M472" s="16"/>
    </row>
    <row r="473" spans="1:13" ht="12.75">
      <c r="A473" s="36"/>
      <c r="B473" s="67"/>
      <c r="C473" s="22"/>
      <c r="D473" s="25"/>
      <c r="E473" s="19"/>
      <c r="F473" s="19"/>
      <c r="G473" s="16"/>
      <c r="H473" s="16"/>
      <c r="I473" s="90"/>
      <c r="J473" s="38"/>
      <c r="K473" s="43"/>
      <c r="L473" s="19"/>
      <c r="M473" s="16"/>
    </row>
    <row r="474" spans="1:13" ht="12.75">
      <c r="A474" s="36"/>
      <c r="B474" s="67"/>
      <c r="C474" s="22"/>
      <c r="D474" s="25"/>
      <c r="E474" s="19"/>
      <c r="F474" s="19"/>
      <c r="G474" s="16"/>
      <c r="H474" s="16"/>
      <c r="I474" s="90"/>
      <c r="J474" s="38"/>
      <c r="K474" s="43"/>
      <c r="L474" s="19"/>
      <c r="M474" s="16"/>
    </row>
    <row r="475" spans="1:13" ht="12.75">
      <c r="A475" s="36"/>
      <c r="B475" s="67"/>
      <c r="C475" s="22"/>
      <c r="D475" s="25"/>
      <c r="E475" s="19"/>
      <c r="F475" s="19"/>
      <c r="G475" s="16"/>
      <c r="H475" s="16"/>
      <c r="I475" s="90"/>
      <c r="J475" s="38"/>
      <c r="K475" s="43"/>
      <c r="L475" s="19"/>
      <c r="M475" s="16"/>
    </row>
    <row r="476" spans="1:13" ht="12.75">
      <c r="A476" s="36"/>
      <c r="B476" s="67"/>
      <c r="C476" s="22"/>
      <c r="D476" s="25"/>
      <c r="E476" s="19"/>
      <c r="F476" s="19"/>
      <c r="G476" s="16"/>
      <c r="H476" s="16"/>
      <c r="I476" s="90"/>
      <c r="J476" s="38"/>
      <c r="K476" s="43"/>
      <c r="L476" s="19"/>
      <c r="M476" s="16"/>
    </row>
    <row r="477" spans="1:13" ht="12.75">
      <c r="A477" s="36"/>
      <c r="B477" s="67"/>
      <c r="C477" s="22"/>
      <c r="D477" s="25"/>
      <c r="E477" s="19"/>
      <c r="F477" s="19"/>
      <c r="G477" s="16"/>
      <c r="H477" s="16"/>
      <c r="I477" s="90"/>
      <c r="J477" s="38"/>
      <c r="K477" s="43"/>
      <c r="L477" s="19"/>
      <c r="M477" s="16"/>
    </row>
    <row r="478" spans="1:13" ht="12.75">
      <c r="A478" s="36"/>
      <c r="B478" s="67"/>
      <c r="C478" s="22"/>
      <c r="D478" s="25"/>
      <c r="E478" s="19"/>
      <c r="F478" s="19"/>
      <c r="G478" s="16"/>
      <c r="H478" s="16"/>
      <c r="I478" s="90"/>
      <c r="J478" s="38"/>
      <c r="K478" s="43"/>
      <c r="L478" s="19"/>
      <c r="M478" s="16"/>
    </row>
    <row r="479" spans="1:13" ht="12.75">
      <c r="A479" s="36"/>
      <c r="B479" s="67"/>
      <c r="C479" s="22"/>
      <c r="D479" s="25"/>
      <c r="E479" s="19"/>
      <c r="F479" s="19"/>
      <c r="G479" s="16"/>
      <c r="H479" s="16"/>
      <c r="I479" s="90"/>
      <c r="J479" s="38"/>
      <c r="K479" s="43"/>
      <c r="L479" s="19"/>
      <c r="M479" s="16"/>
    </row>
    <row r="480" spans="1:13" ht="12.75">
      <c r="A480" s="36"/>
      <c r="B480" s="67"/>
      <c r="C480" s="22"/>
      <c r="D480" s="25"/>
      <c r="E480" s="19"/>
      <c r="F480" s="19"/>
      <c r="G480" s="16"/>
      <c r="H480" s="16"/>
      <c r="I480" s="90"/>
      <c r="J480" s="38"/>
      <c r="K480" s="43"/>
      <c r="L480" s="19"/>
      <c r="M480" s="16"/>
    </row>
    <row r="481" spans="1:13" ht="12.75">
      <c r="A481" s="36"/>
      <c r="B481" s="67"/>
      <c r="C481" s="22"/>
      <c r="D481" s="25"/>
      <c r="E481" s="19"/>
      <c r="F481" s="19"/>
      <c r="G481" s="16"/>
      <c r="H481" s="16"/>
      <c r="I481" s="90"/>
      <c r="J481" s="38"/>
      <c r="K481" s="43"/>
      <c r="L481" s="19"/>
      <c r="M481" s="16"/>
    </row>
    <row r="482" spans="1:13" ht="12.75">
      <c r="A482" s="36"/>
      <c r="B482" s="67"/>
      <c r="C482" s="22"/>
      <c r="D482" s="25"/>
      <c r="E482" s="19"/>
      <c r="F482" s="19"/>
      <c r="G482" s="16"/>
      <c r="H482" s="16"/>
      <c r="I482" s="90"/>
      <c r="J482" s="38"/>
      <c r="K482" s="43"/>
      <c r="L482" s="19"/>
      <c r="M482" s="16"/>
    </row>
    <row r="483" spans="1:13" ht="12.75">
      <c r="A483" s="36"/>
      <c r="B483" s="67"/>
      <c r="C483" s="22"/>
      <c r="D483" s="25"/>
      <c r="E483" s="19"/>
      <c r="F483" s="19"/>
      <c r="G483" s="16"/>
      <c r="H483" s="16"/>
      <c r="I483" s="90"/>
      <c r="J483" s="38"/>
      <c r="K483" s="43"/>
      <c r="L483" s="19"/>
      <c r="M483" s="16"/>
    </row>
    <row r="484" spans="1:13" ht="12.75">
      <c r="A484" s="36"/>
      <c r="B484" s="67"/>
      <c r="C484" s="22"/>
      <c r="D484" s="25"/>
      <c r="E484" s="19"/>
      <c r="F484" s="19"/>
      <c r="G484" s="16"/>
      <c r="H484" s="16"/>
      <c r="I484" s="90"/>
      <c r="J484" s="38"/>
      <c r="K484" s="43"/>
      <c r="L484" s="19"/>
      <c r="M484" s="16"/>
    </row>
    <row r="485" spans="1:13" ht="12.75">
      <c r="A485" s="36"/>
      <c r="B485" s="67"/>
      <c r="C485" s="22"/>
      <c r="D485" s="25"/>
      <c r="E485" s="19"/>
      <c r="F485" s="19"/>
      <c r="G485" s="16"/>
      <c r="H485" s="16"/>
      <c r="I485" s="90"/>
      <c r="J485" s="38"/>
      <c r="K485" s="43"/>
      <c r="L485" s="19"/>
      <c r="M485" s="16"/>
    </row>
    <row r="486" spans="1:13" ht="12.75">
      <c r="A486" s="36"/>
      <c r="B486" s="67"/>
      <c r="C486" s="22"/>
      <c r="D486" s="25"/>
      <c r="E486" s="19"/>
      <c r="F486" s="19"/>
      <c r="G486" s="16"/>
      <c r="H486" s="16"/>
      <c r="I486" s="90"/>
      <c r="J486" s="38"/>
      <c r="K486" s="43"/>
      <c r="L486" s="19"/>
      <c r="M486" s="16"/>
    </row>
    <row r="487" spans="1:13" ht="12.75">
      <c r="A487" s="36"/>
      <c r="B487" s="67"/>
      <c r="C487" s="22"/>
      <c r="D487" s="25"/>
      <c r="E487" s="19"/>
      <c r="F487" s="19"/>
      <c r="G487" s="16"/>
      <c r="H487" s="16"/>
      <c r="I487" s="90"/>
      <c r="J487" s="38"/>
      <c r="K487" s="43"/>
      <c r="L487" s="19"/>
      <c r="M487" s="16"/>
    </row>
    <row r="488" spans="1:13" ht="12.75">
      <c r="A488" s="36"/>
      <c r="B488" s="67"/>
      <c r="C488" s="22"/>
      <c r="D488" s="25"/>
      <c r="E488" s="19"/>
      <c r="F488" s="19"/>
      <c r="G488" s="16"/>
      <c r="H488" s="16"/>
      <c r="I488" s="90"/>
      <c r="J488" s="38"/>
      <c r="K488" s="43"/>
      <c r="L488" s="19"/>
      <c r="M488" s="16"/>
    </row>
    <row r="489" spans="1:13" ht="12.75">
      <c r="A489" s="36"/>
      <c r="B489" s="67"/>
      <c r="C489" s="22"/>
      <c r="D489" s="25"/>
      <c r="E489" s="19"/>
      <c r="F489" s="19"/>
      <c r="G489" s="16"/>
      <c r="H489" s="16"/>
      <c r="I489" s="90"/>
      <c r="J489" s="38"/>
      <c r="K489" s="43"/>
      <c r="L489" s="19"/>
      <c r="M489" s="16"/>
    </row>
    <row r="490" spans="1:13" ht="12.75">
      <c r="A490" s="36"/>
      <c r="B490" s="67"/>
      <c r="C490" s="22"/>
      <c r="D490" s="25"/>
      <c r="E490" s="19"/>
      <c r="F490" s="19"/>
      <c r="G490" s="16"/>
      <c r="H490" s="16"/>
      <c r="I490" s="90"/>
      <c r="J490" s="38"/>
      <c r="K490" s="43"/>
      <c r="L490" s="19"/>
      <c r="M490" s="16"/>
    </row>
    <row r="491" spans="1:13" ht="12.75">
      <c r="A491" s="36"/>
      <c r="B491" s="67"/>
      <c r="C491" s="22"/>
      <c r="D491" s="25"/>
      <c r="E491" s="19"/>
      <c r="F491" s="19"/>
      <c r="G491" s="16"/>
      <c r="H491" s="16"/>
      <c r="I491" s="90"/>
      <c r="J491" s="38"/>
      <c r="K491" s="43"/>
      <c r="L491" s="19"/>
      <c r="M491" s="16"/>
    </row>
    <row r="492" spans="1:13" ht="12.75">
      <c r="A492" s="36"/>
      <c r="B492" s="67"/>
      <c r="C492" s="22"/>
      <c r="D492" s="25"/>
      <c r="E492" s="19"/>
      <c r="F492" s="19"/>
      <c r="G492" s="16"/>
      <c r="H492" s="16"/>
      <c r="I492" s="90"/>
      <c r="J492" s="38"/>
      <c r="K492" s="43"/>
      <c r="L492" s="19"/>
      <c r="M492" s="16"/>
    </row>
    <row r="493" spans="1:13" ht="12.75">
      <c r="A493" s="36"/>
      <c r="B493" s="67"/>
      <c r="C493" s="22"/>
      <c r="D493" s="25"/>
      <c r="E493" s="19"/>
      <c r="F493" s="19"/>
      <c r="G493" s="16"/>
      <c r="H493" s="16"/>
      <c r="I493" s="90"/>
      <c r="J493" s="38"/>
      <c r="K493" s="43"/>
      <c r="L493" s="19"/>
      <c r="M493" s="16"/>
    </row>
    <row r="494" spans="1:13" ht="12.75">
      <c r="A494" s="36"/>
      <c r="B494" s="67"/>
      <c r="C494" s="22"/>
      <c r="D494" s="25"/>
      <c r="E494" s="19"/>
      <c r="F494" s="19"/>
      <c r="G494" s="16"/>
      <c r="H494" s="16"/>
      <c r="I494" s="90"/>
      <c r="J494" s="38"/>
      <c r="K494" s="43"/>
      <c r="L494" s="19"/>
      <c r="M494" s="16"/>
    </row>
    <row r="495" spans="1:13" ht="12.75">
      <c r="A495" s="36"/>
      <c r="B495" s="67"/>
      <c r="C495" s="22"/>
      <c r="D495" s="25"/>
      <c r="E495" s="19"/>
      <c r="F495" s="19"/>
      <c r="G495" s="16"/>
      <c r="H495" s="16"/>
      <c r="I495" s="90"/>
      <c r="J495" s="38"/>
      <c r="K495" s="43"/>
      <c r="L495" s="19"/>
      <c r="M495" s="16"/>
    </row>
    <row r="496" spans="1:13" ht="12.75">
      <c r="A496" s="36"/>
      <c r="B496" s="67"/>
      <c r="C496" s="22"/>
      <c r="D496" s="25"/>
      <c r="E496" s="19"/>
      <c r="F496" s="19"/>
      <c r="G496" s="16"/>
      <c r="H496" s="16"/>
      <c r="I496" s="90"/>
      <c r="J496" s="38"/>
      <c r="K496" s="43"/>
      <c r="L496" s="19"/>
      <c r="M496" s="16"/>
    </row>
    <row r="497" spans="1:13" ht="12.75">
      <c r="A497" s="36"/>
      <c r="B497" s="67"/>
      <c r="C497" s="22"/>
      <c r="D497" s="25"/>
      <c r="E497" s="19"/>
      <c r="F497" s="19"/>
      <c r="G497" s="16"/>
      <c r="H497" s="16"/>
      <c r="I497" s="90"/>
      <c r="J497" s="38"/>
      <c r="K497" s="43"/>
      <c r="L497" s="19"/>
      <c r="M497" s="16"/>
    </row>
    <row r="498" spans="1:13" ht="12.75">
      <c r="A498" s="36"/>
      <c r="B498" s="67"/>
      <c r="C498" s="22"/>
      <c r="D498" s="25"/>
      <c r="E498" s="19"/>
      <c r="F498" s="19"/>
      <c r="G498" s="16"/>
      <c r="H498" s="16"/>
      <c r="I498" s="90"/>
      <c r="J498" s="38"/>
      <c r="K498" s="43"/>
      <c r="L498" s="19"/>
      <c r="M498" s="16"/>
    </row>
    <row r="499" spans="1:13" ht="12.75">
      <c r="A499" s="36"/>
      <c r="B499" s="67"/>
      <c r="C499" s="22"/>
      <c r="D499" s="25"/>
      <c r="E499" s="19"/>
      <c r="F499" s="19"/>
      <c r="G499" s="16"/>
      <c r="H499" s="16"/>
      <c r="I499" s="90"/>
      <c r="J499" s="38"/>
      <c r="K499" s="43"/>
      <c r="L499" s="19"/>
      <c r="M499" s="16"/>
    </row>
    <row r="500" spans="1:13" ht="12.75">
      <c r="A500" s="36"/>
      <c r="B500" s="67"/>
      <c r="C500" s="22"/>
      <c r="D500" s="25"/>
      <c r="E500" s="19"/>
      <c r="F500" s="19"/>
      <c r="G500" s="16"/>
      <c r="H500" s="16"/>
      <c r="I500" s="90"/>
      <c r="J500" s="38"/>
      <c r="K500" s="43"/>
      <c r="L500" s="19"/>
      <c r="M500" s="16"/>
    </row>
    <row r="501" spans="1:13" ht="12.75">
      <c r="A501" s="36"/>
      <c r="B501" s="67"/>
      <c r="C501" s="22"/>
      <c r="D501" s="25"/>
      <c r="E501" s="19"/>
      <c r="F501" s="19"/>
      <c r="G501" s="16"/>
      <c r="H501" s="16"/>
      <c r="I501" s="90"/>
      <c r="J501" s="38"/>
      <c r="K501" s="43"/>
      <c r="L501" s="19"/>
      <c r="M501" s="16"/>
    </row>
    <row r="502" spans="1:13" ht="12.75">
      <c r="A502" s="36"/>
      <c r="B502" s="67"/>
      <c r="C502" s="22"/>
      <c r="D502" s="25"/>
      <c r="E502" s="19"/>
      <c r="F502" s="19"/>
      <c r="G502" s="16"/>
      <c r="H502" s="16"/>
      <c r="I502" s="90"/>
      <c r="J502" s="38"/>
      <c r="K502" s="43"/>
      <c r="L502" s="19"/>
      <c r="M502" s="16"/>
    </row>
    <row r="503" spans="1:13" ht="12.75">
      <c r="A503" s="36"/>
      <c r="B503" s="67"/>
      <c r="C503" s="22"/>
      <c r="D503" s="25"/>
      <c r="E503" s="19"/>
      <c r="F503" s="19"/>
      <c r="G503" s="16"/>
      <c r="H503" s="16"/>
      <c r="I503" s="90"/>
      <c r="J503" s="38"/>
      <c r="K503" s="43"/>
      <c r="L503" s="19"/>
      <c r="M503" s="16"/>
    </row>
    <row r="504" spans="1:13" ht="12.75">
      <c r="A504" s="36"/>
      <c r="B504" s="67"/>
      <c r="C504" s="22"/>
      <c r="D504" s="25"/>
      <c r="E504" s="19"/>
      <c r="F504" s="19"/>
      <c r="G504" s="16"/>
      <c r="H504" s="16"/>
      <c r="I504" s="90"/>
      <c r="J504" s="38"/>
      <c r="K504" s="43"/>
      <c r="L504" s="19"/>
      <c r="M504" s="16"/>
    </row>
    <row r="505" spans="1:13" ht="12.75">
      <c r="A505" s="36"/>
      <c r="B505" s="67"/>
      <c r="C505" s="22"/>
      <c r="D505" s="25"/>
      <c r="E505" s="19"/>
      <c r="F505" s="19"/>
      <c r="G505" s="16"/>
      <c r="H505" s="16"/>
      <c r="I505" s="90"/>
      <c r="J505" s="38"/>
      <c r="K505" s="43"/>
      <c r="L505" s="19"/>
      <c r="M505" s="16"/>
    </row>
    <row r="506" spans="1:13" ht="12.75">
      <c r="A506" s="36"/>
      <c r="B506" s="67"/>
      <c r="C506" s="22"/>
      <c r="D506" s="25"/>
      <c r="E506" s="19"/>
      <c r="F506" s="19"/>
      <c r="G506" s="16"/>
      <c r="H506" s="16"/>
      <c r="I506" s="90"/>
      <c r="J506" s="38"/>
      <c r="K506" s="43"/>
      <c r="L506" s="19"/>
      <c r="M506" s="16"/>
    </row>
    <row r="507" spans="1:13" ht="12.75">
      <c r="A507" s="36"/>
      <c r="B507" s="67"/>
      <c r="C507" s="22"/>
      <c r="D507" s="25"/>
      <c r="E507" s="19"/>
      <c r="F507" s="19"/>
      <c r="G507" s="16"/>
      <c r="H507" s="16"/>
      <c r="I507" s="90"/>
      <c r="J507" s="38"/>
      <c r="K507" s="43"/>
      <c r="L507" s="19"/>
      <c r="M507" s="16"/>
    </row>
    <row r="508" spans="1:13" ht="12.75">
      <c r="A508" s="36"/>
      <c r="B508" s="67"/>
      <c r="C508" s="22"/>
      <c r="D508" s="25"/>
      <c r="E508" s="19"/>
      <c r="F508" s="19"/>
      <c r="G508" s="16"/>
      <c r="H508" s="16"/>
      <c r="I508" s="90"/>
      <c r="J508" s="38"/>
      <c r="K508" s="43"/>
      <c r="L508" s="19"/>
      <c r="M508" s="16"/>
    </row>
    <row r="509" spans="1:13" ht="12.75">
      <c r="A509" s="36"/>
      <c r="B509" s="67"/>
      <c r="C509" s="22"/>
      <c r="D509" s="25"/>
      <c r="E509" s="19"/>
      <c r="F509" s="19"/>
      <c r="G509" s="16"/>
      <c r="H509" s="16"/>
      <c r="I509" s="90"/>
      <c r="J509" s="38"/>
      <c r="K509" s="43"/>
      <c r="L509" s="19"/>
      <c r="M509" s="16"/>
    </row>
    <row r="510" spans="1:13" ht="12.75">
      <c r="A510" s="36"/>
      <c r="B510" s="67"/>
      <c r="C510" s="22"/>
      <c r="D510" s="25"/>
      <c r="E510" s="19"/>
      <c r="F510" s="19"/>
      <c r="G510" s="16"/>
      <c r="H510" s="16"/>
      <c r="I510" s="90"/>
      <c r="J510" s="38"/>
      <c r="K510" s="43"/>
      <c r="L510" s="19"/>
      <c r="M510" s="16"/>
    </row>
    <row r="511" spans="1:13" ht="12.75">
      <c r="A511" s="36"/>
      <c r="B511" s="67"/>
      <c r="C511" s="22"/>
      <c r="D511" s="25"/>
      <c r="E511" s="19"/>
      <c r="F511" s="19"/>
      <c r="G511" s="16"/>
      <c r="H511" s="16"/>
      <c r="I511" s="90"/>
      <c r="J511" s="38"/>
      <c r="K511" s="43"/>
      <c r="L511" s="19"/>
      <c r="M511" s="16"/>
    </row>
    <row r="512" spans="1:13" ht="12.75">
      <c r="A512" s="36"/>
      <c r="B512" s="67"/>
      <c r="C512" s="22"/>
      <c r="D512" s="25"/>
      <c r="E512" s="19"/>
      <c r="F512" s="19"/>
      <c r="G512" s="16"/>
      <c r="H512" s="16"/>
      <c r="I512" s="90"/>
      <c r="J512" s="38"/>
      <c r="K512" s="43"/>
      <c r="L512" s="19"/>
      <c r="M512" s="16"/>
    </row>
    <row r="513" spans="1:13" ht="12.75">
      <c r="A513" s="36"/>
      <c r="B513" s="67"/>
      <c r="C513" s="22"/>
      <c r="D513" s="25"/>
      <c r="E513" s="19"/>
      <c r="F513" s="19"/>
      <c r="G513" s="16"/>
      <c r="H513" s="16"/>
      <c r="I513" s="90"/>
      <c r="J513" s="38"/>
      <c r="K513" s="43"/>
      <c r="L513" s="19"/>
      <c r="M513" s="16"/>
    </row>
    <row r="514" spans="1:13" ht="12.75">
      <c r="A514" s="36"/>
      <c r="B514" s="67"/>
      <c r="C514" s="22"/>
      <c r="D514" s="25"/>
      <c r="E514" s="19"/>
      <c r="F514" s="19"/>
      <c r="G514" s="16"/>
      <c r="H514" s="16"/>
      <c r="I514" s="90"/>
      <c r="J514" s="38"/>
      <c r="K514" s="43"/>
      <c r="L514" s="19"/>
      <c r="M514" s="16"/>
    </row>
    <row r="515" spans="1:13" ht="12.75">
      <c r="A515" s="36"/>
      <c r="B515" s="67"/>
      <c r="C515" s="22"/>
      <c r="D515" s="25"/>
      <c r="E515" s="19"/>
      <c r="F515" s="19"/>
      <c r="G515" s="16"/>
      <c r="H515" s="16"/>
      <c r="I515" s="90"/>
      <c r="J515" s="38"/>
      <c r="K515" s="43"/>
      <c r="L515" s="19"/>
      <c r="M515" s="16"/>
    </row>
    <row r="516" spans="1:13" ht="12.75">
      <c r="A516" s="36"/>
      <c r="B516" s="67"/>
      <c r="C516" s="22"/>
      <c r="D516" s="25"/>
      <c r="E516" s="19"/>
      <c r="F516" s="19"/>
      <c r="G516" s="16"/>
      <c r="H516" s="16"/>
      <c r="I516" s="90"/>
      <c r="J516" s="38"/>
      <c r="K516" s="43"/>
      <c r="L516" s="19"/>
      <c r="M516" s="16"/>
    </row>
    <row r="517" spans="1:13" ht="12.75">
      <c r="A517" s="36"/>
      <c r="B517" s="67"/>
      <c r="C517" s="22"/>
      <c r="D517" s="25"/>
      <c r="E517" s="19"/>
      <c r="F517" s="19"/>
      <c r="G517" s="16"/>
      <c r="H517" s="16"/>
      <c r="I517" s="90"/>
      <c r="J517" s="38"/>
      <c r="K517" s="43"/>
      <c r="L517" s="19"/>
      <c r="M517" s="16"/>
    </row>
    <row r="518" spans="1:13" ht="12.75">
      <c r="A518" s="36"/>
      <c r="B518" s="67"/>
      <c r="C518" s="22"/>
      <c r="D518" s="25"/>
      <c r="E518" s="19"/>
      <c r="F518" s="19"/>
      <c r="G518" s="16"/>
      <c r="H518" s="16"/>
      <c r="I518" s="90"/>
      <c r="J518" s="38"/>
      <c r="K518" s="43"/>
      <c r="L518" s="19"/>
      <c r="M518" s="16"/>
    </row>
    <row r="519" spans="1:13" ht="12.75">
      <c r="A519" s="36"/>
      <c r="B519" s="67"/>
      <c r="C519" s="22"/>
      <c r="D519" s="25"/>
      <c r="E519" s="19"/>
      <c r="F519" s="19"/>
      <c r="G519" s="16"/>
      <c r="H519" s="16"/>
      <c r="I519" s="90"/>
      <c r="J519" s="38"/>
      <c r="K519" s="43"/>
      <c r="L519" s="19"/>
      <c r="M519" s="16"/>
    </row>
    <row r="520" spans="1:13" ht="12.75">
      <c r="A520" s="36"/>
      <c r="B520" s="67"/>
      <c r="C520" s="22"/>
      <c r="D520" s="25"/>
      <c r="E520" s="19"/>
      <c r="F520" s="19"/>
      <c r="G520" s="16"/>
      <c r="H520" s="16"/>
      <c r="I520" s="90"/>
      <c r="J520" s="38"/>
      <c r="K520" s="43"/>
      <c r="L520" s="19"/>
      <c r="M520" s="16"/>
    </row>
    <row r="521" spans="1:13" ht="12.75">
      <c r="A521" s="36"/>
      <c r="B521" s="67"/>
      <c r="C521" s="22"/>
      <c r="D521" s="25"/>
      <c r="E521" s="19"/>
      <c r="F521" s="19"/>
      <c r="G521" s="16"/>
      <c r="H521" s="16"/>
      <c r="I521" s="90"/>
      <c r="J521" s="38"/>
      <c r="K521" s="43"/>
      <c r="L521" s="19"/>
      <c r="M521" s="16"/>
    </row>
    <row r="522" spans="1:13" ht="12.75">
      <c r="A522" s="36"/>
      <c r="B522" s="67"/>
      <c r="C522" s="22"/>
      <c r="D522" s="25"/>
      <c r="E522" s="19"/>
      <c r="F522" s="19"/>
      <c r="G522" s="16"/>
      <c r="H522" s="16"/>
      <c r="I522" s="90"/>
      <c r="J522" s="38"/>
      <c r="K522" s="43"/>
      <c r="L522" s="19"/>
      <c r="M522" s="16"/>
    </row>
    <row r="523" spans="1:13" ht="12.75">
      <c r="A523" s="36"/>
      <c r="B523" s="67"/>
      <c r="C523" s="22"/>
      <c r="D523" s="25"/>
      <c r="E523" s="19"/>
      <c r="F523" s="19"/>
      <c r="G523" s="16"/>
      <c r="H523" s="16"/>
      <c r="I523" s="90"/>
      <c r="J523" s="38"/>
      <c r="K523" s="43"/>
      <c r="L523" s="19"/>
      <c r="M523" s="16"/>
    </row>
    <row r="524" spans="1:13" ht="12.75">
      <c r="A524" s="36"/>
      <c r="B524" s="67"/>
      <c r="C524" s="22"/>
      <c r="D524" s="25"/>
      <c r="E524" s="19"/>
      <c r="F524" s="19"/>
      <c r="G524" s="16"/>
      <c r="H524" s="16"/>
      <c r="I524" s="90"/>
      <c r="J524" s="38"/>
      <c r="K524" s="43"/>
      <c r="L524" s="19"/>
      <c r="M524" s="16"/>
    </row>
    <row r="525" spans="1:13" ht="12.75">
      <c r="A525" s="36"/>
      <c r="B525" s="67"/>
      <c r="C525" s="22"/>
      <c r="D525" s="25"/>
      <c r="E525" s="19"/>
      <c r="F525" s="19"/>
      <c r="G525" s="16"/>
      <c r="H525" s="16"/>
      <c r="I525" s="90"/>
      <c r="J525" s="38"/>
      <c r="K525" s="43"/>
      <c r="L525" s="19"/>
      <c r="M525" s="16"/>
    </row>
    <row r="526" spans="1:13" ht="12.75">
      <c r="A526" s="36"/>
      <c r="B526" s="67"/>
      <c r="C526" s="22"/>
      <c r="D526" s="25"/>
      <c r="E526" s="19"/>
      <c r="F526" s="19"/>
      <c r="G526" s="16"/>
      <c r="H526" s="16"/>
      <c r="I526" s="90"/>
      <c r="J526" s="38"/>
      <c r="K526" s="43"/>
      <c r="L526" s="19"/>
      <c r="M526" s="16"/>
    </row>
    <row r="527" spans="1:13" ht="12.75">
      <c r="A527" s="36"/>
      <c r="B527" s="67"/>
      <c r="C527" s="22"/>
      <c r="D527" s="25"/>
      <c r="E527" s="19"/>
      <c r="F527" s="19"/>
      <c r="G527" s="16"/>
      <c r="H527" s="16"/>
      <c r="I527" s="90"/>
      <c r="J527" s="38"/>
      <c r="K527" s="43"/>
      <c r="L527" s="19"/>
      <c r="M527" s="16"/>
    </row>
    <row r="528" spans="1:13" ht="12.75">
      <c r="A528" s="36"/>
      <c r="B528" s="67"/>
      <c r="C528" s="22"/>
      <c r="D528" s="25"/>
      <c r="E528" s="19"/>
      <c r="F528" s="19"/>
      <c r="G528" s="16"/>
      <c r="H528" s="16"/>
      <c r="I528" s="90"/>
      <c r="J528" s="38"/>
      <c r="K528" s="43"/>
      <c r="L528" s="19"/>
      <c r="M528" s="16"/>
    </row>
    <row r="529" spans="1:13" ht="12.75">
      <c r="A529" s="36"/>
      <c r="B529" s="67"/>
      <c r="C529" s="22"/>
      <c r="D529" s="25"/>
      <c r="E529" s="19"/>
      <c r="F529" s="19"/>
      <c r="G529" s="16"/>
      <c r="H529" s="16"/>
      <c r="I529" s="90"/>
      <c r="J529" s="38"/>
      <c r="K529" s="43"/>
      <c r="L529" s="19"/>
      <c r="M529" s="16"/>
    </row>
    <row r="530" spans="1:13" ht="12.75">
      <c r="A530" s="36"/>
      <c r="B530" s="67"/>
      <c r="C530" s="22"/>
      <c r="D530" s="25"/>
      <c r="E530" s="19"/>
      <c r="F530" s="19"/>
      <c r="G530" s="16"/>
      <c r="H530" s="16"/>
      <c r="I530" s="90"/>
      <c r="J530" s="38"/>
      <c r="K530" s="43"/>
      <c r="L530" s="19"/>
      <c r="M530" s="16"/>
    </row>
    <row r="531" spans="1:13" ht="12.75">
      <c r="A531" s="36"/>
      <c r="B531" s="67"/>
      <c r="C531" s="22"/>
      <c r="D531" s="25"/>
      <c r="E531" s="19"/>
      <c r="F531" s="19"/>
      <c r="G531" s="16"/>
      <c r="H531" s="16"/>
      <c r="I531" s="90"/>
      <c r="J531" s="38"/>
      <c r="K531" s="43"/>
      <c r="L531" s="19"/>
      <c r="M531" s="16"/>
    </row>
    <row r="532" spans="1:13" ht="12.75">
      <c r="A532" s="36"/>
      <c r="B532" s="67"/>
      <c r="C532" s="22"/>
      <c r="D532" s="25"/>
      <c r="E532" s="19"/>
      <c r="F532" s="19"/>
      <c r="G532" s="16"/>
      <c r="H532" s="16"/>
      <c r="I532" s="90"/>
      <c r="J532" s="38"/>
      <c r="K532" s="43"/>
      <c r="L532" s="19"/>
      <c r="M532" s="16"/>
    </row>
    <row r="533" spans="1:13" ht="12.75">
      <c r="A533" s="36"/>
      <c r="B533" s="67"/>
      <c r="C533" s="22"/>
      <c r="D533" s="25"/>
      <c r="E533" s="19"/>
      <c r="F533" s="19"/>
      <c r="G533" s="16"/>
      <c r="H533" s="16"/>
      <c r="I533" s="90"/>
      <c r="J533" s="38"/>
      <c r="K533" s="43"/>
      <c r="L533" s="19"/>
      <c r="M533" s="16"/>
    </row>
    <row r="534" spans="1:13" ht="12.75">
      <c r="A534" s="36"/>
      <c r="B534" s="67"/>
      <c r="C534" s="22"/>
      <c r="D534" s="25"/>
      <c r="E534" s="19"/>
      <c r="F534" s="19"/>
      <c r="G534" s="16"/>
      <c r="H534" s="16"/>
      <c r="I534" s="90"/>
      <c r="J534" s="38"/>
      <c r="K534" s="43"/>
      <c r="L534" s="19"/>
      <c r="M534" s="16"/>
    </row>
    <row r="535" spans="1:13" ht="12.75">
      <c r="A535" s="36"/>
      <c r="B535" s="67"/>
      <c r="C535" s="22"/>
      <c r="D535" s="25"/>
      <c r="E535" s="19"/>
      <c r="F535" s="19"/>
      <c r="G535" s="16"/>
      <c r="H535" s="16"/>
      <c r="I535" s="90"/>
      <c r="J535" s="38"/>
      <c r="K535" s="43"/>
      <c r="L535" s="19"/>
      <c r="M535" s="16"/>
    </row>
    <row r="536" spans="1:13" ht="12.75">
      <c r="A536" s="36"/>
      <c r="B536" s="67"/>
      <c r="C536" s="22"/>
      <c r="D536" s="25"/>
      <c r="E536" s="19"/>
      <c r="F536" s="19"/>
      <c r="G536" s="16"/>
      <c r="H536" s="16"/>
      <c r="I536" s="90"/>
      <c r="J536" s="38"/>
      <c r="K536" s="43"/>
      <c r="L536" s="19"/>
      <c r="M536" s="16"/>
    </row>
    <row r="537" spans="1:13" ht="12.75">
      <c r="A537" s="36"/>
      <c r="B537" s="67"/>
      <c r="C537" s="22"/>
      <c r="D537" s="25"/>
      <c r="E537" s="19"/>
      <c r="F537" s="19"/>
      <c r="G537" s="16"/>
      <c r="H537" s="16"/>
      <c r="I537" s="90"/>
      <c r="J537" s="38"/>
      <c r="K537" s="43"/>
      <c r="L537" s="19"/>
      <c r="M537" s="16"/>
    </row>
    <row r="538" spans="1:13" ht="12.75">
      <c r="A538" s="36"/>
      <c r="B538" s="67"/>
      <c r="C538" s="22"/>
      <c r="D538" s="25"/>
      <c r="E538" s="19"/>
      <c r="F538" s="19"/>
      <c r="G538" s="16"/>
      <c r="H538" s="16"/>
      <c r="I538" s="90"/>
      <c r="J538" s="38"/>
      <c r="K538" s="43"/>
      <c r="L538" s="19"/>
      <c r="M538" s="16"/>
    </row>
    <row r="539" spans="1:13" ht="12.75">
      <c r="A539" s="36"/>
      <c r="B539" s="67"/>
      <c r="C539" s="22"/>
      <c r="D539" s="25"/>
      <c r="E539" s="19"/>
      <c r="F539" s="19"/>
      <c r="G539" s="16"/>
      <c r="H539" s="16"/>
      <c r="I539" s="90"/>
      <c r="J539" s="38"/>
      <c r="K539" s="43"/>
      <c r="L539" s="19"/>
      <c r="M539" s="16"/>
    </row>
    <row r="540" spans="1:13" ht="12.75">
      <c r="A540" s="36"/>
      <c r="B540" s="67"/>
      <c r="C540" s="22"/>
      <c r="D540" s="25"/>
      <c r="E540" s="19"/>
      <c r="F540" s="19"/>
      <c r="G540" s="16"/>
      <c r="H540" s="16"/>
      <c r="I540" s="90"/>
      <c r="J540" s="38"/>
      <c r="K540" s="43"/>
      <c r="L540" s="19"/>
      <c r="M540" s="16"/>
    </row>
    <row r="541" spans="1:13" ht="12.75">
      <c r="A541" s="36"/>
      <c r="B541" s="67"/>
      <c r="C541" s="22"/>
      <c r="D541" s="25"/>
      <c r="E541" s="19"/>
      <c r="F541" s="19"/>
      <c r="G541" s="16"/>
      <c r="H541" s="16"/>
      <c r="I541" s="90"/>
      <c r="J541" s="38"/>
      <c r="K541" s="43"/>
      <c r="L541" s="19"/>
      <c r="M541" s="16"/>
    </row>
    <row r="542" spans="1:13" ht="12.75">
      <c r="A542" s="36"/>
      <c r="B542" s="67"/>
      <c r="C542" s="22"/>
      <c r="D542" s="25"/>
      <c r="E542" s="19"/>
      <c r="F542" s="19"/>
      <c r="G542" s="16"/>
      <c r="H542" s="16"/>
      <c r="I542" s="90"/>
      <c r="J542" s="38"/>
      <c r="K542" s="43"/>
      <c r="L542" s="19"/>
      <c r="M542" s="16"/>
    </row>
    <row r="543" spans="1:13" ht="12.75">
      <c r="A543" s="36"/>
      <c r="B543" s="67"/>
      <c r="C543" s="22"/>
      <c r="D543" s="25"/>
      <c r="E543" s="19"/>
      <c r="F543" s="19"/>
      <c r="G543" s="16"/>
      <c r="H543" s="16"/>
      <c r="I543" s="90"/>
      <c r="J543" s="38"/>
      <c r="K543" s="43"/>
      <c r="L543" s="19"/>
      <c r="M543" s="16"/>
    </row>
    <row r="544" spans="1:13" ht="12.75">
      <c r="A544" s="36"/>
      <c r="B544" s="67"/>
      <c r="C544" s="22"/>
      <c r="D544" s="25"/>
      <c r="E544" s="19"/>
      <c r="F544" s="19"/>
      <c r="G544" s="16"/>
      <c r="H544" s="16"/>
      <c r="I544" s="90"/>
      <c r="J544" s="38"/>
      <c r="K544" s="43"/>
      <c r="L544" s="19"/>
      <c r="M544" s="16"/>
    </row>
    <row r="545" spans="1:13" ht="12.75">
      <c r="A545" s="36"/>
      <c r="B545" s="67"/>
      <c r="C545" s="22"/>
      <c r="D545" s="25"/>
      <c r="E545" s="19"/>
      <c r="F545" s="19"/>
      <c r="G545" s="16"/>
      <c r="H545" s="16"/>
      <c r="I545" s="90"/>
      <c r="J545" s="38"/>
      <c r="K545" s="43"/>
      <c r="L545" s="19"/>
      <c r="M545" s="16"/>
    </row>
    <row r="546" spans="1:13" ht="12.75">
      <c r="A546" s="36"/>
      <c r="B546" s="67"/>
      <c r="C546" s="22"/>
      <c r="D546" s="25"/>
      <c r="E546" s="19"/>
      <c r="F546" s="19"/>
      <c r="G546" s="16"/>
      <c r="H546" s="16"/>
      <c r="I546" s="90"/>
      <c r="J546" s="38"/>
      <c r="K546" s="43"/>
      <c r="L546" s="19"/>
      <c r="M546" s="16"/>
    </row>
    <row r="547" spans="1:13" ht="12.75">
      <c r="A547" s="36"/>
      <c r="B547" s="67"/>
      <c r="C547" s="22"/>
      <c r="D547" s="25"/>
      <c r="E547" s="19"/>
      <c r="F547" s="19"/>
      <c r="G547" s="16"/>
      <c r="H547" s="16"/>
      <c r="I547" s="90"/>
      <c r="J547" s="38"/>
      <c r="K547" s="43"/>
      <c r="L547" s="19"/>
      <c r="M547" s="16"/>
    </row>
    <row r="548" spans="1:13" ht="12.75">
      <c r="A548" s="36"/>
      <c r="B548" s="67"/>
      <c r="C548" s="22"/>
      <c r="D548" s="25"/>
      <c r="E548" s="19"/>
      <c r="F548" s="19"/>
      <c r="G548" s="16"/>
      <c r="H548" s="16"/>
      <c r="I548" s="90"/>
      <c r="J548" s="38"/>
      <c r="K548" s="43"/>
      <c r="L548" s="19"/>
      <c r="M548" s="16"/>
    </row>
    <row r="549" spans="1:13" ht="12.75">
      <c r="A549" s="36"/>
      <c r="B549" s="67"/>
      <c r="C549" s="22"/>
      <c r="D549" s="25"/>
      <c r="E549" s="19"/>
      <c r="F549" s="19"/>
      <c r="G549" s="16"/>
      <c r="H549" s="16"/>
      <c r="I549" s="90"/>
      <c r="J549" s="38"/>
      <c r="K549" s="43"/>
      <c r="L549" s="19"/>
      <c r="M549" s="16"/>
    </row>
    <row r="550" spans="1:13" ht="12.75">
      <c r="A550" s="36"/>
      <c r="B550" s="67"/>
      <c r="C550" s="22"/>
      <c r="D550" s="25"/>
      <c r="E550" s="19"/>
      <c r="F550" s="19"/>
      <c r="G550" s="16"/>
      <c r="H550" s="16"/>
      <c r="I550" s="90"/>
      <c r="J550" s="38"/>
      <c r="K550" s="43"/>
      <c r="L550" s="19"/>
      <c r="M550" s="16"/>
    </row>
    <row r="551" spans="1:13" ht="12.75">
      <c r="A551" s="36"/>
      <c r="B551" s="67"/>
      <c r="C551" s="22"/>
      <c r="D551" s="25"/>
      <c r="E551" s="19"/>
      <c r="F551" s="19"/>
      <c r="G551" s="16"/>
      <c r="H551" s="16"/>
      <c r="I551" s="90"/>
      <c r="J551" s="38"/>
      <c r="K551" s="43"/>
      <c r="L551" s="19"/>
      <c r="M551" s="16"/>
    </row>
    <row r="552" spans="1:13" ht="12.75">
      <c r="A552" s="36"/>
      <c r="B552" s="67"/>
      <c r="C552" s="22"/>
      <c r="D552" s="25"/>
      <c r="E552" s="19"/>
      <c r="F552" s="19"/>
      <c r="G552" s="16"/>
      <c r="H552" s="16"/>
      <c r="I552" s="90"/>
      <c r="J552" s="38"/>
      <c r="K552" s="43"/>
      <c r="L552" s="19"/>
      <c r="M552" s="16"/>
    </row>
    <row r="553" spans="1:13" ht="12.75">
      <c r="A553" s="36"/>
      <c r="B553" s="67"/>
      <c r="C553" s="22"/>
      <c r="D553" s="25"/>
      <c r="E553" s="19"/>
      <c r="F553" s="19"/>
      <c r="G553" s="16"/>
      <c r="H553" s="16"/>
      <c r="I553" s="90"/>
      <c r="J553" s="38"/>
      <c r="K553" s="43"/>
      <c r="L553" s="19"/>
      <c r="M553" s="16"/>
    </row>
    <row r="554" spans="1:13" ht="12.75">
      <c r="A554" s="36"/>
      <c r="B554" s="67"/>
      <c r="C554" s="22"/>
      <c r="D554" s="25"/>
      <c r="E554" s="19"/>
      <c r="F554" s="19"/>
      <c r="G554" s="16"/>
      <c r="H554" s="16"/>
      <c r="I554" s="90"/>
      <c r="J554" s="38"/>
      <c r="K554" s="43"/>
      <c r="L554" s="19"/>
      <c r="M554" s="16"/>
    </row>
    <row r="555" spans="1:13" ht="12.75">
      <c r="A555" s="36"/>
      <c r="B555" s="67"/>
      <c r="C555" s="22"/>
      <c r="D555" s="25"/>
      <c r="E555" s="19"/>
      <c r="F555" s="19"/>
      <c r="G555" s="16"/>
      <c r="H555" s="16"/>
      <c r="I555" s="90"/>
      <c r="J555" s="38"/>
      <c r="K555" s="43"/>
      <c r="L555" s="19"/>
      <c r="M555" s="16"/>
    </row>
    <row r="556" spans="1:13" ht="12.75">
      <c r="A556" s="36"/>
      <c r="B556" s="67"/>
      <c r="C556" s="22"/>
      <c r="D556" s="25"/>
      <c r="E556" s="19"/>
      <c r="F556" s="19"/>
      <c r="G556" s="16"/>
      <c r="H556" s="16"/>
      <c r="I556" s="90"/>
      <c r="J556" s="38"/>
      <c r="K556" s="43"/>
      <c r="L556" s="19"/>
      <c r="M556" s="16"/>
    </row>
    <row r="557" spans="1:13" ht="12.75">
      <c r="A557" s="36"/>
      <c r="B557" s="67"/>
      <c r="C557" s="22"/>
      <c r="D557" s="25"/>
      <c r="E557" s="19"/>
      <c r="F557" s="19"/>
      <c r="G557" s="16"/>
      <c r="H557" s="16"/>
      <c r="I557" s="90"/>
      <c r="J557" s="38"/>
      <c r="K557" s="43"/>
      <c r="L557" s="19"/>
      <c r="M557" s="16"/>
    </row>
    <row r="558" spans="1:13" ht="12.75">
      <c r="A558" s="36"/>
      <c r="B558" s="67"/>
      <c r="C558" s="22"/>
      <c r="D558" s="25"/>
      <c r="E558" s="19"/>
      <c r="F558" s="19"/>
      <c r="G558" s="16"/>
      <c r="H558" s="16"/>
      <c r="I558" s="90"/>
      <c r="J558" s="38"/>
      <c r="K558" s="43"/>
      <c r="L558" s="19"/>
      <c r="M558" s="16"/>
    </row>
    <row r="559" spans="1:13" ht="12.75">
      <c r="A559" s="36"/>
      <c r="B559" s="67"/>
      <c r="C559" s="22"/>
      <c r="D559" s="25"/>
      <c r="E559" s="19"/>
      <c r="F559" s="19"/>
      <c r="G559" s="16"/>
      <c r="H559" s="16"/>
      <c r="I559" s="90"/>
      <c r="J559" s="38"/>
      <c r="K559" s="43"/>
      <c r="L559" s="19"/>
      <c r="M559" s="16"/>
    </row>
    <row r="560" spans="1:13" ht="12.75">
      <c r="A560" s="36"/>
      <c r="B560" s="67"/>
      <c r="C560" s="22"/>
      <c r="D560" s="25"/>
      <c r="E560" s="19"/>
      <c r="F560" s="19"/>
      <c r="G560" s="16"/>
      <c r="H560" s="16"/>
      <c r="I560" s="90"/>
      <c r="J560" s="38"/>
      <c r="K560" s="43"/>
      <c r="L560" s="19"/>
      <c r="M560" s="16"/>
    </row>
    <row r="561" spans="1:13" ht="12.75">
      <c r="A561" s="36"/>
      <c r="B561" s="67"/>
      <c r="C561" s="22"/>
      <c r="D561" s="25"/>
      <c r="E561" s="19"/>
      <c r="F561" s="19"/>
      <c r="G561" s="16"/>
      <c r="H561" s="16"/>
      <c r="I561" s="90"/>
      <c r="J561" s="38"/>
      <c r="K561" s="43"/>
      <c r="L561" s="19"/>
      <c r="M561" s="16"/>
    </row>
    <row r="562" spans="1:13" ht="12.75">
      <c r="A562" s="36"/>
      <c r="B562" s="67"/>
      <c r="C562" s="22"/>
      <c r="D562" s="25"/>
      <c r="E562" s="19"/>
      <c r="F562" s="19"/>
      <c r="G562" s="16"/>
      <c r="H562" s="16"/>
      <c r="I562" s="90"/>
      <c r="J562" s="38"/>
      <c r="K562" s="43"/>
      <c r="L562" s="19"/>
      <c r="M562" s="16"/>
    </row>
    <row r="563" spans="1:13" ht="12.75">
      <c r="A563" s="36"/>
      <c r="B563" s="67"/>
      <c r="C563" s="22"/>
      <c r="D563" s="25"/>
      <c r="E563" s="19"/>
      <c r="F563" s="19"/>
      <c r="G563" s="16"/>
      <c r="H563" s="16"/>
      <c r="I563" s="90"/>
      <c r="J563" s="38"/>
      <c r="K563" s="43"/>
      <c r="L563" s="19"/>
      <c r="M563" s="16"/>
    </row>
    <row r="564" spans="1:13" ht="12.75">
      <c r="A564" s="36"/>
      <c r="B564" s="67"/>
      <c r="C564" s="22"/>
      <c r="D564" s="25"/>
      <c r="E564" s="19"/>
      <c r="F564" s="19"/>
      <c r="G564" s="16"/>
      <c r="H564" s="16"/>
      <c r="I564" s="90"/>
      <c r="J564" s="38"/>
      <c r="K564" s="43"/>
      <c r="L564" s="19"/>
      <c r="M564" s="16"/>
    </row>
    <row r="565" spans="1:13" ht="12.75">
      <c r="A565" s="36"/>
      <c r="B565" s="67"/>
      <c r="C565" s="22"/>
      <c r="D565" s="25"/>
      <c r="E565" s="19"/>
      <c r="F565" s="19"/>
      <c r="G565" s="16"/>
      <c r="H565" s="16"/>
      <c r="I565" s="90"/>
      <c r="J565" s="38"/>
      <c r="K565" s="43"/>
      <c r="L565" s="19"/>
      <c r="M565" s="16"/>
    </row>
    <row r="566" spans="1:13" ht="12.75">
      <c r="A566" s="36"/>
      <c r="B566" s="67"/>
      <c r="C566" s="22"/>
      <c r="D566" s="25"/>
      <c r="E566" s="19"/>
      <c r="F566" s="19"/>
      <c r="G566" s="16"/>
      <c r="H566" s="16"/>
      <c r="I566" s="90"/>
      <c r="J566" s="38"/>
      <c r="K566" s="43"/>
      <c r="L566" s="19"/>
      <c r="M566" s="16"/>
    </row>
    <row r="567" spans="1:13" ht="12.75">
      <c r="A567" s="36"/>
      <c r="B567" s="67"/>
      <c r="C567" s="22"/>
      <c r="D567" s="25"/>
      <c r="E567" s="19"/>
      <c r="F567" s="19"/>
      <c r="G567" s="16"/>
      <c r="H567" s="16"/>
      <c r="I567" s="90"/>
      <c r="J567" s="38"/>
      <c r="K567" s="43"/>
      <c r="L567" s="19"/>
      <c r="M567" s="16"/>
    </row>
    <row r="568" spans="1:13" ht="12.75">
      <c r="A568" s="36"/>
      <c r="B568" s="67"/>
      <c r="C568" s="22"/>
      <c r="D568" s="25"/>
      <c r="E568" s="19"/>
      <c r="F568" s="19"/>
      <c r="G568" s="16"/>
      <c r="H568" s="16"/>
      <c r="I568" s="90"/>
      <c r="J568" s="38"/>
      <c r="K568" s="43"/>
      <c r="L568" s="19"/>
      <c r="M568" s="16"/>
    </row>
    <row r="569" spans="1:13" ht="12.75">
      <c r="A569" s="36"/>
      <c r="B569" s="67"/>
      <c r="C569" s="22"/>
      <c r="D569" s="25"/>
      <c r="E569" s="19"/>
      <c r="F569" s="19"/>
      <c r="G569" s="16"/>
      <c r="H569" s="16"/>
      <c r="I569" s="90"/>
      <c r="J569" s="38"/>
      <c r="K569" s="43"/>
      <c r="L569" s="19"/>
      <c r="M569" s="16"/>
    </row>
    <row r="570" spans="1:13" ht="12.75">
      <c r="A570" s="36"/>
      <c r="B570" s="67"/>
      <c r="C570" s="22"/>
      <c r="D570" s="25"/>
      <c r="E570" s="19"/>
      <c r="F570" s="19"/>
      <c r="G570" s="16"/>
      <c r="H570" s="16"/>
      <c r="I570" s="90"/>
      <c r="J570" s="38"/>
      <c r="K570" s="43"/>
      <c r="L570" s="19"/>
      <c r="M570" s="16"/>
    </row>
    <row r="571" spans="1:13" ht="12.75">
      <c r="A571" s="36"/>
      <c r="B571" s="67"/>
      <c r="C571" s="22"/>
      <c r="D571" s="25"/>
      <c r="E571" s="19"/>
      <c r="F571" s="19"/>
      <c r="G571" s="16"/>
      <c r="H571" s="16"/>
      <c r="I571" s="90"/>
      <c r="J571" s="38"/>
      <c r="K571" s="43"/>
      <c r="L571" s="19"/>
      <c r="M571" s="16"/>
    </row>
    <row r="572" spans="1:13" ht="12.75">
      <c r="A572" s="36"/>
      <c r="B572" s="67"/>
      <c r="C572" s="22"/>
      <c r="D572" s="25"/>
      <c r="E572" s="19"/>
      <c r="F572" s="19"/>
      <c r="G572" s="16"/>
      <c r="H572" s="16"/>
      <c r="I572" s="90"/>
      <c r="J572" s="38"/>
      <c r="K572" s="43"/>
      <c r="L572" s="19"/>
      <c r="M572" s="16"/>
    </row>
    <row r="573" spans="1:13" ht="12.75">
      <c r="A573" s="36"/>
      <c r="B573" s="67"/>
      <c r="C573" s="22"/>
      <c r="D573" s="25"/>
      <c r="E573" s="19"/>
      <c r="F573" s="19"/>
      <c r="G573" s="16"/>
      <c r="H573" s="16"/>
      <c r="I573" s="90"/>
      <c r="J573" s="38"/>
      <c r="K573" s="43"/>
      <c r="L573" s="19"/>
      <c r="M573" s="16"/>
    </row>
    <row r="574" spans="1:13" ht="12.75">
      <c r="A574" s="36"/>
      <c r="B574" s="67"/>
      <c r="C574" s="22"/>
      <c r="D574" s="25"/>
      <c r="E574" s="19"/>
      <c r="F574" s="19"/>
      <c r="G574" s="16"/>
      <c r="H574" s="16"/>
      <c r="I574" s="90"/>
      <c r="J574" s="38"/>
      <c r="K574" s="43"/>
      <c r="L574" s="19"/>
      <c r="M574" s="16"/>
    </row>
    <row r="575" spans="1:13" ht="12.75">
      <c r="A575" s="36"/>
      <c r="B575" s="67"/>
      <c r="C575" s="22"/>
      <c r="D575" s="25"/>
      <c r="E575" s="19"/>
      <c r="F575" s="19"/>
      <c r="G575" s="16"/>
      <c r="H575" s="16"/>
      <c r="I575" s="90"/>
      <c r="J575" s="38"/>
      <c r="K575" s="43"/>
      <c r="L575" s="19"/>
      <c r="M575" s="16"/>
    </row>
    <row r="576" spans="1:13" ht="12.75">
      <c r="A576" s="36"/>
      <c r="B576" s="67"/>
      <c r="C576" s="22"/>
      <c r="D576" s="25"/>
      <c r="E576" s="19"/>
      <c r="F576" s="19"/>
      <c r="G576" s="16"/>
      <c r="H576" s="16"/>
      <c r="I576" s="90"/>
      <c r="J576" s="38"/>
      <c r="K576" s="43"/>
      <c r="L576" s="19"/>
      <c r="M576" s="16"/>
    </row>
    <row r="577" spans="1:13" ht="12.75">
      <c r="A577" s="36"/>
      <c r="B577" s="67"/>
      <c r="C577" s="22"/>
      <c r="D577" s="25"/>
      <c r="E577" s="19"/>
      <c r="F577" s="19"/>
      <c r="G577" s="16"/>
      <c r="H577" s="16"/>
      <c r="I577" s="90"/>
      <c r="J577" s="38"/>
      <c r="K577" s="43"/>
      <c r="L577" s="19"/>
      <c r="M577" s="16"/>
    </row>
    <row r="578" spans="1:13" ht="12.75">
      <c r="A578" s="36"/>
      <c r="B578" s="67"/>
      <c r="C578" s="22"/>
      <c r="D578" s="25"/>
      <c r="E578" s="19"/>
      <c r="F578" s="19"/>
      <c r="G578" s="16"/>
      <c r="H578" s="16"/>
      <c r="I578" s="90"/>
      <c r="J578" s="38"/>
      <c r="K578" s="43"/>
      <c r="L578" s="19"/>
      <c r="M578" s="16"/>
    </row>
    <row r="579" spans="1:13" ht="12.75">
      <c r="A579" s="36"/>
      <c r="B579" s="67"/>
      <c r="C579" s="22"/>
      <c r="D579" s="25"/>
      <c r="E579" s="19"/>
      <c r="F579" s="19"/>
      <c r="G579" s="16"/>
      <c r="H579" s="16"/>
      <c r="I579" s="90"/>
      <c r="J579" s="38"/>
      <c r="K579" s="43"/>
      <c r="L579" s="19"/>
      <c r="M579" s="16"/>
    </row>
    <row r="580" spans="1:13" ht="12.75">
      <c r="A580" s="36"/>
      <c r="B580" s="67"/>
      <c r="C580" s="22"/>
      <c r="D580" s="25"/>
      <c r="E580" s="19"/>
      <c r="F580" s="19"/>
      <c r="G580" s="16"/>
      <c r="H580" s="16"/>
      <c r="I580" s="90"/>
      <c r="J580" s="38"/>
      <c r="K580" s="43"/>
      <c r="L580" s="19"/>
      <c r="M580" s="16"/>
    </row>
    <row r="581" spans="1:13" ht="12.75">
      <c r="A581" s="36"/>
      <c r="B581" s="67"/>
      <c r="C581" s="22"/>
      <c r="D581" s="25"/>
      <c r="E581" s="19"/>
      <c r="F581" s="19"/>
      <c r="G581" s="16"/>
      <c r="H581" s="16"/>
      <c r="I581" s="90"/>
      <c r="J581" s="38"/>
      <c r="K581" s="43"/>
      <c r="L581" s="19"/>
      <c r="M581" s="16"/>
    </row>
    <row r="582" spans="1:13" ht="12.75">
      <c r="A582" s="36"/>
      <c r="B582" s="67"/>
      <c r="C582" s="22"/>
      <c r="D582" s="25"/>
      <c r="E582" s="19"/>
      <c r="F582" s="19"/>
      <c r="G582" s="16"/>
      <c r="H582" s="16"/>
      <c r="I582" s="90"/>
      <c r="J582" s="38"/>
      <c r="K582" s="43"/>
      <c r="L582" s="19"/>
      <c r="M582" s="16"/>
    </row>
    <row r="583" spans="1:13" ht="12.75">
      <c r="A583" s="36"/>
      <c r="B583" s="67"/>
      <c r="C583" s="22"/>
      <c r="D583" s="25"/>
      <c r="E583" s="19"/>
      <c r="F583" s="19"/>
      <c r="G583" s="16"/>
      <c r="H583" s="16"/>
      <c r="I583" s="90"/>
      <c r="J583" s="38"/>
      <c r="K583" s="43"/>
      <c r="L583" s="19"/>
      <c r="M583" s="16"/>
    </row>
    <row r="584" spans="1:13" ht="12.75">
      <c r="A584" s="36"/>
      <c r="B584" s="67"/>
      <c r="C584" s="22"/>
      <c r="D584" s="25"/>
      <c r="E584" s="19"/>
      <c r="F584" s="19"/>
      <c r="G584" s="16"/>
      <c r="H584" s="16"/>
      <c r="I584" s="90"/>
      <c r="J584" s="38"/>
      <c r="K584" s="43"/>
      <c r="L584" s="19"/>
      <c r="M584" s="16"/>
    </row>
    <row r="585" spans="1:13" ht="12.75">
      <c r="A585" s="36"/>
      <c r="B585" s="67"/>
      <c r="C585" s="22"/>
      <c r="D585" s="25"/>
      <c r="E585" s="19"/>
      <c r="F585" s="19"/>
      <c r="G585" s="16"/>
      <c r="H585" s="16"/>
      <c r="I585" s="90"/>
      <c r="J585" s="38"/>
      <c r="K585" s="43"/>
      <c r="L585" s="19"/>
      <c r="M585" s="16"/>
    </row>
    <row r="586" spans="1:13" ht="12.75">
      <c r="A586" s="36"/>
      <c r="B586" s="67"/>
      <c r="C586" s="22"/>
      <c r="D586" s="25"/>
      <c r="E586" s="19"/>
      <c r="F586" s="19"/>
      <c r="G586" s="16"/>
      <c r="H586" s="16"/>
      <c r="I586" s="90"/>
      <c r="J586" s="38"/>
      <c r="K586" s="43"/>
      <c r="L586" s="19"/>
      <c r="M586" s="16"/>
    </row>
    <row r="587" spans="1:13" ht="12.75">
      <c r="A587" s="36"/>
      <c r="B587" s="67"/>
      <c r="C587" s="22"/>
      <c r="D587" s="25"/>
      <c r="E587" s="19"/>
      <c r="F587" s="19"/>
      <c r="G587" s="16"/>
      <c r="H587" s="16"/>
      <c r="I587" s="90"/>
      <c r="J587" s="38"/>
      <c r="K587" s="43"/>
      <c r="L587" s="19"/>
      <c r="M587" s="16"/>
    </row>
    <row r="588" spans="1:13" ht="12.75">
      <c r="A588" s="36"/>
      <c r="B588" s="67"/>
      <c r="C588" s="22"/>
      <c r="D588" s="25"/>
      <c r="E588" s="19"/>
      <c r="F588" s="19"/>
      <c r="G588" s="16"/>
      <c r="H588" s="16"/>
      <c r="I588" s="90"/>
      <c r="J588" s="38"/>
      <c r="K588" s="43"/>
      <c r="L588" s="19"/>
      <c r="M588" s="16"/>
    </row>
    <row r="589" spans="1:13" ht="12.75">
      <c r="A589" s="36"/>
      <c r="B589" s="67"/>
      <c r="C589" s="22"/>
      <c r="D589" s="25"/>
      <c r="E589" s="19"/>
      <c r="F589" s="19"/>
      <c r="G589" s="16"/>
      <c r="H589" s="16"/>
      <c r="I589" s="90"/>
      <c r="J589" s="38"/>
      <c r="K589" s="43"/>
      <c r="L589" s="19"/>
      <c r="M589" s="16"/>
    </row>
    <row r="590" spans="1:13" ht="12.75">
      <c r="A590" s="36"/>
      <c r="B590" s="67"/>
      <c r="C590" s="22"/>
      <c r="D590" s="25"/>
      <c r="E590" s="19"/>
      <c r="F590" s="19"/>
      <c r="G590" s="16"/>
      <c r="H590" s="16"/>
      <c r="I590" s="90"/>
      <c r="J590" s="38"/>
      <c r="K590" s="43"/>
      <c r="L590" s="19"/>
      <c r="M590" s="16"/>
    </row>
    <row r="591" spans="1:13" ht="12.75">
      <c r="A591" s="36"/>
      <c r="B591" s="67"/>
      <c r="C591" s="22"/>
      <c r="D591" s="25"/>
      <c r="E591" s="19"/>
      <c r="F591" s="19"/>
      <c r="G591" s="16"/>
      <c r="H591" s="16"/>
      <c r="I591" s="90"/>
      <c r="J591" s="38"/>
      <c r="K591" s="43"/>
      <c r="L591" s="19"/>
      <c r="M591" s="16"/>
    </row>
    <row r="592" spans="1:13" ht="12.75">
      <c r="A592" s="36"/>
      <c r="B592" s="67"/>
      <c r="C592" s="22"/>
      <c r="D592" s="25"/>
      <c r="E592" s="19"/>
      <c r="F592" s="19"/>
      <c r="G592" s="16"/>
      <c r="H592" s="16"/>
      <c r="I592" s="90"/>
      <c r="J592" s="38"/>
      <c r="K592" s="43"/>
      <c r="L592" s="19"/>
      <c r="M592" s="16"/>
    </row>
    <row r="593" spans="1:13" ht="12.75">
      <c r="A593" s="36"/>
      <c r="B593" s="67"/>
      <c r="C593" s="22"/>
      <c r="D593" s="25"/>
      <c r="E593" s="19"/>
      <c r="F593" s="19"/>
      <c r="G593" s="16"/>
      <c r="H593" s="16"/>
      <c r="I593" s="90"/>
      <c r="J593" s="38"/>
      <c r="K593" s="43"/>
      <c r="L593" s="19"/>
      <c r="M593" s="16"/>
    </row>
    <row r="594" spans="1:13" ht="12.75">
      <c r="A594" s="36"/>
      <c r="B594" s="67"/>
      <c r="C594" s="22"/>
      <c r="D594" s="25"/>
      <c r="E594" s="19"/>
      <c r="F594" s="19"/>
      <c r="G594" s="16"/>
      <c r="H594" s="16"/>
      <c r="I594" s="90"/>
      <c r="J594" s="38"/>
      <c r="K594" s="43"/>
      <c r="L594" s="19"/>
      <c r="M594" s="16"/>
    </row>
    <row r="595" spans="1:13" ht="12.75">
      <c r="A595" s="36"/>
      <c r="B595" s="67"/>
      <c r="C595" s="22"/>
      <c r="D595" s="25"/>
      <c r="E595" s="19"/>
      <c r="F595" s="19"/>
      <c r="G595" s="16"/>
      <c r="H595" s="16"/>
      <c r="I595" s="90"/>
      <c r="J595" s="38"/>
      <c r="K595" s="43"/>
      <c r="L595" s="19"/>
      <c r="M595" s="16"/>
    </row>
    <row r="596" spans="1:13" ht="12.75">
      <c r="A596" s="36"/>
      <c r="B596" s="67"/>
      <c r="C596" s="22"/>
      <c r="D596" s="25"/>
      <c r="E596" s="19"/>
      <c r="F596" s="19"/>
      <c r="G596" s="16"/>
      <c r="H596" s="16"/>
      <c r="I596" s="90"/>
      <c r="J596" s="38"/>
      <c r="K596" s="43"/>
      <c r="L596" s="19"/>
      <c r="M596" s="16"/>
    </row>
    <row r="597" spans="1:13" ht="12.75">
      <c r="A597" s="36"/>
      <c r="B597" s="67"/>
      <c r="C597" s="22"/>
      <c r="D597" s="25"/>
      <c r="E597" s="19"/>
      <c r="F597" s="19"/>
      <c r="G597" s="16"/>
      <c r="H597" s="16"/>
      <c r="I597" s="90"/>
      <c r="J597" s="38"/>
      <c r="K597" s="43"/>
      <c r="L597" s="19"/>
      <c r="M597" s="16"/>
    </row>
    <row r="598" spans="1:13" ht="12.75">
      <c r="A598" s="36"/>
      <c r="B598" s="67"/>
      <c r="C598" s="22"/>
      <c r="D598" s="25"/>
      <c r="E598" s="19"/>
      <c r="F598" s="19"/>
      <c r="G598" s="16"/>
      <c r="H598" s="16"/>
      <c r="I598" s="90"/>
      <c r="J598" s="38"/>
      <c r="K598" s="43"/>
      <c r="L598" s="19"/>
      <c r="M598" s="16"/>
    </row>
    <row r="599" spans="1:13" ht="12.75">
      <c r="A599" s="36"/>
      <c r="B599" s="67"/>
      <c r="C599" s="22"/>
      <c r="D599" s="25"/>
      <c r="E599" s="19"/>
      <c r="F599" s="19"/>
      <c r="G599" s="16"/>
      <c r="H599" s="16"/>
      <c r="I599" s="90"/>
      <c r="J599" s="38"/>
      <c r="K599" s="43"/>
      <c r="L599" s="19"/>
      <c r="M599" s="16"/>
    </row>
    <row r="600" spans="1:13" ht="12.75">
      <c r="A600" s="36"/>
      <c r="B600" s="67"/>
      <c r="C600" s="22"/>
      <c r="D600" s="25"/>
      <c r="E600" s="19"/>
      <c r="F600" s="19"/>
      <c r="G600" s="16"/>
      <c r="H600" s="16"/>
      <c r="I600" s="90"/>
      <c r="J600" s="38"/>
      <c r="K600" s="43"/>
      <c r="L600" s="19"/>
      <c r="M600" s="16"/>
    </row>
    <row r="601" spans="1:13" ht="12.75">
      <c r="A601" s="36"/>
      <c r="B601" s="67"/>
      <c r="C601" s="22"/>
      <c r="D601" s="25"/>
      <c r="E601" s="19"/>
      <c r="F601" s="19"/>
      <c r="G601" s="16"/>
      <c r="H601" s="16"/>
      <c r="I601" s="90"/>
      <c r="J601" s="38"/>
      <c r="K601" s="43"/>
      <c r="L601" s="19"/>
      <c r="M601" s="16"/>
    </row>
    <row r="602" spans="1:13" ht="12.75">
      <c r="A602" s="36"/>
      <c r="B602" s="67"/>
      <c r="C602" s="22"/>
      <c r="D602" s="25"/>
      <c r="E602" s="19"/>
      <c r="F602" s="19"/>
      <c r="G602" s="16"/>
      <c r="H602" s="16"/>
      <c r="I602" s="90"/>
      <c r="J602" s="38"/>
      <c r="K602" s="43"/>
      <c r="L602" s="19"/>
      <c r="M602" s="16"/>
    </row>
    <row r="603" spans="1:13" ht="12.75">
      <c r="A603" s="36"/>
      <c r="B603" s="67"/>
      <c r="C603" s="22"/>
      <c r="D603" s="25"/>
      <c r="E603" s="19"/>
      <c r="F603" s="19"/>
      <c r="G603" s="16"/>
      <c r="H603" s="16"/>
      <c r="I603" s="90"/>
      <c r="J603" s="38"/>
      <c r="K603" s="43"/>
      <c r="L603" s="19"/>
      <c r="M603" s="16"/>
    </row>
    <row r="604" spans="1:13" ht="12.75">
      <c r="A604" s="36"/>
      <c r="B604" s="67"/>
      <c r="C604" s="22"/>
      <c r="D604" s="25"/>
      <c r="E604" s="19"/>
      <c r="F604" s="19"/>
      <c r="G604" s="16"/>
      <c r="H604" s="16"/>
      <c r="I604" s="90"/>
      <c r="J604" s="38"/>
      <c r="K604" s="43"/>
      <c r="L604" s="19"/>
      <c r="M604" s="16"/>
    </row>
    <row r="605" spans="1:13" ht="12.75">
      <c r="A605" s="36"/>
      <c r="B605" s="67"/>
      <c r="C605" s="22"/>
      <c r="D605" s="25"/>
      <c r="E605" s="19"/>
      <c r="F605" s="19"/>
      <c r="G605" s="16"/>
      <c r="H605" s="16"/>
      <c r="I605" s="90"/>
      <c r="J605" s="38"/>
      <c r="K605" s="43"/>
      <c r="L605" s="19"/>
      <c r="M605" s="16"/>
    </row>
    <row r="606" spans="1:13" ht="12.75">
      <c r="A606" s="36"/>
      <c r="B606" s="67"/>
      <c r="C606" s="22"/>
      <c r="D606" s="25"/>
      <c r="E606" s="19"/>
      <c r="F606" s="19"/>
      <c r="G606" s="16"/>
      <c r="H606" s="16"/>
      <c r="I606" s="90"/>
      <c r="J606" s="38"/>
      <c r="K606" s="43"/>
      <c r="L606" s="19"/>
      <c r="M606" s="16"/>
    </row>
    <row r="607" spans="1:13" ht="12.75">
      <c r="A607" s="36"/>
      <c r="B607" s="67"/>
      <c r="C607" s="22"/>
      <c r="D607" s="25"/>
      <c r="E607" s="19"/>
      <c r="F607" s="19"/>
      <c r="G607" s="16"/>
      <c r="H607" s="16"/>
      <c r="I607" s="90"/>
      <c r="J607" s="38"/>
      <c r="K607" s="43"/>
      <c r="L607" s="19"/>
      <c r="M607" s="16"/>
    </row>
    <row r="608" spans="1:13" ht="12.75">
      <c r="A608" s="36"/>
      <c r="B608" s="67"/>
      <c r="C608" s="22"/>
      <c r="D608" s="25"/>
      <c r="E608" s="19"/>
      <c r="F608" s="19"/>
      <c r="G608" s="16"/>
      <c r="H608" s="16"/>
      <c r="I608" s="90"/>
      <c r="J608" s="38"/>
      <c r="K608" s="43"/>
      <c r="L608" s="19"/>
      <c r="M608" s="16"/>
    </row>
    <row r="609" spans="1:13" ht="12.75">
      <c r="A609" s="36"/>
      <c r="B609" s="67"/>
      <c r="C609" s="22"/>
      <c r="D609" s="25"/>
      <c r="E609" s="19"/>
      <c r="F609" s="19"/>
      <c r="G609" s="16"/>
      <c r="H609" s="16"/>
      <c r="I609" s="90"/>
      <c r="J609" s="38"/>
      <c r="K609" s="43"/>
      <c r="L609" s="19"/>
      <c r="M609" s="16"/>
    </row>
    <row r="610" spans="1:13" ht="12.75">
      <c r="A610" s="36"/>
      <c r="B610" s="67"/>
      <c r="C610" s="22"/>
      <c r="D610" s="25"/>
      <c r="E610" s="19"/>
      <c r="F610" s="19"/>
      <c r="G610" s="16"/>
      <c r="H610" s="16"/>
      <c r="I610" s="90"/>
      <c r="J610" s="38"/>
      <c r="K610" s="43"/>
      <c r="L610" s="19"/>
      <c r="M610" s="16"/>
    </row>
    <row r="611" spans="1:13" ht="12.75">
      <c r="A611" s="36"/>
      <c r="B611" s="67"/>
      <c r="C611" s="22"/>
      <c r="D611" s="25"/>
      <c r="E611" s="19"/>
      <c r="F611" s="19"/>
      <c r="G611" s="16"/>
      <c r="H611" s="16"/>
      <c r="I611" s="90"/>
      <c r="J611" s="38"/>
      <c r="K611" s="43"/>
      <c r="L611" s="19"/>
      <c r="M611" s="16"/>
    </row>
    <row r="612" spans="1:13" ht="12.75">
      <c r="A612" s="36"/>
      <c r="B612" s="67"/>
      <c r="C612" s="22"/>
      <c r="D612" s="25"/>
      <c r="E612" s="19"/>
      <c r="F612" s="19"/>
      <c r="G612" s="16"/>
      <c r="H612" s="16"/>
      <c r="I612" s="90"/>
      <c r="J612" s="38"/>
      <c r="K612" s="43"/>
      <c r="L612" s="19"/>
      <c r="M612" s="16"/>
    </row>
    <row r="613" spans="1:13" ht="12.75">
      <c r="A613" s="36"/>
      <c r="B613" s="67"/>
      <c r="C613" s="22"/>
      <c r="D613" s="25"/>
      <c r="E613" s="19"/>
      <c r="F613" s="19"/>
      <c r="G613" s="16"/>
      <c r="H613" s="16"/>
      <c r="I613" s="90"/>
      <c r="J613" s="38"/>
      <c r="K613" s="43"/>
      <c r="L613" s="19"/>
      <c r="M613" s="16"/>
    </row>
    <row r="614" spans="1:13" ht="12.75">
      <c r="A614" s="36"/>
      <c r="B614" s="67"/>
      <c r="C614" s="22"/>
      <c r="D614" s="25"/>
      <c r="E614" s="19"/>
      <c r="F614" s="19"/>
      <c r="G614" s="16"/>
      <c r="H614" s="16"/>
      <c r="I614" s="90"/>
      <c r="J614" s="38"/>
      <c r="K614" s="43"/>
      <c r="L614" s="19"/>
      <c r="M614" s="16"/>
    </row>
    <row r="615" spans="1:13" ht="12.75">
      <c r="A615" s="36"/>
      <c r="B615" s="67"/>
      <c r="C615" s="22"/>
      <c r="D615" s="25"/>
      <c r="E615" s="19"/>
      <c r="F615" s="19"/>
      <c r="G615" s="16"/>
      <c r="H615" s="16"/>
      <c r="I615" s="90"/>
      <c r="J615" s="38"/>
      <c r="K615" s="43"/>
      <c r="L615" s="19"/>
      <c r="M615" s="16"/>
    </row>
    <row r="616" spans="1:13" ht="12.75">
      <c r="A616" s="36"/>
      <c r="B616" s="67"/>
      <c r="C616" s="22"/>
      <c r="D616" s="25"/>
      <c r="E616" s="19"/>
      <c r="F616" s="19"/>
      <c r="G616" s="16"/>
      <c r="H616" s="16"/>
      <c r="I616" s="90"/>
      <c r="J616" s="38"/>
      <c r="K616" s="43"/>
      <c r="L616" s="19"/>
      <c r="M616" s="16"/>
    </row>
    <row r="617" spans="1:13" ht="12.75">
      <c r="A617" s="36"/>
      <c r="B617" s="67"/>
      <c r="C617" s="22"/>
      <c r="D617" s="25"/>
      <c r="E617" s="19"/>
      <c r="F617" s="19"/>
      <c r="G617" s="16"/>
      <c r="H617" s="16"/>
      <c r="I617" s="90"/>
      <c r="J617" s="38"/>
      <c r="K617" s="43"/>
      <c r="L617" s="19"/>
      <c r="M617" s="16"/>
    </row>
    <row r="618" spans="1:13" ht="12.75">
      <c r="A618" s="36"/>
      <c r="B618" s="67"/>
      <c r="C618" s="22"/>
      <c r="D618" s="25"/>
      <c r="E618" s="19"/>
      <c r="F618" s="19"/>
      <c r="G618" s="16"/>
      <c r="H618" s="16"/>
      <c r="I618" s="90"/>
      <c r="J618" s="38"/>
      <c r="K618" s="43"/>
      <c r="L618" s="19"/>
      <c r="M618" s="16"/>
    </row>
    <row r="619" spans="1:13" ht="12.75">
      <c r="A619" s="36"/>
      <c r="B619" s="67"/>
      <c r="C619" s="22"/>
      <c r="D619" s="25"/>
      <c r="E619" s="19"/>
      <c r="F619" s="19"/>
      <c r="G619" s="16"/>
      <c r="H619" s="16"/>
      <c r="I619" s="90"/>
      <c r="J619" s="38"/>
      <c r="K619" s="43"/>
      <c r="L619" s="19"/>
      <c r="M619" s="16"/>
    </row>
    <row r="620" spans="1:13" ht="12.75">
      <c r="A620" s="36"/>
      <c r="B620" s="67"/>
      <c r="C620" s="22"/>
      <c r="D620" s="25"/>
      <c r="E620" s="19"/>
      <c r="F620" s="19"/>
      <c r="G620" s="16"/>
      <c r="H620" s="16"/>
      <c r="I620" s="90"/>
      <c r="J620" s="38"/>
      <c r="K620" s="43"/>
      <c r="L620" s="19"/>
      <c r="M620" s="16"/>
    </row>
    <row r="621" spans="1:13" ht="12.75">
      <c r="A621" s="36"/>
      <c r="B621" s="67"/>
      <c r="C621" s="22"/>
      <c r="D621" s="25"/>
      <c r="E621" s="19"/>
      <c r="F621" s="19"/>
      <c r="G621" s="16"/>
      <c r="H621" s="16"/>
      <c r="I621" s="90"/>
      <c r="J621" s="38"/>
      <c r="K621" s="43"/>
      <c r="L621" s="19"/>
      <c r="M621" s="16"/>
    </row>
    <row r="622" spans="1:13" ht="12.75">
      <c r="A622" s="36"/>
      <c r="B622" s="67"/>
      <c r="C622" s="22"/>
      <c r="D622" s="25"/>
      <c r="E622" s="19"/>
      <c r="F622" s="19"/>
      <c r="G622" s="16"/>
      <c r="H622" s="16"/>
      <c r="I622" s="90"/>
      <c r="J622" s="38"/>
      <c r="K622" s="43"/>
      <c r="L622" s="19"/>
      <c r="M622" s="16"/>
    </row>
    <row r="623" spans="1:13" ht="12.75">
      <c r="A623" s="36"/>
      <c r="B623" s="67"/>
      <c r="C623" s="22"/>
      <c r="D623" s="25"/>
      <c r="E623" s="19"/>
      <c r="F623" s="19"/>
      <c r="G623" s="16"/>
      <c r="H623" s="16"/>
      <c r="I623" s="90"/>
      <c r="J623" s="38"/>
      <c r="K623" s="43"/>
      <c r="L623" s="19"/>
      <c r="M623" s="16"/>
    </row>
    <row r="624" spans="1:13" ht="12.75">
      <c r="A624" s="36"/>
      <c r="B624" s="67"/>
      <c r="C624" s="22"/>
      <c r="D624" s="25"/>
      <c r="E624" s="19"/>
      <c r="F624" s="19"/>
      <c r="G624" s="16"/>
      <c r="H624" s="16"/>
      <c r="I624" s="90"/>
      <c r="J624" s="38"/>
      <c r="K624" s="43"/>
      <c r="L624" s="19"/>
      <c r="M624" s="16"/>
    </row>
    <row r="625" spans="1:13" ht="12.75">
      <c r="A625" s="36"/>
      <c r="B625" s="67"/>
      <c r="C625" s="22"/>
      <c r="D625" s="25"/>
      <c r="E625" s="19"/>
      <c r="F625" s="19"/>
      <c r="G625" s="16"/>
      <c r="H625" s="16"/>
      <c r="I625" s="90"/>
      <c r="J625" s="38"/>
      <c r="K625" s="43"/>
      <c r="L625" s="19"/>
      <c r="M625" s="16"/>
    </row>
    <row r="626" spans="1:13" ht="12.75">
      <c r="A626" s="36"/>
      <c r="B626" s="67"/>
      <c r="C626" s="22"/>
      <c r="D626" s="25"/>
      <c r="E626" s="19"/>
      <c r="F626" s="19"/>
      <c r="G626" s="16"/>
      <c r="H626" s="16"/>
      <c r="I626" s="90"/>
      <c r="J626" s="38"/>
      <c r="K626" s="43"/>
      <c r="L626" s="19"/>
      <c r="M626" s="16"/>
    </row>
    <row r="627" spans="1:13" ht="12.75">
      <c r="A627" s="36"/>
      <c r="B627" s="67"/>
      <c r="C627" s="22"/>
      <c r="D627" s="25"/>
      <c r="E627" s="19"/>
      <c r="F627" s="19"/>
      <c r="G627" s="16"/>
      <c r="H627" s="16"/>
      <c r="I627" s="90"/>
      <c r="J627" s="38"/>
      <c r="K627" s="43"/>
      <c r="L627" s="19"/>
      <c r="M627" s="16"/>
    </row>
    <row r="628" spans="1:13" ht="12.75">
      <c r="A628" s="36"/>
      <c r="B628" s="67"/>
      <c r="C628" s="22"/>
      <c r="D628" s="25"/>
      <c r="E628" s="19"/>
      <c r="F628" s="19"/>
      <c r="G628" s="16"/>
      <c r="H628" s="16"/>
      <c r="I628" s="90"/>
      <c r="J628" s="38"/>
      <c r="K628" s="43"/>
      <c r="L628" s="19"/>
      <c r="M628" s="16"/>
    </row>
    <row r="629" spans="1:13" ht="12.75">
      <c r="A629" s="36"/>
      <c r="B629" s="67"/>
      <c r="C629" s="22"/>
      <c r="D629" s="25"/>
      <c r="E629" s="19"/>
      <c r="F629" s="19"/>
      <c r="G629" s="16"/>
      <c r="H629" s="16"/>
      <c r="I629" s="90"/>
      <c r="J629" s="38"/>
      <c r="K629" s="43"/>
      <c r="L629" s="19"/>
      <c r="M629" s="16"/>
    </row>
    <row r="630" spans="1:13" ht="12.75">
      <c r="A630" s="36"/>
      <c r="B630" s="67"/>
      <c r="C630" s="22"/>
      <c r="D630" s="25"/>
      <c r="E630" s="19"/>
      <c r="F630" s="19"/>
      <c r="G630" s="16"/>
      <c r="H630" s="16"/>
      <c r="I630" s="90"/>
      <c r="J630" s="38"/>
      <c r="K630" s="43"/>
      <c r="L630" s="19"/>
      <c r="M630" s="16"/>
    </row>
    <row r="631" spans="1:13" ht="12.75">
      <c r="A631" s="36"/>
      <c r="B631" s="67"/>
      <c r="C631" s="22"/>
      <c r="D631" s="25"/>
      <c r="E631" s="19"/>
      <c r="F631" s="19"/>
      <c r="G631" s="16"/>
      <c r="H631" s="16"/>
      <c r="I631" s="90"/>
      <c r="J631" s="38"/>
      <c r="K631" s="43"/>
      <c r="L631" s="19"/>
      <c r="M631" s="16"/>
    </row>
    <row r="632" spans="1:13" ht="12.75">
      <c r="A632" s="36"/>
      <c r="B632" s="67"/>
      <c r="C632" s="22"/>
      <c r="D632" s="25"/>
      <c r="E632" s="19"/>
      <c r="F632" s="19"/>
      <c r="G632" s="16"/>
      <c r="H632" s="16"/>
      <c r="I632" s="90"/>
      <c r="J632" s="38"/>
      <c r="K632" s="43"/>
      <c r="L632" s="19"/>
      <c r="M632" s="16"/>
    </row>
    <row r="633" spans="1:13" ht="12.75">
      <c r="A633" s="36"/>
      <c r="B633" s="67"/>
      <c r="C633" s="22"/>
      <c r="D633" s="25"/>
      <c r="E633" s="19"/>
      <c r="F633" s="19"/>
      <c r="G633" s="16"/>
      <c r="H633" s="16"/>
      <c r="I633" s="90"/>
      <c r="J633" s="38"/>
      <c r="K633" s="43"/>
      <c r="L633" s="19"/>
      <c r="M633" s="16"/>
    </row>
    <row r="634" spans="1:13" ht="12.75">
      <c r="A634" s="36"/>
      <c r="B634" s="67"/>
      <c r="C634" s="22"/>
      <c r="D634" s="25"/>
      <c r="E634" s="19"/>
      <c r="F634" s="19"/>
      <c r="G634" s="16"/>
      <c r="H634" s="16"/>
      <c r="I634" s="90"/>
      <c r="J634" s="38"/>
      <c r="K634" s="43"/>
      <c r="L634" s="19"/>
      <c r="M634" s="16"/>
    </row>
    <row r="635" spans="1:13" ht="12.75">
      <c r="A635" s="36"/>
      <c r="B635" s="67"/>
      <c r="C635" s="22"/>
      <c r="D635" s="25"/>
      <c r="E635" s="19"/>
      <c r="F635" s="19"/>
      <c r="G635" s="16"/>
      <c r="H635" s="16"/>
      <c r="I635" s="90"/>
      <c r="J635" s="38"/>
      <c r="K635" s="43"/>
      <c r="L635" s="19"/>
      <c r="M635" s="16"/>
    </row>
    <row r="636" spans="1:13" ht="12.75">
      <c r="A636" s="36"/>
      <c r="B636" s="67"/>
      <c r="C636" s="22"/>
      <c r="D636" s="25"/>
      <c r="E636" s="19"/>
      <c r="F636" s="19"/>
      <c r="G636" s="16"/>
      <c r="H636" s="16"/>
      <c r="I636" s="90"/>
      <c r="J636" s="38"/>
      <c r="K636" s="43"/>
      <c r="L636" s="19"/>
      <c r="M636" s="16"/>
    </row>
    <row r="637" spans="1:13" ht="12.75">
      <c r="A637" s="36"/>
      <c r="B637" s="67"/>
      <c r="C637" s="22"/>
      <c r="D637" s="25"/>
      <c r="E637" s="19"/>
      <c r="F637" s="19"/>
      <c r="G637" s="16"/>
      <c r="H637" s="16"/>
      <c r="I637" s="90"/>
      <c r="J637" s="38"/>
      <c r="K637" s="43"/>
      <c r="L637" s="19"/>
      <c r="M637" s="16"/>
    </row>
    <row r="638" spans="1:13" ht="12.75">
      <c r="A638" s="36"/>
      <c r="B638" s="67"/>
      <c r="C638" s="22"/>
      <c r="D638" s="25"/>
      <c r="E638" s="19"/>
      <c r="F638" s="19"/>
      <c r="G638" s="16"/>
      <c r="H638" s="16"/>
      <c r="I638" s="90"/>
      <c r="J638" s="38"/>
      <c r="K638" s="43"/>
      <c r="L638" s="19"/>
      <c r="M638" s="16"/>
    </row>
    <row r="639" spans="1:13" ht="12.75">
      <c r="A639" s="36"/>
      <c r="B639" s="67"/>
      <c r="C639" s="22"/>
      <c r="D639" s="25"/>
      <c r="E639" s="19"/>
      <c r="F639" s="19"/>
      <c r="G639" s="16"/>
      <c r="H639" s="16"/>
      <c r="I639" s="90"/>
      <c r="J639" s="38"/>
      <c r="K639" s="43"/>
      <c r="L639" s="19"/>
      <c r="M639" s="16"/>
    </row>
    <row r="640" spans="1:13" ht="12.75">
      <c r="A640" s="36"/>
      <c r="B640" s="67"/>
      <c r="C640" s="22"/>
      <c r="D640" s="25"/>
      <c r="E640" s="19"/>
      <c r="F640" s="19"/>
      <c r="G640" s="16"/>
      <c r="H640" s="16"/>
      <c r="I640" s="90"/>
      <c r="J640" s="38"/>
      <c r="K640" s="43"/>
      <c r="L640" s="19"/>
      <c r="M640" s="16"/>
    </row>
    <row r="641" spans="1:13" ht="12.75">
      <c r="A641" s="36"/>
      <c r="B641" s="67"/>
      <c r="C641" s="22"/>
      <c r="D641" s="25"/>
      <c r="E641" s="19"/>
      <c r="F641" s="19"/>
      <c r="G641" s="16"/>
      <c r="H641" s="16"/>
      <c r="I641" s="90"/>
      <c r="J641" s="38"/>
      <c r="K641" s="43"/>
      <c r="L641" s="19"/>
      <c r="M641" s="16"/>
    </row>
    <row r="642" spans="1:13" ht="12.75">
      <c r="A642" s="36"/>
      <c r="B642" s="67"/>
      <c r="C642" s="22"/>
      <c r="D642" s="25"/>
      <c r="E642" s="19"/>
      <c r="F642" s="19"/>
      <c r="G642" s="16"/>
      <c r="H642" s="16"/>
      <c r="I642" s="90"/>
      <c r="J642" s="38"/>
      <c r="K642" s="43"/>
      <c r="L642" s="19"/>
      <c r="M642" s="16"/>
    </row>
    <row r="643" spans="1:13" ht="12.75">
      <c r="A643" s="36"/>
      <c r="B643" s="67"/>
      <c r="C643" s="22"/>
      <c r="D643" s="25"/>
      <c r="E643" s="19"/>
      <c r="F643" s="19"/>
      <c r="G643" s="16"/>
      <c r="H643" s="16"/>
      <c r="I643" s="90"/>
      <c r="J643" s="38"/>
      <c r="K643" s="43"/>
      <c r="L643" s="19"/>
      <c r="M643" s="16"/>
    </row>
    <row r="644" spans="1:13" ht="12.75">
      <c r="A644" s="36"/>
      <c r="B644" s="67"/>
      <c r="C644" s="22"/>
      <c r="D644" s="25"/>
      <c r="E644" s="19"/>
      <c r="F644" s="19"/>
      <c r="G644" s="16"/>
      <c r="H644" s="16"/>
      <c r="I644" s="90"/>
      <c r="J644" s="38"/>
      <c r="K644" s="43"/>
      <c r="L644" s="19"/>
      <c r="M644" s="16"/>
    </row>
    <row r="645" spans="1:13" ht="12.75">
      <c r="A645" s="36"/>
      <c r="B645" s="67"/>
      <c r="C645" s="22"/>
      <c r="D645" s="25"/>
      <c r="E645" s="19"/>
      <c r="F645" s="19"/>
      <c r="G645" s="16"/>
      <c r="H645" s="16"/>
      <c r="I645" s="90"/>
      <c r="J645" s="38"/>
      <c r="K645" s="43"/>
      <c r="L645" s="19"/>
      <c r="M645" s="16"/>
    </row>
  </sheetData>
  <autoFilter ref="D1:D645" xr:uid="{00000000-0001-0000-0200-000000000000}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43"/>
  <sheetViews>
    <sheetView showGridLines="0" zoomScale="118" zoomScaleNormal="118" workbookViewId="0">
      <pane ySplit="3" topLeftCell="A4" activePane="bottomLeft" state="frozen"/>
      <selection pane="bottomLeft" activeCell="I4" sqref="I4:I1440"/>
    </sheetView>
  </sheetViews>
  <sheetFormatPr defaultColWidth="8.5703125" defaultRowHeight="9"/>
  <cols>
    <col min="1" max="1" width="2.7109375" style="34" bestFit="1" customWidth="1"/>
    <col min="2" max="2" width="7.140625" style="34" bestFit="1" customWidth="1"/>
    <col min="3" max="3" width="20.5703125" style="34" bestFit="1" customWidth="1"/>
    <col min="4" max="4" width="59.85546875" style="34" bestFit="1" customWidth="1"/>
    <col min="5" max="5" width="25.42578125" style="34" bestFit="1" customWidth="1"/>
    <col min="6" max="6" width="11.140625" style="34" bestFit="1" customWidth="1"/>
    <col min="7" max="7" width="8.85546875" style="34" bestFit="1" customWidth="1"/>
    <col min="8" max="8" width="14.140625" style="34" bestFit="1" customWidth="1"/>
    <col min="9" max="9" width="13.5703125" style="34" bestFit="1" customWidth="1"/>
    <col min="10" max="10" width="9.7109375" style="34" bestFit="1" customWidth="1"/>
    <col min="11" max="11" width="7" style="34" bestFit="1" customWidth="1"/>
    <col min="12" max="12" width="4.42578125" style="34" bestFit="1" customWidth="1"/>
    <col min="13" max="13" width="6.42578125" style="34" bestFit="1" customWidth="1"/>
    <col min="14" max="16384" width="8.5703125" style="34"/>
  </cols>
  <sheetData>
    <row r="1" spans="1:13">
      <c r="A1" s="130" t="s">
        <v>252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>
      <c r="A2" s="132" t="s">
        <v>69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3">
      <c r="A3" s="35" t="s">
        <v>250</v>
      </c>
      <c r="B3" s="35" t="s">
        <v>41</v>
      </c>
      <c r="C3" s="35" t="s">
        <v>42</v>
      </c>
      <c r="D3" s="35" t="s">
        <v>59</v>
      </c>
      <c r="E3" s="35" t="s">
        <v>47</v>
      </c>
      <c r="F3" s="35" t="s">
        <v>70</v>
      </c>
      <c r="G3" s="35" t="s">
        <v>67</v>
      </c>
      <c r="H3" s="35" t="s">
        <v>71</v>
      </c>
      <c r="I3" s="35" t="s">
        <v>64</v>
      </c>
      <c r="J3" s="35" t="s">
        <v>65</v>
      </c>
      <c r="K3" s="35" t="s">
        <v>66</v>
      </c>
      <c r="L3" s="35" t="s">
        <v>51</v>
      </c>
      <c r="M3" s="35" t="s">
        <v>72</v>
      </c>
    </row>
    <row r="4" spans="1:13" ht="12.75">
      <c r="B4" s="21">
        <v>44929</v>
      </c>
      <c r="C4" s="16"/>
      <c r="D4" s="25" t="s">
        <v>271</v>
      </c>
      <c r="E4" s="22"/>
      <c r="F4" s="22"/>
      <c r="G4" s="25"/>
      <c r="H4" s="25"/>
      <c r="I4" s="92">
        <v>96228.17</v>
      </c>
      <c r="J4" s="26">
        <f>SUM($I$4:I4)</f>
        <v>96228.17</v>
      </c>
      <c r="K4" s="44">
        <f>IF(SUM($I$4:$I$830)=0,"",I4/SUM($I$4:$I$830))</f>
        <v>1.245175762638732E-3</v>
      </c>
      <c r="L4" s="22"/>
      <c r="M4" s="22"/>
    </row>
    <row r="5" spans="1:13" ht="12.75">
      <c r="B5" s="21">
        <v>44936</v>
      </c>
      <c r="C5" s="16"/>
      <c r="D5" s="25" t="s">
        <v>272</v>
      </c>
      <c r="E5" s="22"/>
      <c r="F5" s="22"/>
      <c r="G5" s="25"/>
      <c r="H5" s="25"/>
      <c r="I5" s="92">
        <v>878747.84</v>
      </c>
      <c r="J5" s="26">
        <f>SUM($I$4:I5)</f>
        <v>974976.01</v>
      </c>
      <c r="K5" s="44">
        <f t="shared" ref="K5:K68" si="0">IF(SUM($I$4:$I$830)=0,"",I5/SUM($I$4:$I$830))</f>
        <v>1.1370844024563061E-2</v>
      </c>
      <c r="L5" s="22"/>
      <c r="M5" s="22"/>
    </row>
    <row r="6" spans="1:13" ht="12.75">
      <c r="B6" s="21">
        <v>44936</v>
      </c>
      <c r="C6" s="16"/>
      <c r="D6" s="25" t="s">
        <v>268</v>
      </c>
      <c r="E6" s="22"/>
      <c r="F6" s="22"/>
      <c r="G6" s="25"/>
      <c r="H6" s="25"/>
      <c r="I6" s="92">
        <v>100</v>
      </c>
      <c r="J6" s="26">
        <f>SUM($I$4:I6)</f>
        <v>975076.01</v>
      </c>
      <c r="K6" s="44">
        <f t="shared" si="0"/>
        <v>1.2939825860127362E-6</v>
      </c>
      <c r="L6" s="22"/>
      <c r="M6" s="22"/>
    </row>
    <row r="7" spans="1:13" ht="12.75">
      <c r="B7" s="21">
        <v>44936</v>
      </c>
      <c r="C7" s="16"/>
      <c r="D7" s="25" t="s">
        <v>271</v>
      </c>
      <c r="E7" s="22"/>
      <c r="F7" s="22"/>
      <c r="G7" s="25"/>
      <c r="H7" s="25"/>
      <c r="I7" s="92">
        <v>22502.04</v>
      </c>
      <c r="J7" s="26">
        <f>SUM($I$4:I7)</f>
        <v>997578.05</v>
      </c>
      <c r="K7" s="44">
        <f t="shared" si="0"/>
        <v>2.9117247909762032E-4</v>
      </c>
      <c r="L7" s="22"/>
      <c r="M7" s="22"/>
    </row>
    <row r="8" spans="1:13" ht="12.75">
      <c r="B8" s="21">
        <v>44936</v>
      </c>
      <c r="C8" s="16"/>
      <c r="D8" s="25" t="s">
        <v>268</v>
      </c>
      <c r="E8" s="22"/>
      <c r="F8" s="22"/>
      <c r="G8" s="25"/>
      <c r="H8" s="25"/>
      <c r="I8" s="92">
        <v>25</v>
      </c>
      <c r="J8" s="26">
        <f>SUM($I$4:I8)</f>
        <v>997603.05</v>
      </c>
      <c r="K8" s="44">
        <f t="shared" si="0"/>
        <v>3.2349564650318404E-7</v>
      </c>
      <c r="L8" s="22"/>
      <c r="M8" s="22"/>
    </row>
    <row r="9" spans="1:13" ht="12.75">
      <c r="B9" s="21">
        <v>44936</v>
      </c>
      <c r="C9" s="16"/>
      <c r="D9" s="25" t="s">
        <v>268</v>
      </c>
      <c r="E9" s="22"/>
      <c r="F9" s="22"/>
      <c r="G9" s="25"/>
      <c r="H9" s="25"/>
      <c r="I9" s="92">
        <v>1.87</v>
      </c>
      <c r="J9" s="26">
        <f>SUM($I$4:I9)</f>
        <v>997604.92</v>
      </c>
      <c r="K9" s="44">
        <f t="shared" si="0"/>
        <v>2.4197474358438168E-8</v>
      </c>
      <c r="L9" s="22"/>
      <c r="M9" s="22"/>
    </row>
    <row r="10" spans="1:13" ht="12.75">
      <c r="B10" s="21">
        <v>44938</v>
      </c>
      <c r="C10" s="16"/>
      <c r="D10" s="25" t="s">
        <v>273</v>
      </c>
      <c r="E10" s="22"/>
      <c r="F10" s="22"/>
      <c r="G10" s="25"/>
      <c r="H10" s="25"/>
      <c r="I10" s="92">
        <v>230000</v>
      </c>
      <c r="J10" s="26">
        <f>SUM($I$4:I10)</f>
        <v>1227604.92</v>
      </c>
      <c r="K10" s="44">
        <f t="shared" si="0"/>
        <v>2.9761599478292933E-3</v>
      </c>
      <c r="L10" s="22"/>
      <c r="M10" s="22"/>
    </row>
    <row r="11" spans="1:13" ht="12.75">
      <c r="B11" s="21">
        <v>44938</v>
      </c>
      <c r="C11" s="16"/>
      <c r="D11" s="25" t="s">
        <v>268</v>
      </c>
      <c r="E11" s="22"/>
      <c r="F11" s="22"/>
      <c r="G11" s="25"/>
      <c r="H11" s="25"/>
      <c r="I11" s="92">
        <v>50</v>
      </c>
      <c r="J11" s="26">
        <f>SUM($I$4:I11)</f>
        <v>1227654.92</v>
      </c>
      <c r="K11" s="44">
        <f t="shared" si="0"/>
        <v>6.4699129300636808E-7</v>
      </c>
      <c r="L11" s="22"/>
      <c r="M11" s="22"/>
    </row>
    <row r="12" spans="1:13" ht="12.75">
      <c r="B12" s="21">
        <v>44938</v>
      </c>
      <c r="C12" s="16"/>
      <c r="D12" s="25" t="s">
        <v>268</v>
      </c>
      <c r="E12" s="22"/>
      <c r="F12" s="22"/>
      <c r="G12" s="25"/>
      <c r="H12" s="25"/>
      <c r="I12" s="92">
        <v>3.75</v>
      </c>
      <c r="J12" s="26">
        <f>SUM($I$4:I12)</f>
        <v>1227658.67</v>
      </c>
      <c r="K12" s="44">
        <f t="shared" si="0"/>
        <v>4.8524346975477608E-8</v>
      </c>
      <c r="L12" s="22"/>
      <c r="M12" s="22"/>
    </row>
    <row r="13" spans="1:13" ht="12.75">
      <c r="B13" s="21">
        <v>44938</v>
      </c>
      <c r="C13" s="16"/>
      <c r="D13" s="25" t="s">
        <v>273</v>
      </c>
      <c r="E13" s="22"/>
      <c r="F13" s="22"/>
      <c r="G13" s="25"/>
      <c r="H13" s="25"/>
      <c r="I13" s="92">
        <v>230000</v>
      </c>
      <c r="J13" s="26">
        <f>SUM($I$4:I13)</f>
        <v>1457658.67</v>
      </c>
      <c r="K13" s="44">
        <f t="shared" si="0"/>
        <v>2.9761599478292933E-3</v>
      </c>
      <c r="L13" s="22"/>
      <c r="M13" s="22"/>
    </row>
    <row r="14" spans="1:13" ht="12.75">
      <c r="B14" s="21">
        <v>44938</v>
      </c>
      <c r="C14" s="16"/>
      <c r="D14" s="25" t="s">
        <v>268</v>
      </c>
      <c r="E14" s="22"/>
      <c r="F14" s="22"/>
      <c r="G14" s="25"/>
      <c r="H14" s="25"/>
      <c r="I14" s="92">
        <v>50</v>
      </c>
      <c r="J14" s="26">
        <f>SUM($I$4:I14)</f>
        <v>1457708.67</v>
      </c>
      <c r="K14" s="44">
        <f t="shared" si="0"/>
        <v>6.4699129300636808E-7</v>
      </c>
      <c r="L14" s="22"/>
      <c r="M14" s="22"/>
    </row>
    <row r="15" spans="1:13" ht="12.75">
      <c r="B15" s="21">
        <v>44938</v>
      </c>
      <c r="C15" s="16"/>
      <c r="D15" s="25" t="s">
        <v>268</v>
      </c>
      <c r="E15" s="22"/>
      <c r="F15" s="22"/>
      <c r="G15" s="25"/>
      <c r="H15" s="25"/>
      <c r="I15" s="92">
        <v>3.75</v>
      </c>
      <c r="J15" s="26">
        <f>SUM($I$4:I15)</f>
        <v>1457712.42</v>
      </c>
      <c r="K15" s="44">
        <f t="shared" si="0"/>
        <v>4.8524346975477608E-8</v>
      </c>
      <c r="L15" s="22"/>
      <c r="M15" s="22"/>
    </row>
    <row r="16" spans="1:13" ht="12.75">
      <c r="B16" s="21">
        <v>44938</v>
      </c>
      <c r="C16" s="16"/>
      <c r="D16" s="25" t="s">
        <v>274</v>
      </c>
      <c r="E16" s="22"/>
      <c r="F16" s="22"/>
      <c r="G16" s="25"/>
      <c r="H16" s="25"/>
      <c r="I16" s="92">
        <v>200000</v>
      </c>
      <c r="J16" s="26">
        <f>SUM($I$4:I16)</f>
        <v>1657712.42</v>
      </c>
      <c r="K16" s="44">
        <f t="shared" si="0"/>
        <v>2.5879651720254722E-3</v>
      </c>
      <c r="L16" s="22"/>
      <c r="M16" s="22"/>
    </row>
    <row r="17" spans="2:13" ht="12.75">
      <c r="B17" s="21">
        <v>44942</v>
      </c>
      <c r="C17" s="16"/>
      <c r="D17" s="25" t="s">
        <v>275</v>
      </c>
      <c r="E17" s="22"/>
      <c r="F17" s="22"/>
      <c r="G17" s="25"/>
      <c r="H17" s="25"/>
      <c r="I17" s="92">
        <v>200000</v>
      </c>
      <c r="J17" s="26">
        <f>SUM($I$4:I17)</f>
        <v>1857712.42</v>
      </c>
      <c r="K17" s="44">
        <f t="shared" si="0"/>
        <v>2.5879651720254722E-3</v>
      </c>
      <c r="L17" s="22"/>
      <c r="M17" s="22"/>
    </row>
    <row r="18" spans="2:13" ht="12.75">
      <c r="B18" s="21">
        <v>44942</v>
      </c>
      <c r="C18" s="16"/>
      <c r="D18" s="25" t="s">
        <v>268</v>
      </c>
      <c r="E18" s="22"/>
      <c r="F18" s="22"/>
      <c r="G18" s="25"/>
      <c r="H18" s="25"/>
      <c r="I18" s="92">
        <v>26.88</v>
      </c>
      <c r="J18" s="26">
        <f>SUM($I$4:I18)</f>
        <v>1857739.2999999998</v>
      </c>
      <c r="K18" s="44">
        <f t="shared" si="0"/>
        <v>3.4782251912022344E-7</v>
      </c>
      <c r="L18" s="22"/>
      <c r="M18" s="22"/>
    </row>
    <row r="19" spans="2:13" ht="12.75">
      <c r="B19" s="21">
        <v>44942</v>
      </c>
      <c r="C19" s="16"/>
      <c r="D19" s="25" t="s">
        <v>268</v>
      </c>
      <c r="E19" s="22"/>
      <c r="F19" s="22"/>
      <c r="G19" s="25"/>
      <c r="H19" s="25"/>
      <c r="I19" s="92">
        <v>135</v>
      </c>
      <c r="J19" s="26">
        <f>SUM($I$4:I19)</f>
        <v>1857874.2999999998</v>
      </c>
      <c r="K19" s="44">
        <f t="shared" si="0"/>
        <v>1.7468764911171939E-6</v>
      </c>
      <c r="L19" s="22"/>
      <c r="M19" s="22"/>
    </row>
    <row r="20" spans="2:13" ht="12.75">
      <c r="B20" s="21">
        <v>44942</v>
      </c>
      <c r="C20" s="16"/>
      <c r="D20" s="25" t="s">
        <v>268</v>
      </c>
      <c r="E20" s="22"/>
      <c r="F20" s="22"/>
      <c r="G20" s="25"/>
      <c r="H20" s="25"/>
      <c r="I20" s="92">
        <v>10.130000000000001</v>
      </c>
      <c r="J20" s="26">
        <f>SUM($I$4:I20)</f>
        <v>1857884.4299999997</v>
      </c>
      <c r="K20" s="44">
        <f t="shared" si="0"/>
        <v>1.310804359630902E-7</v>
      </c>
      <c r="L20" s="22"/>
      <c r="M20" s="22"/>
    </row>
    <row r="21" spans="2:13" ht="12.75">
      <c r="B21" s="21">
        <v>44942</v>
      </c>
      <c r="C21" s="16"/>
      <c r="D21" s="25" t="s">
        <v>276</v>
      </c>
      <c r="E21" s="22"/>
      <c r="F21" s="22"/>
      <c r="G21" s="25"/>
      <c r="H21" s="25"/>
      <c r="I21" s="92">
        <v>50000</v>
      </c>
      <c r="J21" s="26">
        <f>SUM($I$4:I21)</f>
        <v>1907884.4299999997</v>
      </c>
      <c r="K21" s="44">
        <f t="shared" si="0"/>
        <v>6.4699129300636806E-4</v>
      </c>
      <c r="L21" s="22"/>
      <c r="M21" s="22"/>
    </row>
    <row r="22" spans="2:13" ht="12.75">
      <c r="B22" s="21">
        <v>44942</v>
      </c>
      <c r="C22" s="16"/>
      <c r="D22" s="25" t="s">
        <v>268</v>
      </c>
      <c r="E22" s="22"/>
      <c r="F22" s="22"/>
      <c r="G22" s="25"/>
      <c r="H22" s="25"/>
      <c r="I22" s="92">
        <v>50</v>
      </c>
      <c r="J22" s="26">
        <f>SUM($I$4:I22)</f>
        <v>1907934.4299999997</v>
      </c>
      <c r="K22" s="44">
        <f t="shared" si="0"/>
        <v>6.4699129300636808E-7</v>
      </c>
      <c r="L22" s="22"/>
      <c r="M22" s="22"/>
    </row>
    <row r="23" spans="2:13" ht="12.75">
      <c r="B23" s="21">
        <v>44942</v>
      </c>
      <c r="C23" s="16"/>
      <c r="D23" s="25" t="s">
        <v>276</v>
      </c>
      <c r="E23" s="22"/>
      <c r="F23" s="22"/>
      <c r="G23" s="25"/>
      <c r="H23" s="25"/>
      <c r="I23" s="92">
        <v>50000</v>
      </c>
      <c r="J23" s="26">
        <f>SUM($I$4:I23)</f>
        <v>1957934.4299999997</v>
      </c>
      <c r="K23" s="44">
        <f t="shared" si="0"/>
        <v>6.4699129300636806E-4</v>
      </c>
      <c r="L23" s="22"/>
      <c r="M23" s="22"/>
    </row>
    <row r="24" spans="2:13" ht="12.75">
      <c r="B24" s="21">
        <v>44942</v>
      </c>
      <c r="C24" s="16"/>
      <c r="D24" s="25" t="s">
        <v>268</v>
      </c>
      <c r="E24" s="22"/>
      <c r="F24" s="22"/>
      <c r="G24" s="25"/>
      <c r="H24" s="25"/>
      <c r="I24" s="92">
        <v>50</v>
      </c>
      <c r="J24" s="26">
        <f>SUM($I$4:I24)</f>
        <v>1957984.4299999997</v>
      </c>
      <c r="K24" s="44">
        <f t="shared" si="0"/>
        <v>6.4699129300636808E-7</v>
      </c>
      <c r="L24" s="22"/>
      <c r="M24" s="22"/>
    </row>
    <row r="25" spans="2:13" ht="12.75">
      <c r="B25" s="21">
        <v>44943</v>
      </c>
      <c r="C25" s="16"/>
      <c r="D25" s="25" t="s">
        <v>277</v>
      </c>
      <c r="E25" s="22"/>
      <c r="F25" s="22"/>
      <c r="G25" s="25"/>
      <c r="H25" s="25"/>
      <c r="I25" s="92">
        <v>88695.5</v>
      </c>
      <c r="J25" s="26">
        <f>SUM($I$4:I25)</f>
        <v>2046679.9299999997</v>
      </c>
      <c r="K25" s="44">
        <f t="shared" si="0"/>
        <v>1.1477043245769264E-3</v>
      </c>
      <c r="L25" s="22"/>
      <c r="M25" s="22"/>
    </row>
    <row r="26" spans="2:13" ht="12.75">
      <c r="B26" s="21">
        <v>44943</v>
      </c>
      <c r="C26" s="16"/>
      <c r="D26" s="25" t="s">
        <v>268</v>
      </c>
      <c r="E26" s="22"/>
      <c r="F26" s="22"/>
      <c r="G26" s="25"/>
      <c r="H26" s="25"/>
      <c r="I26" s="92">
        <v>100</v>
      </c>
      <c r="J26" s="26">
        <f>SUM($I$4:I26)</f>
        <v>2046779.9299999997</v>
      </c>
      <c r="K26" s="44">
        <f t="shared" si="0"/>
        <v>1.2939825860127362E-6</v>
      </c>
      <c r="L26" s="22"/>
      <c r="M26" s="22"/>
    </row>
    <row r="27" spans="2:13" ht="12.75">
      <c r="B27" s="21">
        <v>44943</v>
      </c>
      <c r="C27" s="16"/>
      <c r="D27" s="25" t="s">
        <v>278</v>
      </c>
      <c r="E27" s="22"/>
      <c r="F27" s="22"/>
      <c r="G27" s="25"/>
      <c r="H27" s="25"/>
      <c r="I27" s="92">
        <v>4617</v>
      </c>
      <c r="J27" s="26">
        <f>SUM($I$4:I27)</f>
        <v>2051396.9299999997</v>
      </c>
      <c r="K27" s="44">
        <f t="shared" si="0"/>
        <v>5.9743175996208025E-5</v>
      </c>
      <c r="L27" s="22"/>
      <c r="M27" s="22"/>
    </row>
    <row r="28" spans="2:13" ht="12.75">
      <c r="B28" s="21">
        <v>44943</v>
      </c>
      <c r="C28" s="16"/>
      <c r="D28" s="25" t="s">
        <v>268</v>
      </c>
      <c r="E28" s="22"/>
      <c r="F28" s="22"/>
      <c r="G28" s="25"/>
      <c r="H28" s="25"/>
      <c r="I28" s="92">
        <v>10</v>
      </c>
      <c r="J28" s="26">
        <f>SUM($I$4:I28)</f>
        <v>2051406.9299999997</v>
      </c>
      <c r="K28" s="44">
        <f t="shared" si="0"/>
        <v>1.293982586012736E-7</v>
      </c>
      <c r="L28" s="22"/>
      <c r="M28" s="22"/>
    </row>
    <row r="29" spans="2:13" ht="12.75">
      <c r="B29" s="21">
        <v>44943</v>
      </c>
      <c r="C29" s="16"/>
      <c r="D29" s="25" t="s">
        <v>268</v>
      </c>
      <c r="E29" s="22"/>
      <c r="F29" s="22"/>
      <c r="G29" s="25"/>
      <c r="H29" s="25"/>
      <c r="I29" s="92">
        <v>0.75</v>
      </c>
      <c r="J29" s="26">
        <f>SUM($I$4:I29)</f>
        <v>2051407.6799999997</v>
      </c>
      <c r="K29" s="44">
        <f t="shared" si="0"/>
        <v>9.7048693950955217E-9</v>
      </c>
      <c r="L29" s="22"/>
      <c r="M29" s="22"/>
    </row>
    <row r="30" spans="2:13" ht="12.75">
      <c r="B30" s="21">
        <v>44943</v>
      </c>
      <c r="C30" s="16"/>
      <c r="D30" s="25" t="s">
        <v>279</v>
      </c>
      <c r="E30" s="22"/>
      <c r="F30" s="22"/>
      <c r="G30" s="25"/>
      <c r="H30" s="25"/>
      <c r="I30" s="92">
        <v>445000</v>
      </c>
      <c r="J30" s="26">
        <f>SUM($I$4:I30)</f>
        <v>2496407.6799999997</v>
      </c>
      <c r="K30" s="44">
        <f t="shared" si="0"/>
        <v>5.7582225077566756E-3</v>
      </c>
      <c r="L30" s="22"/>
      <c r="M30" s="22"/>
    </row>
    <row r="31" spans="2:13" ht="12.75">
      <c r="B31" s="21">
        <v>44943</v>
      </c>
      <c r="C31" s="16"/>
      <c r="D31" s="25" t="s">
        <v>268</v>
      </c>
      <c r="E31" s="22"/>
      <c r="F31" s="22"/>
      <c r="G31" s="25"/>
      <c r="H31" s="25"/>
      <c r="I31" s="92">
        <v>50</v>
      </c>
      <c r="J31" s="26">
        <f>SUM($I$4:I31)</f>
        <v>2496457.6799999997</v>
      </c>
      <c r="K31" s="44">
        <f t="shared" si="0"/>
        <v>6.4699129300636808E-7</v>
      </c>
      <c r="L31" s="22"/>
      <c r="M31" s="22"/>
    </row>
    <row r="32" spans="2:13" ht="12.75">
      <c r="B32" s="21">
        <v>44943</v>
      </c>
      <c r="C32" s="16"/>
      <c r="D32" s="25" t="s">
        <v>268</v>
      </c>
      <c r="E32" s="22"/>
      <c r="F32" s="22"/>
      <c r="G32" s="25"/>
      <c r="H32" s="25"/>
      <c r="I32" s="92">
        <v>3.75</v>
      </c>
      <c r="J32" s="26">
        <f>SUM($I$4:I32)</f>
        <v>2496461.4299999997</v>
      </c>
      <c r="K32" s="44">
        <f t="shared" si="0"/>
        <v>4.8524346975477608E-8</v>
      </c>
      <c r="L32" s="22"/>
      <c r="M32" s="22"/>
    </row>
    <row r="33" spans="2:13" ht="12.75">
      <c r="B33" s="21">
        <v>44943</v>
      </c>
      <c r="C33" s="16"/>
      <c r="D33" s="25" t="s">
        <v>278</v>
      </c>
      <c r="E33" s="22"/>
      <c r="F33" s="22"/>
      <c r="G33" s="25"/>
      <c r="H33" s="25"/>
      <c r="I33" s="92">
        <v>6562</v>
      </c>
      <c r="J33" s="26">
        <f>SUM($I$4:I33)</f>
        <v>2503023.4299999997</v>
      </c>
      <c r="K33" s="44">
        <f t="shared" si="0"/>
        <v>8.4911137294155741E-5</v>
      </c>
      <c r="L33" s="22"/>
      <c r="M33" s="22"/>
    </row>
    <row r="34" spans="2:13" ht="12.75">
      <c r="B34" s="21">
        <v>44943</v>
      </c>
      <c r="C34" s="16"/>
      <c r="D34" s="25" t="s">
        <v>268</v>
      </c>
      <c r="E34" s="22"/>
      <c r="F34" s="22"/>
      <c r="G34" s="25"/>
      <c r="H34" s="25"/>
      <c r="I34" s="92">
        <v>25</v>
      </c>
      <c r="J34" s="26">
        <f>SUM($I$4:I34)</f>
        <v>2503048.4299999997</v>
      </c>
      <c r="K34" s="44">
        <f t="shared" si="0"/>
        <v>3.2349564650318404E-7</v>
      </c>
      <c r="L34" s="22"/>
      <c r="M34" s="22"/>
    </row>
    <row r="35" spans="2:13" ht="12.75">
      <c r="B35" s="21">
        <v>44943</v>
      </c>
      <c r="C35" s="16"/>
      <c r="D35" s="25" t="s">
        <v>268</v>
      </c>
      <c r="E35" s="22"/>
      <c r="F35" s="22"/>
      <c r="G35" s="25"/>
      <c r="H35" s="25"/>
      <c r="I35" s="92">
        <v>1.87</v>
      </c>
      <c r="J35" s="26">
        <f>SUM($I$4:I35)</f>
        <v>2503050.2999999998</v>
      </c>
      <c r="K35" s="44">
        <f t="shared" si="0"/>
        <v>2.4197474358438168E-8</v>
      </c>
      <c r="L35" s="22"/>
      <c r="M35" s="22"/>
    </row>
    <row r="36" spans="2:13" ht="12.75">
      <c r="B36" s="21">
        <v>44943</v>
      </c>
      <c r="C36" s="16"/>
      <c r="D36" s="25" t="s">
        <v>280</v>
      </c>
      <c r="E36" s="22"/>
      <c r="F36" s="22"/>
      <c r="G36" s="25"/>
      <c r="H36" s="25"/>
      <c r="I36" s="92">
        <v>21450</v>
      </c>
      <c r="J36" s="26">
        <f>SUM($I$4:I36)</f>
        <v>2524500.2999999998</v>
      </c>
      <c r="K36" s="44">
        <f t="shared" si="0"/>
        <v>2.7755926469973189E-4</v>
      </c>
      <c r="L36" s="22"/>
      <c r="M36" s="22"/>
    </row>
    <row r="37" spans="2:13" ht="12.75">
      <c r="B37" s="21">
        <v>44943</v>
      </c>
      <c r="C37" s="16"/>
      <c r="D37" s="25" t="s">
        <v>275</v>
      </c>
      <c r="E37" s="22"/>
      <c r="F37" s="22"/>
      <c r="G37" s="25"/>
      <c r="H37" s="25"/>
      <c r="I37" s="92">
        <v>40000</v>
      </c>
      <c r="J37" s="26">
        <f>SUM($I$4:I37)</f>
        <v>2564500.2999999998</v>
      </c>
      <c r="K37" s="44">
        <f t="shared" si="0"/>
        <v>5.1759303440509444E-4</v>
      </c>
      <c r="L37" s="22"/>
      <c r="M37" s="22"/>
    </row>
    <row r="38" spans="2:13" ht="12.75">
      <c r="B38" s="21">
        <v>44943</v>
      </c>
      <c r="C38" s="16"/>
      <c r="D38" s="25" t="s">
        <v>281</v>
      </c>
      <c r="E38" s="22"/>
      <c r="F38" s="22"/>
      <c r="G38" s="25"/>
      <c r="H38" s="25"/>
      <c r="I38" s="92">
        <v>40000</v>
      </c>
      <c r="J38" s="26">
        <f>SUM($I$4:I38)</f>
        <v>2604500.2999999998</v>
      </c>
      <c r="K38" s="44">
        <f t="shared" si="0"/>
        <v>5.1759303440509444E-4</v>
      </c>
      <c r="L38" s="22"/>
      <c r="M38" s="22"/>
    </row>
    <row r="39" spans="2:13" ht="12.75">
      <c r="B39" s="21">
        <v>44943</v>
      </c>
      <c r="C39" s="16"/>
      <c r="D39" s="25" t="s">
        <v>282</v>
      </c>
      <c r="E39" s="22"/>
      <c r="F39" s="22"/>
      <c r="G39" s="25"/>
      <c r="H39" s="25"/>
      <c r="I39" s="92">
        <v>1152566.82</v>
      </c>
      <c r="J39" s="26">
        <f>SUM($I$4:I39)</f>
        <v>3757067.12</v>
      </c>
      <c r="K39" s="44">
        <f t="shared" si="0"/>
        <v>1.4914013942960758E-2</v>
      </c>
      <c r="L39" s="22"/>
      <c r="M39" s="22"/>
    </row>
    <row r="40" spans="2:13" ht="12.75">
      <c r="B40" s="21">
        <v>44943</v>
      </c>
      <c r="C40" s="16"/>
      <c r="D40" s="25" t="s">
        <v>268</v>
      </c>
      <c r="E40" s="22"/>
      <c r="F40" s="22"/>
      <c r="G40" s="25"/>
      <c r="H40" s="25"/>
      <c r="I40" s="92">
        <v>50</v>
      </c>
      <c r="J40" s="26">
        <f>SUM($I$4:I40)</f>
        <v>3757117.12</v>
      </c>
      <c r="K40" s="44">
        <f t="shared" si="0"/>
        <v>6.4699129300636808E-7</v>
      </c>
      <c r="L40" s="22"/>
      <c r="M40" s="22"/>
    </row>
    <row r="41" spans="2:13" ht="12.75">
      <c r="B41" s="21">
        <v>44943</v>
      </c>
      <c r="C41" s="16"/>
      <c r="D41" s="25" t="s">
        <v>268</v>
      </c>
      <c r="E41" s="22"/>
      <c r="F41" s="22"/>
      <c r="G41" s="25"/>
      <c r="H41" s="25"/>
      <c r="I41" s="92">
        <v>3.75</v>
      </c>
      <c r="J41" s="26">
        <f>SUM($I$4:I41)</f>
        <v>3757120.87</v>
      </c>
      <c r="K41" s="44">
        <f t="shared" si="0"/>
        <v>4.8524346975477608E-8</v>
      </c>
      <c r="L41" s="22"/>
      <c r="M41" s="22"/>
    </row>
    <row r="42" spans="2:13" ht="12.75">
      <c r="B42" s="21">
        <v>44943</v>
      </c>
      <c r="C42" s="16"/>
      <c r="D42" s="25" t="s">
        <v>271</v>
      </c>
      <c r="E42" s="22"/>
      <c r="F42" s="22"/>
      <c r="G42" s="25"/>
      <c r="H42" s="25"/>
      <c r="I42" s="92">
        <v>133963.95000000001</v>
      </c>
      <c r="J42" s="26">
        <f>SUM($I$4:I42)</f>
        <v>3891084.8200000003</v>
      </c>
      <c r="K42" s="44">
        <f t="shared" si="0"/>
        <v>1.7334701845348091E-3</v>
      </c>
      <c r="L42" s="22"/>
      <c r="M42" s="22"/>
    </row>
    <row r="43" spans="2:13" ht="12.75">
      <c r="B43" s="21">
        <v>44943</v>
      </c>
      <c r="C43" s="16"/>
      <c r="D43" s="25" t="s">
        <v>268</v>
      </c>
      <c r="E43" s="22"/>
      <c r="F43" s="22"/>
      <c r="G43" s="25"/>
      <c r="H43" s="25"/>
      <c r="I43" s="92">
        <v>53.75</v>
      </c>
      <c r="J43" s="26">
        <f>SUM($I$4:I43)</f>
        <v>3891138.5700000003</v>
      </c>
      <c r="K43" s="44">
        <f t="shared" si="0"/>
        <v>6.9551563998184569E-7</v>
      </c>
      <c r="L43" s="22"/>
      <c r="M43" s="22"/>
    </row>
    <row r="44" spans="2:13" ht="12.75">
      <c r="B44" s="21">
        <v>44943</v>
      </c>
      <c r="C44" s="16"/>
      <c r="D44" s="25" t="s">
        <v>268</v>
      </c>
      <c r="E44" s="22"/>
      <c r="F44" s="22"/>
      <c r="G44" s="25"/>
      <c r="H44" s="25"/>
      <c r="I44" s="92">
        <v>45</v>
      </c>
      <c r="J44" s="26">
        <f>SUM($I$4:I44)</f>
        <v>3891183.5700000003</v>
      </c>
      <c r="K44" s="44">
        <f t="shared" si="0"/>
        <v>5.822921637057313E-7</v>
      </c>
      <c r="L44" s="22"/>
      <c r="M44" s="22"/>
    </row>
    <row r="45" spans="2:13" ht="12.75">
      <c r="B45" s="21">
        <v>44943</v>
      </c>
      <c r="C45" s="16"/>
      <c r="D45" s="25" t="s">
        <v>268</v>
      </c>
      <c r="E45" s="22"/>
      <c r="F45" s="22"/>
      <c r="G45" s="25"/>
      <c r="H45" s="25"/>
      <c r="I45" s="92">
        <v>3.38</v>
      </c>
      <c r="J45" s="26">
        <f>SUM($I$4:I45)</f>
        <v>3891186.95</v>
      </c>
      <c r="K45" s="44">
        <f t="shared" si="0"/>
        <v>4.373661140723048E-8</v>
      </c>
      <c r="L45" s="22"/>
      <c r="M45" s="22"/>
    </row>
    <row r="46" spans="2:13" ht="12.75">
      <c r="B46" s="21">
        <v>44946</v>
      </c>
      <c r="C46" s="16"/>
      <c r="D46" s="25" t="s">
        <v>281</v>
      </c>
      <c r="E46" s="22"/>
      <c r="F46" s="22"/>
      <c r="G46" s="25"/>
      <c r="H46" s="25"/>
      <c r="I46" s="92">
        <v>8000</v>
      </c>
      <c r="J46" s="26">
        <f>SUM($I$4:I46)</f>
        <v>3899186.95</v>
      </c>
      <c r="K46" s="44">
        <f t="shared" si="0"/>
        <v>1.0351860688101889E-4</v>
      </c>
      <c r="L46" s="22"/>
      <c r="M46" s="22"/>
    </row>
    <row r="47" spans="2:13" ht="12.75">
      <c r="B47" s="21">
        <v>44946</v>
      </c>
      <c r="C47" s="16"/>
      <c r="D47" s="25" t="s">
        <v>273</v>
      </c>
      <c r="E47" s="22"/>
      <c r="F47" s="22"/>
      <c r="G47" s="25"/>
      <c r="H47" s="25"/>
      <c r="I47" s="92">
        <v>130000</v>
      </c>
      <c r="J47" s="26">
        <f>SUM($I$4:I47)</f>
        <v>4029186.95</v>
      </c>
      <c r="K47" s="44">
        <f t="shared" si="0"/>
        <v>1.6821773618165569E-3</v>
      </c>
      <c r="L47" s="22"/>
      <c r="M47" s="22"/>
    </row>
    <row r="48" spans="2:13" ht="12.75">
      <c r="B48" s="21">
        <v>44946</v>
      </c>
      <c r="C48" s="16"/>
      <c r="D48" s="25" t="s">
        <v>268</v>
      </c>
      <c r="E48" s="22"/>
      <c r="F48" s="22"/>
      <c r="G48" s="25"/>
      <c r="H48" s="25"/>
      <c r="I48" s="92">
        <v>50</v>
      </c>
      <c r="J48" s="26">
        <f>SUM($I$4:I48)</f>
        <v>4029236.95</v>
      </c>
      <c r="K48" s="44">
        <f t="shared" si="0"/>
        <v>6.4699129300636808E-7</v>
      </c>
      <c r="L48" s="22"/>
      <c r="M48" s="22"/>
    </row>
    <row r="49" spans="2:13" ht="12.75">
      <c r="B49" s="21">
        <v>44946</v>
      </c>
      <c r="C49" s="16"/>
      <c r="D49" s="25" t="s">
        <v>268</v>
      </c>
      <c r="E49" s="22"/>
      <c r="F49" s="22"/>
      <c r="G49" s="25"/>
      <c r="H49" s="25"/>
      <c r="I49" s="92">
        <v>3.75</v>
      </c>
      <c r="J49" s="26">
        <f>SUM($I$4:I49)</f>
        <v>4029240.7</v>
      </c>
      <c r="K49" s="44">
        <f t="shared" si="0"/>
        <v>4.8524346975477608E-8</v>
      </c>
      <c r="L49" s="22"/>
      <c r="M49" s="22"/>
    </row>
    <row r="50" spans="2:13" ht="12.75">
      <c r="B50" s="21">
        <v>44946</v>
      </c>
      <c r="C50" s="16"/>
      <c r="D50" s="25" t="s">
        <v>283</v>
      </c>
      <c r="E50" s="22"/>
      <c r="F50" s="22"/>
      <c r="G50" s="25"/>
      <c r="H50" s="25"/>
      <c r="I50" s="92">
        <v>6000</v>
      </c>
      <c r="J50" s="26">
        <f>SUM($I$4:I50)</f>
        <v>4035240.7</v>
      </c>
      <c r="K50" s="44">
        <f t="shared" si="0"/>
        <v>7.7638955160764167E-5</v>
      </c>
      <c r="L50" s="22"/>
      <c r="M50" s="22"/>
    </row>
    <row r="51" spans="2:13" ht="12.75">
      <c r="B51" s="21">
        <v>44946</v>
      </c>
      <c r="C51" s="16"/>
      <c r="D51" s="25" t="s">
        <v>268</v>
      </c>
      <c r="E51" s="22"/>
      <c r="F51" s="22"/>
      <c r="G51" s="25"/>
      <c r="H51" s="25"/>
      <c r="I51" s="92">
        <v>100</v>
      </c>
      <c r="J51" s="26">
        <f>SUM($I$4:I51)</f>
        <v>4035340.7</v>
      </c>
      <c r="K51" s="44">
        <f t="shared" si="0"/>
        <v>1.2939825860127362E-6</v>
      </c>
      <c r="L51" s="22"/>
      <c r="M51" s="22"/>
    </row>
    <row r="52" spans="2:13" ht="12.75">
      <c r="B52" s="21">
        <v>44946</v>
      </c>
      <c r="C52" s="16"/>
      <c r="D52" s="25" t="s">
        <v>284</v>
      </c>
      <c r="E52" s="22"/>
      <c r="F52" s="22"/>
      <c r="G52" s="25"/>
      <c r="H52" s="25"/>
      <c r="I52" s="92">
        <v>109375.9</v>
      </c>
      <c r="J52" s="26">
        <f>SUM($I$4:I52)</f>
        <v>4144716.6</v>
      </c>
      <c r="K52" s="44">
        <f t="shared" si="0"/>
        <v>1.4153050992947041E-3</v>
      </c>
      <c r="L52" s="22"/>
      <c r="M52" s="22"/>
    </row>
    <row r="53" spans="2:13" ht="12.75">
      <c r="B53" s="21">
        <v>44946</v>
      </c>
      <c r="C53" s="16"/>
      <c r="D53" s="25" t="s">
        <v>268</v>
      </c>
      <c r="E53" s="22"/>
      <c r="F53" s="22"/>
      <c r="G53" s="25"/>
      <c r="H53" s="25"/>
      <c r="I53" s="92">
        <v>50</v>
      </c>
      <c r="J53" s="26">
        <f>SUM($I$4:I53)</f>
        <v>4144766.6</v>
      </c>
      <c r="K53" s="44">
        <f t="shared" si="0"/>
        <v>6.4699129300636808E-7</v>
      </c>
      <c r="L53" s="22"/>
      <c r="M53" s="22"/>
    </row>
    <row r="54" spans="2:13" ht="12.75">
      <c r="B54" s="21">
        <v>44946</v>
      </c>
      <c r="C54" s="16"/>
      <c r="D54" s="25" t="s">
        <v>268</v>
      </c>
      <c r="E54" s="22"/>
      <c r="F54" s="22"/>
      <c r="G54" s="25"/>
      <c r="H54" s="25"/>
      <c r="I54" s="92">
        <v>3.75</v>
      </c>
      <c r="J54" s="26">
        <f>SUM($I$4:I54)</f>
        <v>4144770.35</v>
      </c>
      <c r="K54" s="44">
        <f t="shared" si="0"/>
        <v>4.8524346975477608E-8</v>
      </c>
      <c r="L54" s="22"/>
      <c r="M54" s="22"/>
    </row>
    <row r="55" spans="2:13" ht="12.75">
      <c r="B55" s="21">
        <v>44946</v>
      </c>
      <c r="C55" s="16"/>
      <c r="D55" s="25" t="s">
        <v>271</v>
      </c>
      <c r="E55" s="22"/>
      <c r="F55" s="22"/>
      <c r="G55" s="25"/>
      <c r="H55" s="25"/>
      <c r="I55" s="92">
        <v>164810.91</v>
      </c>
      <c r="J55" s="26">
        <f>SUM($I$4:I55)</f>
        <v>4309581.26</v>
      </c>
      <c r="K55" s="44">
        <f t="shared" si="0"/>
        <v>2.1326244752491231E-3</v>
      </c>
      <c r="L55" s="22"/>
      <c r="M55" s="22"/>
    </row>
    <row r="56" spans="2:13" ht="12.75">
      <c r="B56" s="21">
        <v>44946</v>
      </c>
      <c r="C56" s="16"/>
      <c r="D56" s="25" t="s">
        <v>268</v>
      </c>
      <c r="E56" s="22"/>
      <c r="F56" s="22"/>
      <c r="G56" s="25"/>
      <c r="H56" s="25"/>
      <c r="I56" s="92">
        <v>45</v>
      </c>
      <c r="J56" s="26">
        <f>SUM($I$4:I56)</f>
        <v>4309626.26</v>
      </c>
      <c r="K56" s="44">
        <f t="shared" si="0"/>
        <v>5.822921637057313E-7</v>
      </c>
      <c r="L56" s="22"/>
      <c r="M56" s="22"/>
    </row>
    <row r="57" spans="2:13" ht="12.75">
      <c r="B57" s="21">
        <v>44946</v>
      </c>
      <c r="C57" s="16"/>
      <c r="D57" s="25" t="s">
        <v>268</v>
      </c>
      <c r="E57" s="22"/>
      <c r="F57" s="22"/>
      <c r="G57" s="25"/>
      <c r="H57" s="25"/>
      <c r="I57" s="92">
        <v>3.38</v>
      </c>
      <c r="J57" s="26">
        <f>SUM($I$4:I57)</f>
        <v>4309629.6399999997</v>
      </c>
      <c r="K57" s="44">
        <f t="shared" si="0"/>
        <v>4.373661140723048E-8</v>
      </c>
      <c r="L57" s="22"/>
      <c r="M57" s="22"/>
    </row>
    <row r="58" spans="2:13" ht="12.75">
      <c r="B58" s="21">
        <v>44949</v>
      </c>
      <c r="C58" s="16"/>
      <c r="D58" s="25" t="s">
        <v>282</v>
      </c>
      <c r="E58" s="22"/>
      <c r="F58" s="22"/>
      <c r="G58" s="25"/>
      <c r="H58" s="25"/>
      <c r="I58" s="92">
        <v>1596361.1</v>
      </c>
      <c r="J58" s="26">
        <f>SUM($I$4:I58)</f>
        <v>5905990.7400000002</v>
      </c>
      <c r="K58" s="44">
        <f t="shared" si="0"/>
        <v>2.0656634643881362E-2</v>
      </c>
      <c r="L58" s="22"/>
      <c r="M58" s="22"/>
    </row>
    <row r="59" spans="2:13" ht="12.75">
      <c r="B59" s="21">
        <v>44949</v>
      </c>
      <c r="C59" s="16"/>
      <c r="D59" s="25" t="s">
        <v>268</v>
      </c>
      <c r="E59" s="22"/>
      <c r="F59" s="22"/>
      <c r="G59" s="25"/>
      <c r="H59" s="25"/>
      <c r="I59" s="92">
        <v>50</v>
      </c>
      <c r="J59" s="26">
        <f>SUM($I$4:I59)</f>
        <v>5906040.7400000002</v>
      </c>
      <c r="K59" s="44">
        <f t="shared" si="0"/>
        <v>6.4699129300636808E-7</v>
      </c>
      <c r="L59" s="22"/>
      <c r="M59" s="22"/>
    </row>
    <row r="60" spans="2:13" ht="12.75">
      <c r="B60" s="21">
        <v>44949</v>
      </c>
      <c r="C60" s="16"/>
      <c r="D60" s="25" t="s">
        <v>268</v>
      </c>
      <c r="E60" s="22"/>
      <c r="F60" s="22"/>
      <c r="G60" s="25"/>
      <c r="H60" s="25"/>
      <c r="I60" s="92">
        <v>3.75</v>
      </c>
      <c r="J60" s="26">
        <f>SUM($I$4:I60)</f>
        <v>5906044.4900000002</v>
      </c>
      <c r="K60" s="44">
        <f t="shared" si="0"/>
        <v>4.8524346975477608E-8</v>
      </c>
      <c r="L60" s="22"/>
      <c r="M60" s="22"/>
    </row>
    <row r="61" spans="2:13" ht="12.75">
      <c r="B61" s="21">
        <v>44953</v>
      </c>
      <c r="C61" s="16"/>
      <c r="D61" s="25" t="s">
        <v>285</v>
      </c>
      <c r="E61" s="22"/>
      <c r="F61" s="22"/>
      <c r="G61" s="25"/>
      <c r="H61" s="25"/>
      <c r="I61" s="92">
        <v>27000</v>
      </c>
      <c r="J61" s="26">
        <f>SUM($I$4:I61)</f>
        <v>5933044.4900000002</v>
      </c>
      <c r="K61" s="44">
        <f t="shared" si="0"/>
        <v>3.4937529822343875E-4</v>
      </c>
      <c r="L61" s="22"/>
      <c r="M61" s="22"/>
    </row>
    <row r="62" spans="2:13" ht="12.75">
      <c r="B62" s="21">
        <v>44953</v>
      </c>
      <c r="C62" s="16"/>
      <c r="D62" s="25" t="s">
        <v>284</v>
      </c>
      <c r="E62" s="22"/>
      <c r="F62" s="22"/>
      <c r="G62" s="25"/>
      <c r="H62" s="25"/>
      <c r="I62" s="92">
        <v>50000</v>
      </c>
      <c r="J62" s="26">
        <f>SUM($I$4:I62)</f>
        <v>5983044.4900000002</v>
      </c>
      <c r="K62" s="44">
        <f t="shared" si="0"/>
        <v>6.4699129300636806E-4</v>
      </c>
      <c r="L62" s="22"/>
      <c r="M62" s="22"/>
    </row>
    <row r="63" spans="2:13" ht="12.75">
      <c r="B63" s="21">
        <v>44953</v>
      </c>
      <c r="C63" s="16"/>
      <c r="D63" s="25" t="s">
        <v>268</v>
      </c>
      <c r="E63" s="22"/>
      <c r="F63" s="22"/>
      <c r="G63" s="25"/>
      <c r="H63" s="25"/>
      <c r="I63" s="92">
        <v>25</v>
      </c>
      <c r="J63" s="26">
        <f>SUM($I$4:I63)</f>
        <v>5983069.4900000002</v>
      </c>
      <c r="K63" s="44">
        <f t="shared" si="0"/>
        <v>3.2349564650318404E-7</v>
      </c>
      <c r="L63" s="22"/>
      <c r="M63" s="22"/>
    </row>
    <row r="64" spans="2:13" ht="12.75">
      <c r="B64" s="21">
        <v>44953</v>
      </c>
      <c r="C64" s="16"/>
      <c r="D64" s="25" t="s">
        <v>268</v>
      </c>
      <c r="E64" s="22"/>
      <c r="F64" s="22"/>
      <c r="G64" s="25"/>
      <c r="H64" s="25"/>
      <c r="I64" s="92">
        <v>1.87</v>
      </c>
      <c r="J64" s="26">
        <f>SUM($I$4:I64)</f>
        <v>5983071.3600000003</v>
      </c>
      <c r="K64" s="44">
        <f t="shared" si="0"/>
        <v>2.4197474358438168E-8</v>
      </c>
      <c r="L64" s="22"/>
      <c r="M64" s="22"/>
    </row>
    <row r="65" spans="2:13" ht="12.75">
      <c r="B65" s="21">
        <v>44953</v>
      </c>
      <c r="C65" s="16"/>
      <c r="D65" s="25" t="s">
        <v>265</v>
      </c>
      <c r="E65" s="22"/>
      <c r="F65" s="22"/>
      <c r="G65" s="25"/>
      <c r="H65" s="25"/>
      <c r="I65" s="92">
        <v>18000</v>
      </c>
      <c r="J65" s="26">
        <f>SUM($I$4:I65)</f>
        <v>6001071.3600000003</v>
      </c>
      <c r="K65" s="44">
        <f t="shared" si="0"/>
        <v>2.329168654822925E-4</v>
      </c>
      <c r="L65" s="22"/>
      <c r="M65" s="22"/>
    </row>
    <row r="66" spans="2:13" ht="12.75">
      <c r="B66" s="21">
        <v>44953</v>
      </c>
      <c r="C66" s="16"/>
      <c r="D66" s="25" t="s">
        <v>268</v>
      </c>
      <c r="E66" s="22"/>
      <c r="F66" s="22"/>
      <c r="G66" s="25"/>
      <c r="H66" s="25"/>
      <c r="I66" s="92">
        <v>25</v>
      </c>
      <c r="J66" s="26">
        <f>SUM($I$4:I66)</f>
        <v>6001096.3600000003</v>
      </c>
      <c r="K66" s="44">
        <f t="shared" si="0"/>
        <v>3.2349564650318404E-7</v>
      </c>
      <c r="L66" s="22"/>
      <c r="M66" s="22"/>
    </row>
    <row r="67" spans="2:13" ht="12.75">
      <c r="B67" s="21">
        <v>44953</v>
      </c>
      <c r="C67" s="16"/>
      <c r="D67" s="25" t="s">
        <v>268</v>
      </c>
      <c r="E67" s="22"/>
      <c r="F67" s="22"/>
      <c r="G67" s="25"/>
      <c r="H67" s="25"/>
      <c r="I67" s="92">
        <v>1.87</v>
      </c>
      <c r="J67" s="26">
        <f>SUM($I$4:I67)</f>
        <v>6001098.2300000004</v>
      </c>
      <c r="K67" s="44">
        <f t="shared" si="0"/>
        <v>2.4197474358438168E-8</v>
      </c>
      <c r="L67" s="22"/>
      <c r="M67" s="22"/>
    </row>
    <row r="68" spans="2:13" ht="12.75">
      <c r="B68" s="21">
        <v>44953</v>
      </c>
      <c r="C68" s="16"/>
      <c r="D68" s="25" t="s">
        <v>284</v>
      </c>
      <c r="E68" s="22"/>
      <c r="F68" s="22"/>
      <c r="G68" s="25"/>
      <c r="H68" s="25"/>
      <c r="I68" s="92">
        <v>20000</v>
      </c>
      <c r="J68" s="26">
        <f>SUM($I$4:I68)</f>
        <v>6021098.2300000004</v>
      </c>
      <c r="K68" s="44">
        <f t="shared" si="0"/>
        <v>2.5879651720254722E-4</v>
      </c>
      <c r="L68" s="22"/>
      <c r="M68" s="22"/>
    </row>
    <row r="69" spans="2:13" ht="12.75">
      <c r="B69" s="21">
        <v>44953</v>
      </c>
      <c r="C69" s="16"/>
      <c r="D69" s="25" t="s">
        <v>268</v>
      </c>
      <c r="E69" s="22"/>
      <c r="F69" s="22"/>
      <c r="G69" s="25"/>
      <c r="H69" s="25"/>
      <c r="I69" s="92">
        <v>25</v>
      </c>
      <c r="J69" s="26">
        <f>SUM($I$4:I69)</f>
        <v>6021123.2300000004</v>
      </c>
      <c r="K69" s="44">
        <f t="shared" ref="K69:K132" si="1">IF(SUM($I$4:$I$830)=0,"",I69/SUM($I$4:$I$830))</f>
        <v>3.2349564650318404E-7</v>
      </c>
      <c r="L69" s="22"/>
      <c r="M69" s="22"/>
    </row>
    <row r="70" spans="2:13" ht="12.75">
      <c r="B70" s="21">
        <v>44953</v>
      </c>
      <c r="C70" s="16"/>
      <c r="D70" s="25" t="s">
        <v>268</v>
      </c>
      <c r="E70" s="22"/>
      <c r="F70" s="22"/>
      <c r="G70" s="25"/>
      <c r="H70" s="25"/>
      <c r="I70" s="92">
        <v>1.87</v>
      </c>
      <c r="J70" s="26">
        <f>SUM($I$4:I70)</f>
        <v>6021125.1000000006</v>
      </c>
      <c r="K70" s="44">
        <f t="shared" si="1"/>
        <v>2.4197474358438168E-8</v>
      </c>
      <c r="L70" s="22"/>
      <c r="M70" s="22"/>
    </row>
    <row r="71" spans="2:13" ht="12.75">
      <c r="B71" s="21">
        <v>44953</v>
      </c>
      <c r="C71" s="16"/>
      <c r="D71" s="25" t="s">
        <v>265</v>
      </c>
      <c r="E71" s="22"/>
      <c r="F71" s="22"/>
      <c r="G71" s="25"/>
      <c r="H71" s="25"/>
      <c r="I71" s="92">
        <v>50000</v>
      </c>
      <c r="J71" s="26">
        <f>SUM($I$4:I71)</f>
        <v>6071125.1000000006</v>
      </c>
      <c r="K71" s="44">
        <f t="shared" si="1"/>
        <v>6.4699129300636806E-4</v>
      </c>
      <c r="L71" s="22"/>
      <c r="M71" s="22"/>
    </row>
    <row r="72" spans="2:13" ht="12.75">
      <c r="B72" s="21">
        <v>44953</v>
      </c>
      <c r="C72" s="16"/>
      <c r="D72" s="25" t="s">
        <v>268</v>
      </c>
      <c r="E72" s="22"/>
      <c r="F72" s="22"/>
      <c r="G72" s="25"/>
      <c r="H72" s="25"/>
      <c r="I72" s="92">
        <v>25</v>
      </c>
      <c r="J72" s="26">
        <f>SUM($I$4:I72)</f>
        <v>6071150.1000000006</v>
      </c>
      <c r="K72" s="44">
        <f t="shared" si="1"/>
        <v>3.2349564650318404E-7</v>
      </c>
      <c r="L72" s="22"/>
      <c r="M72" s="22"/>
    </row>
    <row r="73" spans="2:13" ht="12.75">
      <c r="B73" s="21">
        <v>44953</v>
      </c>
      <c r="C73" s="16"/>
      <c r="D73" s="25" t="s">
        <v>268</v>
      </c>
      <c r="E73" s="22"/>
      <c r="F73" s="22"/>
      <c r="G73" s="25"/>
      <c r="H73" s="25"/>
      <c r="I73" s="92">
        <v>1.87</v>
      </c>
      <c r="J73" s="26">
        <f>SUM($I$4:I73)</f>
        <v>6071151.9700000007</v>
      </c>
      <c r="K73" s="44">
        <f t="shared" si="1"/>
        <v>2.4197474358438168E-8</v>
      </c>
      <c r="L73" s="22"/>
      <c r="M73" s="22"/>
    </row>
    <row r="74" spans="2:13" ht="12.75">
      <c r="B74" s="21">
        <v>44957</v>
      </c>
      <c r="C74" s="16"/>
      <c r="D74" s="25" t="s">
        <v>275</v>
      </c>
      <c r="E74" s="22"/>
      <c r="F74" s="22"/>
      <c r="G74" s="25"/>
      <c r="H74" s="25"/>
      <c r="I74" s="92">
        <v>40000</v>
      </c>
      <c r="J74" s="26">
        <f>SUM($I$4:I74)</f>
        <v>6111151.9700000007</v>
      </c>
      <c r="K74" s="44">
        <f t="shared" si="1"/>
        <v>5.1759303440509444E-4</v>
      </c>
      <c r="L74" s="22"/>
      <c r="M74" s="22"/>
    </row>
    <row r="75" spans="2:13" ht="12.75">
      <c r="B75" s="21">
        <v>44957</v>
      </c>
      <c r="C75" s="16"/>
      <c r="D75" s="25" t="s">
        <v>268</v>
      </c>
      <c r="E75" s="22"/>
      <c r="F75" s="22"/>
      <c r="G75" s="25"/>
      <c r="H75" s="25"/>
      <c r="I75" s="92">
        <v>412</v>
      </c>
      <c r="J75" s="26">
        <f>SUM($I$4:I75)</f>
        <v>6111563.9700000007</v>
      </c>
      <c r="K75" s="44">
        <f t="shared" si="1"/>
        <v>5.331208254372473E-6</v>
      </c>
      <c r="L75" s="22"/>
      <c r="M75" s="22"/>
    </row>
    <row r="76" spans="2:13" ht="12.75">
      <c r="B76" s="21">
        <v>44957</v>
      </c>
      <c r="C76" s="16"/>
      <c r="D76" s="25" t="s">
        <v>268</v>
      </c>
      <c r="E76" s="22"/>
      <c r="F76" s="22"/>
      <c r="G76" s="25"/>
      <c r="H76" s="25"/>
      <c r="I76" s="92">
        <v>30.9</v>
      </c>
      <c r="J76" s="26">
        <f>SUM($I$4:I76)</f>
        <v>6111594.870000001</v>
      </c>
      <c r="K76" s="44">
        <f t="shared" si="1"/>
        <v>3.9984061907793543E-7</v>
      </c>
      <c r="L76" s="22"/>
      <c r="M76" s="22"/>
    </row>
    <row r="77" spans="2:13" ht="12.75">
      <c r="B77" s="21">
        <v>44957</v>
      </c>
      <c r="C77" s="16"/>
      <c r="D77" s="25" t="s">
        <v>284</v>
      </c>
      <c r="E77" s="22"/>
      <c r="F77" s="22"/>
      <c r="G77" s="25"/>
      <c r="H77" s="25"/>
      <c r="I77" s="92">
        <v>13250</v>
      </c>
      <c r="J77" s="26">
        <f>SUM($I$4:I77)</f>
        <v>6124844.870000001</v>
      </c>
      <c r="K77" s="44">
        <f t="shared" si="1"/>
        <v>1.7145269264668753E-4</v>
      </c>
      <c r="L77" s="22"/>
      <c r="M77" s="22"/>
    </row>
    <row r="78" spans="2:13" ht="12.75">
      <c r="B78" s="21">
        <v>44957</v>
      </c>
      <c r="C78" s="16"/>
      <c r="D78" s="25" t="s">
        <v>268</v>
      </c>
      <c r="E78" s="22"/>
      <c r="F78" s="22"/>
      <c r="G78" s="25"/>
      <c r="H78" s="25"/>
      <c r="I78" s="92">
        <v>25</v>
      </c>
      <c r="J78" s="26">
        <f>SUM($I$4:I78)</f>
        <v>6124869.870000001</v>
      </c>
      <c r="K78" s="44">
        <f t="shared" si="1"/>
        <v>3.2349564650318404E-7</v>
      </c>
      <c r="L78" s="22"/>
      <c r="M78" s="22"/>
    </row>
    <row r="79" spans="2:13" ht="12.75">
      <c r="B79" s="21">
        <v>44957</v>
      </c>
      <c r="C79" s="16"/>
      <c r="D79" s="25" t="s">
        <v>268</v>
      </c>
      <c r="E79" s="22"/>
      <c r="F79" s="22"/>
      <c r="G79" s="25"/>
      <c r="H79" s="25"/>
      <c r="I79" s="92">
        <v>1.87</v>
      </c>
      <c r="J79" s="26">
        <f>SUM($I$4:I79)</f>
        <v>6124871.7400000012</v>
      </c>
      <c r="K79" s="44">
        <f t="shared" si="1"/>
        <v>2.4197474358438168E-8</v>
      </c>
      <c r="L79" s="22"/>
      <c r="M79" s="22"/>
    </row>
    <row r="80" spans="2:13" ht="12.75">
      <c r="B80" s="21">
        <v>44957</v>
      </c>
      <c r="C80" s="16"/>
      <c r="D80" s="25" t="s">
        <v>284</v>
      </c>
      <c r="E80" s="22"/>
      <c r="F80" s="22"/>
      <c r="G80" s="25"/>
      <c r="H80" s="25"/>
      <c r="I80" s="92">
        <v>26300</v>
      </c>
      <c r="J80" s="26">
        <f>SUM($I$4:I80)</f>
        <v>6151171.7400000012</v>
      </c>
      <c r="K80" s="44">
        <f t="shared" si="1"/>
        <v>3.4031742012134963E-4</v>
      </c>
      <c r="L80" s="22"/>
      <c r="M80" s="22"/>
    </row>
    <row r="81" spans="2:13" ht="12.75">
      <c r="B81" s="21">
        <v>44957</v>
      </c>
      <c r="C81" s="16"/>
      <c r="D81" s="25" t="s">
        <v>268</v>
      </c>
      <c r="E81" s="22"/>
      <c r="F81" s="22"/>
      <c r="G81" s="25"/>
      <c r="H81" s="25"/>
      <c r="I81" s="92">
        <v>25</v>
      </c>
      <c r="J81" s="26">
        <f>SUM($I$4:I81)</f>
        <v>6151196.7400000012</v>
      </c>
      <c r="K81" s="44">
        <f t="shared" si="1"/>
        <v>3.2349564650318404E-7</v>
      </c>
      <c r="L81" s="22"/>
      <c r="M81" s="22"/>
    </row>
    <row r="82" spans="2:13" ht="12.75">
      <c r="B82" s="21">
        <v>44957</v>
      </c>
      <c r="C82" s="16"/>
      <c r="D82" s="25" t="s">
        <v>268</v>
      </c>
      <c r="E82" s="22"/>
      <c r="F82" s="22"/>
      <c r="G82" s="25"/>
      <c r="H82" s="25"/>
      <c r="I82" s="92">
        <v>1.87</v>
      </c>
      <c r="J82" s="26">
        <f>SUM($I$4:I82)</f>
        <v>6151198.6100000013</v>
      </c>
      <c r="K82" s="44">
        <f t="shared" si="1"/>
        <v>2.4197474358438168E-8</v>
      </c>
      <c r="L82" s="22"/>
      <c r="M82" s="22"/>
    </row>
    <row r="83" spans="2:13" ht="12.75">
      <c r="B83" s="21">
        <v>44957</v>
      </c>
      <c r="C83" s="16"/>
      <c r="D83" s="25" t="s">
        <v>275</v>
      </c>
      <c r="E83" s="22"/>
      <c r="F83" s="22"/>
      <c r="G83" s="25"/>
      <c r="H83" s="25"/>
      <c r="I83" s="92">
        <v>25000</v>
      </c>
      <c r="J83" s="26">
        <f>SUM($I$4:I83)</f>
        <v>6176198.6100000013</v>
      </c>
      <c r="K83" s="44">
        <f t="shared" si="1"/>
        <v>3.2349564650318403E-4</v>
      </c>
      <c r="L83" s="22"/>
      <c r="M83" s="22"/>
    </row>
    <row r="84" spans="2:13" ht="12.75">
      <c r="B84" s="21">
        <v>44957</v>
      </c>
      <c r="C84" s="16"/>
      <c r="D84" s="25" t="s">
        <v>268</v>
      </c>
      <c r="E84" s="22"/>
      <c r="F84" s="22"/>
      <c r="G84" s="25"/>
      <c r="H84" s="25"/>
      <c r="I84" s="92">
        <v>25</v>
      </c>
      <c r="J84" s="26">
        <f>SUM($I$4:I84)</f>
        <v>6176223.6100000013</v>
      </c>
      <c r="K84" s="44">
        <f t="shared" si="1"/>
        <v>3.2349564650318404E-7</v>
      </c>
      <c r="L84" s="22"/>
      <c r="M84" s="22"/>
    </row>
    <row r="85" spans="2:13" ht="12.75">
      <c r="B85" s="21">
        <v>44957</v>
      </c>
      <c r="C85" s="16"/>
      <c r="D85" s="25" t="s">
        <v>268</v>
      </c>
      <c r="E85" s="22"/>
      <c r="F85" s="22"/>
      <c r="G85" s="25"/>
      <c r="H85" s="25"/>
      <c r="I85" s="92">
        <v>1.87</v>
      </c>
      <c r="J85" s="26">
        <f>SUM($I$4:I85)</f>
        <v>6176225.4800000014</v>
      </c>
      <c r="K85" s="44">
        <f t="shared" si="1"/>
        <v>2.4197474358438168E-8</v>
      </c>
      <c r="L85" s="22"/>
      <c r="M85" s="22"/>
    </row>
    <row r="86" spans="2:13" ht="12.75">
      <c r="B86" s="21">
        <v>44957</v>
      </c>
      <c r="C86" s="16"/>
      <c r="D86" s="25" t="s">
        <v>286</v>
      </c>
      <c r="E86" s="22"/>
      <c r="F86" s="22"/>
      <c r="G86" s="25"/>
      <c r="H86" s="25"/>
      <c r="I86" s="92">
        <v>92270</v>
      </c>
      <c r="J86" s="26">
        <f>SUM($I$4:I86)</f>
        <v>6268495.4800000014</v>
      </c>
      <c r="K86" s="44">
        <f t="shared" si="1"/>
        <v>1.1939577321139518E-3</v>
      </c>
      <c r="L86" s="22"/>
      <c r="M86" s="22"/>
    </row>
    <row r="87" spans="2:13" ht="12.75">
      <c r="B87" s="21">
        <v>44957</v>
      </c>
      <c r="C87" s="16"/>
      <c r="D87" s="25" t="s">
        <v>287</v>
      </c>
      <c r="E87" s="22"/>
      <c r="F87" s="22"/>
      <c r="G87" s="25"/>
      <c r="H87" s="25"/>
      <c r="I87" s="92">
        <v>71400</v>
      </c>
      <c r="J87" s="26">
        <f>SUM($I$4:I87)</f>
        <v>6339895.4800000014</v>
      </c>
      <c r="K87" s="44">
        <f t="shared" si="1"/>
        <v>9.2390356641309363E-4</v>
      </c>
      <c r="L87" s="22"/>
      <c r="M87" s="22"/>
    </row>
    <row r="88" spans="2:13" ht="12.75">
      <c r="B88" s="21">
        <v>44957</v>
      </c>
      <c r="C88" s="16"/>
      <c r="D88" s="25" t="s">
        <v>288</v>
      </c>
      <c r="E88" s="22"/>
      <c r="F88" s="22"/>
      <c r="G88" s="25"/>
      <c r="H88" s="25"/>
      <c r="I88" s="92">
        <v>30000</v>
      </c>
      <c r="J88" s="26">
        <f>SUM($I$4:I88)</f>
        <v>6369895.4800000014</v>
      </c>
      <c r="K88" s="44">
        <f t="shared" si="1"/>
        <v>3.8819477580382083E-4</v>
      </c>
      <c r="L88" s="22"/>
      <c r="M88" s="22"/>
    </row>
    <row r="89" spans="2:13" ht="12.75">
      <c r="B89" s="21">
        <v>44957</v>
      </c>
      <c r="C89" s="16"/>
      <c r="D89" s="25" t="s">
        <v>289</v>
      </c>
      <c r="E89" s="22"/>
      <c r="F89" s="22"/>
      <c r="G89" s="25"/>
      <c r="H89" s="25"/>
      <c r="I89" s="92">
        <v>100000</v>
      </c>
      <c r="J89" s="26">
        <f>SUM($I$4:I89)</f>
        <v>6469895.4800000014</v>
      </c>
      <c r="K89" s="44">
        <f t="shared" si="1"/>
        <v>1.2939825860127361E-3</v>
      </c>
      <c r="L89" s="22"/>
      <c r="M89" s="22"/>
    </row>
    <row r="90" spans="2:13" ht="12.75">
      <c r="B90" s="21">
        <v>44957</v>
      </c>
      <c r="C90" s="16"/>
      <c r="D90" s="25" t="s">
        <v>285</v>
      </c>
      <c r="E90" s="22"/>
      <c r="F90" s="22"/>
      <c r="G90" s="25"/>
      <c r="H90" s="25"/>
      <c r="I90" s="92">
        <v>100000</v>
      </c>
      <c r="J90" s="26">
        <f>SUM($I$4:I90)</f>
        <v>6569895.4800000014</v>
      </c>
      <c r="K90" s="44">
        <f t="shared" si="1"/>
        <v>1.2939825860127361E-3</v>
      </c>
      <c r="L90" s="22"/>
      <c r="M90" s="22"/>
    </row>
    <row r="91" spans="2:13" ht="12.75">
      <c r="B91" s="21">
        <v>44957</v>
      </c>
      <c r="C91" s="16"/>
      <c r="D91" s="25" t="s">
        <v>276</v>
      </c>
      <c r="E91" s="22"/>
      <c r="F91" s="22"/>
      <c r="G91" s="25"/>
      <c r="H91" s="25"/>
      <c r="I91" s="92">
        <v>50000</v>
      </c>
      <c r="J91" s="26">
        <f>SUM($I$4:I91)</f>
        <v>6619895.4800000014</v>
      </c>
      <c r="K91" s="44">
        <f t="shared" si="1"/>
        <v>6.4699129300636806E-4</v>
      </c>
      <c r="L91" s="22"/>
      <c r="M91" s="22"/>
    </row>
    <row r="92" spans="2:13" ht="12.75">
      <c r="B92" s="21">
        <v>44957</v>
      </c>
      <c r="C92" s="16"/>
      <c r="D92" s="25" t="s">
        <v>268</v>
      </c>
      <c r="E92" s="22"/>
      <c r="F92" s="22"/>
      <c r="G92" s="25"/>
      <c r="H92" s="25"/>
      <c r="I92" s="92">
        <v>50</v>
      </c>
      <c r="J92" s="26">
        <f>SUM($I$4:I92)</f>
        <v>6619945.4800000014</v>
      </c>
      <c r="K92" s="44">
        <f t="shared" si="1"/>
        <v>6.4699129300636808E-7</v>
      </c>
      <c r="L92" s="22"/>
      <c r="M92" s="22"/>
    </row>
    <row r="93" spans="2:13" ht="12.75">
      <c r="B93" s="21">
        <v>44957</v>
      </c>
      <c r="C93" s="16"/>
      <c r="D93" s="25" t="s">
        <v>276</v>
      </c>
      <c r="E93" s="22"/>
      <c r="F93" s="22"/>
      <c r="G93" s="25"/>
      <c r="H93" s="25"/>
      <c r="I93" s="92">
        <v>50000</v>
      </c>
      <c r="J93" s="26">
        <f>SUM($I$4:I93)</f>
        <v>6669945.4800000014</v>
      </c>
      <c r="K93" s="44">
        <f t="shared" si="1"/>
        <v>6.4699129300636806E-4</v>
      </c>
      <c r="L93" s="22"/>
      <c r="M93" s="22"/>
    </row>
    <row r="94" spans="2:13" ht="12.75">
      <c r="B94" s="21">
        <v>44957</v>
      </c>
      <c r="C94" s="16"/>
      <c r="D94" s="25" t="s">
        <v>268</v>
      </c>
      <c r="E94" s="22"/>
      <c r="F94" s="22"/>
      <c r="G94" s="25"/>
      <c r="H94" s="25"/>
      <c r="I94" s="92">
        <v>50</v>
      </c>
      <c r="J94" s="26">
        <f>SUM($I$4:I94)</f>
        <v>6669995.4800000014</v>
      </c>
      <c r="K94" s="44">
        <f t="shared" si="1"/>
        <v>6.4699129300636808E-7</v>
      </c>
      <c r="L94" s="22"/>
      <c r="M94" s="22"/>
    </row>
    <row r="95" spans="2:13" ht="12.75">
      <c r="B95" s="21">
        <v>44957</v>
      </c>
      <c r="C95" s="16"/>
      <c r="D95" s="25" t="s">
        <v>276</v>
      </c>
      <c r="E95" s="22"/>
      <c r="F95" s="22"/>
      <c r="G95" s="25"/>
      <c r="H95" s="25"/>
      <c r="I95" s="92">
        <v>1200000</v>
      </c>
      <c r="J95" s="26">
        <f>SUM($I$4:I95)</f>
        <v>7869995.4800000014</v>
      </c>
      <c r="K95" s="44">
        <f t="shared" si="1"/>
        <v>1.5527791032152833E-2</v>
      </c>
      <c r="L95" s="22"/>
      <c r="M95" s="22"/>
    </row>
    <row r="96" spans="2:13" ht="12.75">
      <c r="B96" s="21">
        <v>44957</v>
      </c>
      <c r="C96" s="16"/>
      <c r="D96" s="25" t="s">
        <v>268</v>
      </c>
      <c r="E96" s="22"/>
      <c r="F96" s="22"/>
      <c r="G96" s="25"/>
      <c r="H96" s="25"/>
      <c r="I96" s="92">
        <v>50</v>
      </c>
      <c r="J96" s="26">
        <f>SUM($I$4:I96)</f>
        <v>7870045.4800000014</v>
      </c>
      <c r="K96" s="44">
        <f t="shared" si="1"/>
        <v>6.4699129300636808E-7</v>
      </c>
      <c r="L96" s="22"/>
      <c r="M96" s="22"/>
    </row>
    <row r="97" spans="2:13" ht="12.75">
      <c r="B97" s="21">
        <v>44957</v>
      </c>
      <c r="C97" s="16"/>
      <c r="D97" s="25" t="s">
        <v>271</v>
      </c>
      <c r="E97" s="22"/>
      <c r="F97" s="22"/>
      <c r="G97" s="25"/>
      <c r="H97" s="25"/>
      <c r="I97" s="92">
        <v>60000</v>
      </c>
      <c r="J97" s="26">
        <f>SUM($I$4:I97)</f>
        <v>7930045.4800000014</v>
      </c>
      <c r="K97" s="44">
        <f t="shared" si="1"/>
        <v>7.7638955160764167E-4</v>
      </c>
      <c r="L97" s="22"/>
      <c r="M97" s="22"/>
    </row>
    <row r="98" spans="2:13" ht="12.75">
      <c r="B98" s="21">
        <v>44957</v>
      </c>
      <c r="C98" s="16"/>
      <c r="D98" s="25" t="s">
        <v>268</v>
      </c>
      <c r="E98" s="22"/>
      <c r="F98" s="22"/>
      <c r="G98" s="25"/>
      <c r="H98" s="25"/>
      <c r="I98" s="92">
        <v>50</v>
      </c>
      <c r="J98" s="26">
        <f>SUM($I$4:I98)</f>
        <v>7930095.4800000014</v>
      </c>
      <c r="K98" s="44">
        <f t="shared" si="1"/>
        <v>6.4699129300636808E-7</v>
      </c>
      <c r="L98" s="22"/>
      <c r="M98" s="22"/>
    </row>
    <row r="99" spans="2:13" ht="12.75">
      <c r="B99" s="21">
        <v>44957</v>
      </c>
      <c r="C99" s="16"/>
      <c r="D99" s="25" t="s">
        <v>268</v>
      </c>
      <c r="E99" s="22"/>
      <c r="F99" s="22"/>
      <c r="G99" s="25"/>
      <c r="H99" s="25"/>
      <c r="I99" s="92">
        <v>3.75</v>
      </c>
      <c r="J99" s="26">
        <f>SUM($I$4:I99)</f>
        <v>7930099.2300000014</v>
      </c>
      <c r="K99" s="44">
        <f t="shared" si="1"/>
        <v>4.8524346975477608E-8</v>
      </c>
      <c r="L99" s="22"/>
      <c r="M99" s="22"/>
    </row>
    <row r="100" spans="2:13" ht="12.75">
      <c r="B100" s="21">
        <v>44957</v>
      </c>
      <c r="C100" s="16"/>
      <c r="D100" s="25" t="s">
        <v>271</v>
      </c>
      <c r="E100" s="22"/>
      <c r="F100" s="22"/>
      <c r="G100" s="25"/>
      <c r="H100" s="25"/>
      <c r="I100" s="92">
        <v>30000</v>
      </c>
      <c r="J100" s="26">
        <f>SUM($I$4:I100)</f>
        <v>7960099.2300000014</v>
      </c>
      <c r="K100" s="44">
        <f t="shared" si="1"/>
        <v>3.8819477580382083E-4</v>
      </c>
      <c r="L100" s="22"/>
      <c r="M100" s="22"/>
    </row>
    <row r="101" spans="2:13" ht="12.75">
      <c r="B101" s="21">
        <v>44957</v>
      </c>
      <c r="C101" s="16"/>
      <c r="D101" s="25" t="s">
        <v>268</v>
      </c>
      <c r="E101" s="22"/>
      <c r="F101" s="22"/>
      <c r="G101" s="25"/>
      <c r="H101" s="25"/>
      <c r="I101" s="92">
        <v>25</v>
      </c>
      <c r="J101" s="26">
        <f>SUM($I$4:I101)</f>
        <v>7960124.2300000014</v>
      </c>
      <c r="K101" s="44">
        <f t="shared" si="1"/>
        <v>3.2349564650318404E-7</v>
      </c>
      <c r="L101" s="22"/>
      <c r="M101" s="22"/>
    </row>
    <row r="102" spans="2:13" ht="12.75">
      <c r="B102" s="21">
        <v>44957</v>
      </c>
      <c r="C102" s="16"/>
      <c r="D102" s="25" t="s">
        <v>268</v>
      </c>
      <c r="E102" s="22"/>
      <c r="F102" s="22"/>
      <c r="G102" s="25"/>
      <c r="H102" s="25"/>
      <c r="I102" s="92">
        <v>1.87</v>
      </c>
      <c r="J102" s="26">
        <f>SUM($I$4:I102)</f>
        <v>7960126.1000000015</v>
      </c>
      <c r="K102" s="44">
        <f t="shared" si="1"/>
        <v>2.4197474358438168E-8</v>
      </c>
      <c r="L102" s="22"/>
      <c r="M102" s="22"/>
    </row>
    <row r="103" spans="2:13" ht="12.75">
      <c r="B103" s="21">
        <v>44957</v>
      </c>
      <c r="C103" s="16"/>
      <c r="D103" s="25" t="s">
        <v>290</v>
      </c>
      <c r="E103" s="22"/>
      <c r="F103" s="22"/>
      <c r="G103" s="25"/>
      <c r="H103" s="25"/>
      <c r="I103" s="92">
        <v>114000</v>
      </c>
      <c r="J103" s="26">
        <f>SUM($I$4:I103)</f>
        <v>8074126.1000000015</v>
      </c>
      <c r="K103" s="44">
        <f t="shared" si="1"/>
        <v>1.4751401480545192E-3</v>
      </c>
      <c r="L103" s="22"/>
      <c r="M103" s="22"/>
    </row>
    <row r="104" spans="2:13" ht="12.75">
      <c r="B104" s="21">
        <v>44957</v>
      </c>
      <c r="C104" s="16"/>
      <c r="D104" s="25" t="s">
        <v>268</v>
      </c>
      <c r="E104" s="22"/>
      <c r="F104" s="22"/>
      <c r="G104" s="25"/>
      <c r="H104" s="25"/>
      <c r="I104" s="92">
        <v>50</v>
      </c>
      <c r="J104" s="26">
        <f>SUM($I$4:I104)</f>
        <v>8074176.1000000015</v>
      </c>
      <c r="K104" s="44">
        <f t="shared" si="1"/>
        <v>6.4699129300636808E-7</v>
      </c>
      <c r="L104" s="22"/>
      <c r="M104" s="22"/>
    </row>
    <row r="105" spans="2:13" ht="12.75">
      <c r="B105" s="21">
        <v>44957</v>
      </c>
      <c r="C105" s="16"/>
      <c r="D105" s="25" t="s">
        <v>268</v>
      </c>
      <c r="E105" s="22"/>
      <c r="F105" s="22"/>
      <c r="G105" s="25"/>
      <c r="H105" s="25"/>
      <c r="I105" s="92">
        <v>3.75</v>
      </c>
      <c r="J105" s="26">
        <f>SUM($I$4:I105)</f>
        <v>8074179.8500000015</v>
      </c>
      <c r="K105" s="44">
        <f t="shared" si="1"/>
        <v>4.8524346975477608E-8</v>
      </c>
      <c r="L105" s="22"/>
      <c r="M105" s="22"/>
    </row>
    <row r="106" spans="2:13" ht="12.75">
      <c r="B106" s="21">
        <v>44957</v>
      </c>
      <c r="C106" s="16"/>
      <c r="D106" s="25" t="s">
        <v>271</v>
      </c>
      <c r="E106" s="22"/>
      <c r="F106" s="22"/>
      <c r="G106" s="25"/>
      <c r="H106" s="25"/>
      <c r="I106" s="92">
        <v>320938.90000000002</v>
      </c>
      <c r="J106" s="26">
        <f>SUM($I$4:I106)</f>
        <v>8395118.7500000019</v>
      </c>
      <c r="K106" s="44">
        <f t="shared" si="1"/>
        <v>4.1528934777408299E-3</v>
      </c>
      <c r="L106" s="22"/>
      <c r="M106" s="22"/>
    </row>
    <row r="107" spans="2:13" ht="12.75">
      <c r="B107" s="21">
        <v>44957</v>
      </c>
      <c r="C107" s="16"/>
      <c r="D107" s="25" t="s">
        <v>271</v>
      </c>
      <c r="E107" s="22"/>
      <c r="F107" s="22"/>
      <c r="G107" s="25"/>
      <c r="H107" s="25"/>
      <c r="I107" s="92">
        <v>6699810.8899999997</v>
      </c>
      <c r="J107" s="26">
        <f>SUM($I$4:I107)</f>
        <v>15094929.640000001</v>
      </c>
      <c r="K107" s="44">
        <f t="shared" si="1"/>
        <v>8.6694386212384913E-2</v>
      </c>
      <c r="L107" s="22"/>
      <c r="M107" s="22"/>
    </row>
    <row r="108" spans="2:13" ht="12.75">
      <c r="B108" s="21">
        <v>44957</v>
      </c>
      <c r="C108" s="16"/>
      <c r="D108" s="25" t="s">
        <v>268</v>
      </c>
      <c r="E108" s="22"/>
      <c r="F108" s="22"/>
      <c r="G108" s="25"/>
      <c r="H108" s="25"/>
      <c r="I108" s="92">
        <v>53.75</v>
      </c>
      <c r="J108" s="26">
        <f>SUM($I$4:I108)</f>
        <v>15094983.390000001</v>
      </c>
      <c r="K108" s="44">
        <f t="shared" si="1"/>
        <v>6.9551563998184569E-7</v>
      </c>
      <c r="L108" s="22"/>
      <c r="M108" s="22"/>
    </row>
    <row r="109" spans="2:13" ht="12.75">
      <c r="B109" s="21">
        <v>44957</v>
      </c>
      <c r="C109" s="16"/>
      <c r="D109" s="25" t="s">
        <v>268</v>
      </c>
      <c r="E109" s="22"/>
      <c r="F109" s="22"/>
      <c r="G109" s="25"/>
      <c r="H109" s="25"/>
      <c r="I109" s="92">
        <v>403.13</v>
      </c>
      <c r="J109" s="26">
        <f>SUM($I$4:I109)</f>
        <v>15095386.520000001</v>
      </c>
      <c r="K109" s="44">
        <f t="shared" si="1"/>
        <v>5.2164319989931436E-6</v>
      </c>
      <c r="L109" s="22"/>
      <c r="M109" s="22"/>
    </row>
    <row r="110" spans="2:13" ht="12.75">
      <c r="B110" s="21">
        <v>44957</v>
      </c>
      <c r="C110" s="16"/>
      <c r="D110" s="25" t="s">
        <v>264</v>
      </c>
      <c r="E110" s="22"/>
      <c r="F110" s="22"/>
      <c r="G110" s="25"/>
      <c r="H110" s="25"/>
      <c r="I110" s="92">
        <v>14632.89</v>
      </c>
      <c r="J110" s="26">
        <f>SUM($I$4:I110)</f>
        <v>15110019.410000002</v>
      </c>
      <c r="K110" s="44">
        <f t="shared" si="1"/>
        <v>1.8934704843039907E-4</v>
      </c>
      <c r="L110" s="22"/>
      <c r="M110" s="22"/>
    </row>
    <row r="111" spans="2:13" ht="12.75">
      <c r="B111" s="21">
        <v>44957</v>
      </c>
      <c r="C111" s="16"/>
      <c r="D111" s="25" t="s">
        <v>268</v>
      </c>
      <c r="E111" s="22"/>
      <c r="F111" s="22"/>
      <c r="G111" s="25"/>
      <c r="H111" s="25"/>
      <c r="I111" s="92">
        <v>1097.47</v>
      </c>
      <c r="J111" s="26">
        <f>SUM($I$4:I111)</f>
        <v>15111116.880000003</v>
      </c>
      <c r="K111" s="44">
        <f t="shared" si="1"/>
        <v>1.4201070686713976E-5</v>
      </c>
      <c r="L111" s="22"/>
      <c r="M111" s="22"/>
    </row>
    <row r="112" spans="2:13" ht="12.75">
      <c r="B112" s="21">
        <v>44958</v>
      </c>
      <c r="C112" s="16"/>
      <c r="D112" s="25" t="s">
        <v>268</v>
      </c>
      <c r="E112" s="22"/>
      <c r="F112" s="22"/>
      <c r="G112" s="25"/>
      <c r="H112" s="25"/>
      <c r="I112" s="92">
        <v>75</v>
      </c>
      <c r="J112" s="26">
        <f>SUM($I$4:I112)</f>
        <v>15111191.880000003</v>
      </c>
      <c r="K112" s="44">
        <f t="shared" si="1"/>
        <v>9.7048693950955217E-7</v>
      </c>
      <c r="L112" s="22"/>
      <c r="M112" s="22"/>
    </row>
    <row r="113" spans="2:13" ht="12.75">
      <c r="B113" s="21">
        <v>44958</v>
      </c>
      <c r="C113" s="16"/>
      <c r="D113" s="25" t="s">
        <v>268</v>
      </c>
      <c r="E113" s="22"/>
      <c r="F113" s="22"/>
      <c r="G113" s="25"/>
      <c r="H113" s="25"/>
      <c r="I113" s="92">
        <v>5.63</v>
      </c>
      <c r="J113" s="26">
        <f>SUM($I$4:I113)</f>
        <v>15111197.510000004</v>
      </c>
      <c r="K113" s="44">
        <f t="shared" si="1"/>
        <v>7.2851219592517038E-8</v>
      </c>
      <c r="L113" s="22"/>
      <c r="M113" s="22"/>
    </row>
    <row r="114" spans="2:13" ht="12.75">
      <c r="B114" s="21">
        <v>44958</v>
      </c>
      <c r="C114" s="16"/>
      <c r="D114" s="25" t="s">
        <v>268</v>
      </c>
      <c r="E114" s="22"/>
      <c r="F114" s="22"/>
      <c r="G114" s="25"/>
      <c r="H114" s="25"/>
      <c r="I114" s="92">
        <v>555</v>
      </c>
      <c r="J114" s="26">
        <f>SUM($I$4:I114)</f>
        <v>15111752.510000004</v>
      </c>
      <c r="K114" s="44">
        <f t="shared" si="1"/>
        <v>7.1816033523706856E-6</v>
      </c>
      <c r="L114" s="22"/>
      <c r="M114" s="22"/>
    </row>
    <row r="115" spans="2:13" ht="12.75">
      <c r="B115" s="21">
        <v>44958</v>
      </c>
      <c r="C115" s="16"/>
      <c r="D115" s="25" t="s">
        <v>268</v>
      </c>
      <c r="E115" s="22"/>
      <c r="F115" s="22"/>
      <c r="G115" s="25"/>
      <c r="H115" s="25"/>
      <c r="I115" s="92">
        <v>41.63</v>
      </c>
      <c r="J115" s="26">
        <f>SUM($I$4:I115)</f>
        <v>15111794.140000004</v>
      </c>
      <c r="K115" s="44">
        <f t="shared" si="1"/>
        <v>5.3868495055710211E-7</v>
      </c>
      <c r="L115" s="22"/>
      <c r="M115" s="22"/>
    </row>
    <row r="116" spans="2:13" ht="12.75">
      <c r="B116" s="21">
        <v>44966</v>
      </c>
      <c r="C116" s="16"/>
      <c r="D116" s="25" t="s">
        <v>271</v>
      </c>
      <c r="E116" s="22"/>
      <c r="F116" s="22"/>
      <c r="G116" s="25"/>
      <c r="H116" s="25"/>
      <c r="I116" s="92">
        <v>14118.47</v>
      </c>
      <c r="J116" s="26">
        <f>SUM($I$4:I116)</f>
        <v>15125912.610000005</v>
      </c>
      <c r="K116" s="44">
        <f t="shared" si="1"/>
        <v>1.8269054321143235E-4</v>
      </c>
      <c r="L116" s="22"/>
      <c r="M116" s="22"/>
    </row>
    <row r="117" spans="2:13" ht="12.75">
      <c r="B117" s="21">
        <v>44966</v>
      </c>
      <c r="C117" s="16"/>
      <c r="D117" s="25" t="s">
        <v>277</v>
      </c>
      <c r="E117" s="22"/>
      <c r="F117" s="22"/>
      <c r="G117" s="25"/>
      <c r="H117" s="25"/>
      <c r="I117" s="92">
        <v>86904.75</v>
      </c>
      <c r="J117" s="26">
        <f>SUM($I$4:I117)</f>
        <v>15212817.360000005</v>
      </c>
      <c r="K117" s="44">
        <f t="shared" si="1"/>
        <v>1.1245323314179032E-3</v>
      </c>
      <c r="L117" s="22"/>
      <c r="M117" s="22"/>
    </row>
    <row r="118" spans="2:13" ht="12.75">
      <c r="B118" s="21">
        <v>44966</v>
      </c>
      <c r="C118" s="16"/>
      <c r="D118" s="25" t="s">
        <v>268</v>
      </c>
      <c r="E118" s="22"/>
      <c r="F118" s="22"/>
      <c r="G118" s="25"/>
      <c r="H118" s="25"/>
      <c r="I118" s="92">
        <v>100</v>
      </c>
      <c r="J118" s="26">
        <f>SUM($I$4:I118)</f>
        <v>15212917.360000005</v>
      </c>
      <c r="K118" s="44">
        <f t="shared" si="1"/>
        <v>1.2939825860127362E-6</v>
      </c>
      <c r="L118" s="22"/>
      <c r="M118" s="22"/>
    </row>
    <row r="119" spans="2:13" ht="12.75">
      <c r="B119" s="21">
        <v>44966</v>
      </c>
      <c r="C119" s="16"/>
      <c r="D119" s="25" t="s">
        <v>286</v>
      </c>
      <c r="E119" s="22"/>
      <c r="F119" s="22"/>
      <c r="G119" s="25"/>
      <c r="H119" s="25"/>
      <c r="I119" s="92">
        <v>4411.25</v>
      </c>
      <c r="J119" s="26">
        <f>SUM($I$4:I119)</f>
        <v>15217328.610000005</v>
      </c>
      <c r="K119" s="44">
        <f t="shared" si="1"/>
        <v>5.7080806825486822E-5</v>
      </c>
      <c r="L119" s="22"/>
      <c r="M119" s="22"/>
    </row>
    <row r="120" spans="2:13" ht="12.75">
      <c r="B120" s="21">
        <v>44966</v>
      </c>
      <c r="C120" s="16"/>
      <c r="D120" s="25" t="s">
        <v>268</v>
      </c>
      <c r="E120" s="22"/>
      <c r="F120" s="22"/>
      <c r="G120" s="25"/>
      <c r="H120" s="25"/>
      <c r="I120" s="92">
        <v>100</v>
      </c>
      <c r="J120" s="26">
        <f>SUM($I$4:I120)</f>
        <v>15217428.610000005</v>
      </c>
      <c r="K120" s="44">
        <f t="shared" si="1"/>
        <v>1.2939825860127362E-6</v>
      </c>
      <c r="L120" s="22"/>
      <c r="M120" s="22"/>
    </row>
    <row r="121" spans="2:13" ht="12.75">
      <c r="B121" s="21">
        <v>44966</v>
      </c>
      <c r="C121" s="16"/>
      <c r="D121" s="25" t="s">
        <v>286</v>
      </c>
      <c r="E121" s="22"/>
      <c r="F121" s="22"/>
      <c r="G121" s="25"/>
      <c r="H121" s="25"/>
      <c r="I121" s="92">
        <v>4411.25</v>
      </c>
      <c r="J121" s="26">
        <f>SUM($I$4:I121)</f>
        <v>15221839.860000005</v>
      </c>
      <c r="K121" s="44">
        <f t="shared" si="1"/>
        <v>5.7080806825486822E-5</v>
      </c>
      <c r="L121" s="22"/>
      <c r="M121" s="22"/>
    </row>
    <row r="122" spans="2:13" ht="12.75">
      <c r="B122" s="21">
        <v>44966</v>
      </c>
      <c r="C122" s="16"/>
      <c r="D122" s="25" t="s">
        <v>268</v>
      </c>
      <c r="E122" s="22"/>
      <c r="F122" s="22"/>
      <c r="G122" s="25"/>
      <c r="H122" s="25"/>
      <c r="I122" s="92">
        <v>100</v>
      </c>
      <c r="J122" s="26">
        <f>SUM($I$4:I122)</f>
        <v>15221939.860000005</v>
      </c>
      <c r="K122" s="44">
        <f t="shared" si="1"/>
        <v>1.2939825860127362E-6</v>
      </c>
      <c r="L122" s="22"/>
      <c r="M122" s="22"/>
    </row>
    <row r="123" spans="2:13" ht="12.75">
      <c r="B123" s="21">
        <v>44966</v>
      </c>
      <c r="C123" s="16"/>
      <c r="D123" s="25" t="s">
        <v>282</v>
      </c>
      <c r="E123" s="22"/>
      <c r="F123" s="22"/>
      <c r="G123" s="25"/>
      <c r="H123" s="25"/>
      <c r="I123" s="92">
        <v>1123363.58</v>
      </c>
      <c r="J123" s="26">
        <f>SUM($I$4:I123)</f>
        <v>16345303.440000005</v>
      </c>
      <c r="K123" s="44">
        <f t="shared" si="1"/>
        <v>1.4536129102809252E-2</v>
      </c>
      <c r="L123" s="22"/>
      <c r="M123" s="22"/>
    </row>
    <row r="124" spans="2:13" ht="12.75">
      <c r="B124" s="21">
        <v>44966</v>
      </c>
      <c r="C124" s="16"/>
      <c r="D124" s="25" t="s">
        <v>268</v>
      </c>
      <c r="E124" s="22"/>
      <c r="F124" s="22"/>
      <c r="G124" s="25"/>
      <c r="H124" s="25"/>
      <c r="I124" s="92">
        <v>50</v>
      </c>
      <c r="J124" s="26">
        <f>SUM($I$4:I124)</f>
        <v>16345353.440000005</v>
      </c>
      <c r="K124" s="44">
        <f t="shared" si="1"/>
        <v>6.4699129300636808E-7</v>
      </c>
      <c r="L124" s="22"/>
      <c r="M124" s="22"/>
    </row>
    <row r="125" spans="2:13" ht="12.75">
      <c r="B125" s="21">
        <v>44966</v>
      </c>
      <c r="C125" s="16"/>
      <c r="D125" s="25" t="s">
        <v>268</v>
      </c>
      <c r="E125" s="22"/>
      <c r="F125" s="22"/>
      <c r="G125" s="25"/>
      <c r="H125" s="25"/>
      <c r="I125" s="92">
        <v>3.75</v>
      </c>
      <c r="J125" s="26">
        <f>SUM($I$4:I125)</f>
        <v>16345357.190000005</v>
      </c>
      <c r="K125" s="44">
        <f t="shared" si="1"/>
        <v>4.8524346975477608E-8</v>
      </c>
      <c r="L125" s="22"/>
      <c r="M125" s="22"/>
    </row>
    <row r="126" spans="2:13" ht="12.75">
      <c r="B126" s="21">
        <v>44967</v>
      </c>
      <c r="C126" s="16"/>
      <c r="D126" s="25" t="s">
        <v>268</v>
      </c>
      <c r="E126" s="22"/>
      <c r="F126" s="22"/>
      <c r="G126" s="25"/>
      <c r="H126" s="25"/>
      <c r="I126" s="92">
        <v>50</v>
      </c>
      <c r="J126" s="26">
        <f>SUM($I$4:I126)</f>
        <v>16345407.190000005</v>
      </c>
      <c r="K126" s="44">
        <f t="shared" si="1"/>
        <v>6.4699129300636808E-7</v>
      </c>
      <c r="L126" s="22"/>
      <c r="M126" s="22"/>
    </row>
    <row r="127" spans="2:13" ht="12.75">
      <c r="B127" s="21">
        <v>44970</v>
      </c>
      <c r="C127" s="16"/>
      <c r="D127" s="25" t="s">
        <v>272</v>
      </c>
      <c r="E127" s="22"/>
      <c r="F127" s="22"/>
      <c r="G127" s="25"/>
      <c r="H127" s="25"/>
      <c r="I127" s="92">
        <v>938716.4</v>
      </c>
      <c r="J127" s="26">
        <f>SUM($I$4:I127)</f>
        <v>17284123.590000004</v>
      </c>
      <c r="K127" s="44">
        <f t="shared" si="1"/>
        <v>1.2146826748045661E-2</v>
      </c>
      <c r="L127" s="22"/>
      <c r="M127" s="22"/>
    </row>
    <row r="128" spans="2:13" ht="12.75">
      <c r="B128" s="21">
        <v>44970</v>
      </c>
      <c r="C128" s="16"/>
      <c r="D128" s="25" t="s">
        <v>268</v>
      </c>
      <c r="E128" s="22"/>
      <c r="F128" s="22"/>
      <c r="G128" s="25"/>
      <c r="H128" s="25"/>
      <c r="I128" s="92">
        <v>100</v>
      </c>
      <c r="J128" s="26">
        <f>SUM($I$4:I128)</f>
        <v>17284223.590000004</v>
      </c>
      <c r="K128" s="44">
        <f t="shared" si="1"/>
        <v>1.2939825860127362E-6</v>
      </c>
      <c r="L128" s="22"/>
      <c r="M128" s="22"/>
    </row>
    <row r="129" spans="2:13" ht="12.75">
      <c r="B129" s="21">
        <v>44973</v>
      </c>
      <c r="C129" s="16"/>
      <c r="D129" s="25" t="s">
        <v>291</v>
      </c>
      <c r="E129" s="22"/>
      <c r="F129" s="22"/>
      <c r="G129" s="25"/>
      <c r="H129" s="25"/>
      <c r="I129" s="92">
        <v>100000</v>
      </c>
      <c r="J129" s="26">
        <f>SUM($I$4:I129)</f>
        <v>17384223.590000004</v>
      </c>
      <c r="K129" s="44">
        <f t="shared" si="1"/>
        <v>1.2939825860127361E-3</v>
      </c>
      <c r="L129" s="22"/>
      <c r="M129" s="22"/>
    </row>
    <row r="130" spans="2:13" ht="12.75">
      <c r="B130" s="21">
        <v>44973</v>
      </c>
      <c r="C130" s="16"/>
      <c r="D130" s="25" t="s">
        <v>278</v>
      </c>
      <c r="E130" s="22"/>
      <c r="F130" s="22"/>
      <c r="G130" s="25"/>
      <c r="H130" s="25"/>
      <c r="I130" s="92">
        <v>73407</v>
      </c>
      <c r="J130" s="26">
        <f>SUM($I$4:I130)</f>
        <v>17457630.590000004</v>
      </c>
      <c r="K130" s="44">
        <f t="shared" si="1"/>
        <v>9.4987379691436919E-4</v>
      </c>
      <c r="L130" s="22"/>
      <c r="M130" s="22"/>
    </row>
    <row r="131" spans="2:13" ht="12.75">
      <c r="B131" s="21">
        <v>44973</v>
      </c>
      <c r="C131" s="16"/>
      <c r="D131" s="25" t="s">
        <v>268</v>
      </c>
      <c r="E131" s="22"/>
      <c r="F131" s="22"/>
      <c r="G131" s="25"/>
      <c r="H131" s="25"/>
      <c r="I131" s="92">
        <v>50</v>
      </c>
      <c r="J131" s="26">
        <f>SUM($I$4:I131)</f>
        <v>17457680.590000004</v>
      </c>
      <c r="K131" s="44">
        <f t="shared" si="1"/>
        <v>6.4699129300636808E-7</v>
      </c>
      <c r="L131" s="22"/>
      <c r="M131" s="22"/>
    </row>
    <row r="132" spans="2:13" ht="12.75">
      <c r="B132" s="21">
        <v>44973</v>
      </c>
      <c r="C132" s="16"/>
      <c r="D132" s="25" t="s">
        <v>268</v>
      </c>
      <c r="E132" s="22"/>
      <c r="F132" s="22"/>
      <c r="G132" s="25"/>
      <c r="H132" s="25"/>
      <c r="I132" s="92">
        <v>3.75</v>
      </c>
      <c r="J132" s="26">
        <f>SUM($I$4:I132)</f>
        <v>17457684.340000004</v>
      </c>
      <c r="K132" s="44">
        <f t="shared" si="1"/>
        <v>4.8524346975477608E-8</v>
      </c>
      <c r="L132" s="22"/>
      <c r="M132" s="22"/>
    </row>
    <row r="133" spans="2:13" ht="12.75">
      <c r="B133" s="21">
        <v>44973</v>
      </c>
      <c r="C133" s="16"/>
      <c r="D133" s="25" t="s">
        <v>281</v>
      </c>
      <c r="E133" s="22"/>
      <c r="F133" s="22"/>
      <c r="G133" s="25"/>
      <c r="H133" s="25"/>
      <c r="I133" s="92">
        <v>384000</v>
      </c>
      <c r="J133" s="26">
        <f>SUM($I$4:I133)</f>
        <v>17841684.340000004</v>
      </c>
      <c r="K133" s="44">
        <f t="shared" ref="K133:K196" si="2">IF(SUM($I$4:$I$830)=0,"",I133/SUM($I$4:$I$830))</f>
        <v>4.9688931302889067E-3</v>
      </c>
      <c r="L133" s="22"/>
      <c r="M133" s="22"/>
    </row>
    <row r="134" spans="2:13" ht="12.75">
      <c r="B134" s="21">
        <v>44973</v>
      </c>
      <c r="C134" s="16"/>
      <c r="D134" s="25" t="s">
        <v>268</v>
      </c>
      <c r="E134" s="22"/>
      <c r="F134" s="22"/>
      <c r="G134" s="25"/>
      <c r="H134" s="25"/>
      <c r="I134" s="92">
        <v>50</v>
      </c>
      <c r="J134" s="26">
        <f>SUM($I$4:I134)</f>
        <v>17841734.340000004</v>
      </c>
      <c r="K134" s="44">
        <f t="shared" si="2"/>
        <v>6.4699129300636808E-7</v>
      </c>
      <c r="L134" s="22"/>
      <c r="M134" s="22"/>
    </row>
    <row r="135" spans="2:13" ht="12.75">
      <c r="B135" s="21">
        <v>44973</v>
      </c>
      <c r="C135" s="16"/>
      <c r="D135" s="25" t="s">
        <v>268</v>
      </c>
      <c r="E135" s="22"/>
      <c r="F135" s="22"/>
      <c r="G135" s="25"/>
      <c r="H135" s="25"/>
      <c r="I135" s="92">
        <v>3.75</v>
      </c>
      <c r="J135" s="26">
        <f>SUM($I$4:I135)</f>
        <v>17841738.090000004</v>
      </c>
      <c r="K135" s="44">
        <f t="shared" si="2"/>
        <v>4.8524346975477608E-8</v>
      </c>
      <c r="L135" s="22"/>
      <c r="M135" s="22"/>
    </row>
    <row r="136" spans="2:13" ht="12.75">
      <c r="B136" s="21">
        <v>44973</v>
      </c>
      <c r="C136" s="16"/>
      <c r="D136" s="25" t="s">
        <v>284</v>
      </c>
      <c r="E136" s="22"/>
      <c r="F136" s="22"/>
      <c r="G136" s="25"/>
      <c r="H136" s="25"/>
      <c r="I136" s="92">
        <v>26100</v>
      </c>
      <c r="J136" s="26">
        <f>SUM($I$4:I136)</f>
        <v>17867838.090000004</v>
      </c>
      <c r="K136" s="44">
        <f t="shared" si="2"/>
        <v>3.3772945494932414E-4</v>
      </c>
      <c r="L136" s="22"/>
      <c r="M136" s="22"/>
    </row>
    <row r="137" spans="2:13" ht="12.75">
      <c r="B137" s="21">
        <v>44973</v>
      </c>
      <c r="C137" s="16"/>
      <c r="D137" s="25" t="s">
        <v>268</v>
      </c>
      <c r="E137" s="22"/>
      <c r="F137" s="22"/>
      <c r="G137" s="25"/>
      <c r="H137" s="25"/>
      <c r="I137" s="92">
        <v>25</v>
      </c>
      <c r="J137" s="26">
        <f>SUM($I$4:I137)</f>
        <v>17867863.090000004</v>
      </c>
      <c r="K137" s="44">
        <f t="shared" si="2"/>
        <v>3.2349564650318404E-7</v>
      </c>
      <c r="L137" s="22"/>
      <c r="M137" s="22"/>
    </row>
    <row r="138" spans="2:13" ht="12.75">
      <c r="B138" s="21">
        <v>44973</v>
      </c>
      <c r="C138" s="16"/>
      <c r="D138" s="25" t="s">
        <v>268</v>
      </c>
      <c r="E138" s="22"/>
      <c r="F138" s="22"/>
      <c r="G138" s="25"/>
      <c r="H138" s="25"/>
      <c r="I138" s="92">
        <v>1.87</v>
      </c>
      <c r="J138" s="26">
        <f>SUM($I$4:I138)</f>
        <v>17867864.960000005</v>
      </c>
      <c r="K138" s="44">
        <f t="shared" si="2"/>
        <v>2.4197474358438168E-8</v>
      </c>
      <c r="L138" s="22"/>
      <c r="M138" s="22"/>
    </row>
    <row r="139" spans="2:13" ht="12.75">
      <c r="B139" s="21">
        <v>44973</v>
      </c>
      <c r="C139" s="16"/>
      <c r="D139" s="25" t="s">
        <v>281</v>
      </c>
      <c r="E139" s="22"/>
      <c r="F139" s="22"/>
      <c r="G139" s="25"/>
      <c r="H139" s="25"/>
      <c r="I139" s="92">
        <v>23000</v>
      </c>
      <c r="J139" s="26">
        <f>SUM($I$4:I139)</f>
        <v>17890864.960000005</v>
      </c>
      <c r="K139" s="44">
        <f t="shared" si="2"/>
        <v>2.9761599478292931E-4</v>
      </c>
      <c r="L139" s="22"/>
      <c r="M139" s="22"/>
    </row>
    <row r="140" spans="2:13" ht="12.75">
      <c r="B140" s="21">
        <v>44974</v>
      </c>
      <c r="C140" s="16"/>
      <c r="D140" s="25" t="s">
        <v>281</v>
      </c>
      <c r="E140" s="22"/>
      <c r="F140" s="22"/>
      <c r="G140" s="25"/>
      <c r="H140" s="25"/>
      <c r="I140" s="92">
        <v>78000</v>
      </c>
      <c r="J140" s="26">
        <f>SUM($I$4:I140)</f>
        <v>17968864.960000005</v>
      </c>
      <c r="K140" s="44">
        <f t="shared" si="2"/>
        <v>1.0093064170899342E-3</v>
      </c>
      <c r="L140" s="22"/>
      <c r="M140" s="22"/>
    </row>
    <row r="141" spans="2:13" ht="12.75">
      <c r="B141" s="21">
        <v>44974</v>
      </c>
      <c r="C141" s="16"/>
      <c r="D141" s="25" t="s">
        <v>292</v>
      </c>
      <c r="E141" s="22"/>
      <c r="F141" s="22"/>
      <c r="G141" s="25"/>
      <c r="H141" s="25"/>
      <c r="I141" s="92">
        <v>10000</v>
      </c>
      <c r="J141" s="26">
        <f>SUM($I$4:I141)</f>
        <v>17978864.960000005</v>
      </c>
      <c r="K141" s="44">
        <f t="shared" si="2"/>
        <v>1.2939825860127361E-4</v>
      </c>
      <c r="L141" s="22"/>
      <c r="M141" s="22"/>
    </row>
    <row r="142" spans="2:13" ht="12.75">
      <c r="B142" s="21">
        <v>44977</v>
      </c>
      <c r="C142" s="16"/>
      <c r="D142" s="25" t="s">
        <v>271</v>
      </c>
      <c r="E142" s="22"/>
      <c r="F142" s="22"/>
      <c r="G142" s="25"/>
      <c r="H142" s="25"/>
      <c r="I142" s="92">
        <v>58205.35</v>
      </c>
      <c r="J142" s="26">
        <f>SUM($I$4:I142)</f>
        <v>18037070.310000006</v>
      </c>
      <c r="K142" s="44">
        <f t="shared" si="2"/>
        <v>7.5316709312776408E-4</v>
      </c>
      <c r="L142" s="22"/>
      <c r="M142" s="22"/>
    </row>
    <row r="143" spans="2:13" ht="12.75">
      <c r="B143" s="21">
        <v>44977</v>
      </c>
      <c r="C143" s="16"/>
      <c r="D143" s="25" t="s">
        <v>272</v>
      </c>
      <c r="E143" s="22"/>
      <c r="F143" s="22"/>
      <c r="G143" s="25"/>
      <c r="H143" s="25"/>
      <c r="I143" s="92">
        <v>14976.32</v>
      </c>
      <c r="J143" s="26">
        <f>SUM($I$4:I143)</f>
        <v>18052046.630000006</v>
      </c>
      <c r="K143" s="44">
        <f t="shared" si="2"/>
        <v>1.9379097282554262E-4</v>
      </c>
      <c r="L143" s="22"/>
      <c r="M143" s="22"/>
    </row>
    <row r="144" spans="2:13" ht="12.75">
      <c r="B144" s="21">
        <v>44977</v>
      </c>
      <c r="C144" s="16"/>
      <c r="D144" s="25" t="s">
        <v>268</v>
      </c>
      <c r="E144" s="22"/>
      <c r="F144" s="22"/>
      <c r="G144" s="25"/>
      <c r="H144" s="25"/>
      <c r="I144" s="92">
        <v>100</v>
      </c>
      <c r="J144" s="26">
        <f>SUM($I$4:I144)</f>
        <v>18052146.630000006</v>
      </c>
      <c r="K144" s="44">
        <f t="shared" si="2"/>
        <v>1.2939825860127362E-6</v>
      </c>
      <c r="L144" s="22"/>
      <c r="M144" s="22"/>
    </row>
    <row r="145" spans="2:13" ht="12.75">
      <c r="B145" s="21">
        <v>44977</v>
      </c>
      <c r="C145" s="16"/>
      <c r="D145" s="25" t="s">
        <v>283</v>
      </c>
      <c r="E145" s="22"/>
      <c r="F145" s="22"/>
      <c r="G145" s="25"/>
      <c r="H145" s="25"/>
      <c r="I145" s="92">
        <v>6000</v>
      </c>
      <c r="J145" s="26">
        <f>SUM($I$4:I145)</f>
        <v>18058146.630000006</v>
      </c>
      <c r="K145" s="44">
        <f t="shared" si="2"/>
        <v>7.7638955160764167E-5</v>
      </c>
      <c r="L145" s="22"/>
      <c r="M145" s="22"/>
    </row>
    <row r="146" spans="2:13" ht="12.75">
      <c r="B146" s="21">
        <v>44977</v>
      </c>
      <c r="C146" s="16"/>
      <c r="D146" s="25" t="s">
        <v>268</v>
      </c>
      <c r="E146" s="22"/>
      <c r="F146" s="22"/>
      <c r="G146" s="25"/>
      <c r="H146" s="25"/>
      <c r="I146" s="92">
        <v>100</v>
      </c>
      <c r="J146" s="26">
        <f>SUM($I$4:I146)</f>
        <v>18058246.630000006</v>
      </c>
      <c r="K146" s="44">
        <f t="shared" si="2"/>
        <v>1.2939825860127362E-6</v>
      </c>
      <c r="L146" s="22"/>
      <c r="M146" s="22"/>
    </row>
    <row r="147" spans="2:13" ht="12.75">
      <c r="B147" s="21">
        <v>44978</v>
      </c>
      <c r="C147" s="16"/>
      <c r="D147" s="25" t="s">
        <v>281</v>
      </c>
      <c r="E147" s="22"/>
      <c r="F147" s="22"/>
      <c r="G147" s="25"/>
      <c r="H147" s="25"/>
      <c r="I147" s="92">
        <v>49500</v>
      </c>
      <c r="J147" s="26">
        <f>SUM($I$4:I147)</f>
        <v>18107746.630000006</v>
      </c>
      <c r="K147" s="44">
        <f t="shared" si="2"/>
        <v>6.4052138007630443E-4</v>
      </c>
      <c r="L147" s="22"/>
      <c r="M147" s="22"/>
    </row>
    <row r="148" spans="2:13" ht="12.75">
      <c r="B148" s="21">
        <v>44984</v>
      </c>
      <c r="C148" s="16"/>
      <c r="D148" s="25" t="s">
        <v>271</v>
      </c>
      <c r="E148" s="22"/>
      <c r="F148" s="22"/>
      <c r="G148" s="25"/>
      <c r="H148" s="25"/>
      <c r="I148" s="92">
        <v>106330.8</v>
      </c>
      <c r="J148" s="26">
        <f>SUM($I$4:I148)</f>
        <v>18214077.430000007</v>
      </c>
      <c r="K148" s="44">
        <f t="shared" si="2"/>
        <v>1.3759020355680305E-3</v>
      </c>
      <c r="L148" s="22"/>
      <c r="M148" s="22"/>
    </row>
    <row r="149" spans="2:13" ht="12.75">
      <c r="B149" s="21">
        <v>44985</v>
      </c>
      <c r="C149" s="16"/>
      <c r="D149" s="25" t="s">
        <v>271</v>
      </c>
      <c r="E149" s="22"/>
      <c r="F149" s="22"/>
      <c r="G149" s="25"/>
      <c r="H149" s="25"/>
      <c r="I149" s="92">
        <v>6245486.6500000004</v>
      </c>
      <c r="J149" s="26">
        <f>SUM($I$4:I149)</f>
        <v>24459564.080000006</v>
      </c>
      <c r="K149" s="44">
        <f t="shared" si="2"/>
        <v>8.081550966275021E-2</v>
      </c>
      <c r="L149" s="22"/>
      <c r="M149" s="22"/>
    </row>
    <row r="150" spans="2:13" ht="12.75">
      <c r="B150" s="21">
        <v>44985</v>
      </c>
      <c r="C150" s="16"/>
      <c r="D150" s="25" t="s">
        <v>268</v>
      </c>
      <c r="E150" s="22"/>
      <c r="F150" s="22"/>
      <c r="G150" s="25"/>
      <c r="H150" s="25"/>
      <c r="I150" s="92">
        <v>403.13</v>
      </c>
      <c r="J150" s="26">
        <f>SUM($I$4:I150)</f>
        <v>24459967.210000005</v>
      </c>
      <c r="K150" s="44">
        <f t="shared" si="2"/>
        <v>5.2164319989931436E-6</v>
      </c>
      <c r="L150" s="22"/>
      <c r="M150" s="22"/>
    </row>
    <row r="151" spans="2:13" ht="12.75">
      <c r="B151" s="21">
        <v>44985</v>
      </c>
      <c r="C151" s="16"/>
      <c r="D151" s="25" t="s">
        <v>271</v>
      </c>
      <c r="E151" s="22"/>
      <c r="F151" s="22"/>
      <c r="G151" s="25"/>
      <c r="H151" s="25"/>
      <c r="I151" s="92">
        <v>59819.67</v>
      </c>
      <c r="J151" s="26">
        <f>SUM($I$4:I151)</f>
        <v>24519786.880000006</v>
      </c>
      <c r="K151" s="44">
        <f t="shared" si="2"/>
        <v>7.7405611281028495E-4</v>
      </c>
      <c r="L151" s="22"/>
      <c r="M151" s="22"/>
    </row>
    <row r="152" spans="2:13" ht="12.75">
      <c r="B152" s="21">
        <v>44985</v>
      </c>
      <c r="C152" s="16"/>
      <c r="D152" s="25" t="s">
        <v>290</v>
      </c>
      <c r="E152" s="22"/>
      <c r="F152" s="22"/>
      <c r="G152" s="25"/>
      <c r="H152" s="25"/>
      <c r="I152" s="92">
        <v>152000</v>
      </c>
      <c r="J152" s="26">
        <f>SUM($I$4:I152)</f>
        <v>24671786.880000006</v>
      </c>
      <c r="K152" s="44">
        <f t="shared" si="2"/>
        <v>1.9668535307393589E-3</v>
      </c>
      <c r="L152" s="22"/>
      <c r="M152" s="22"/>
    </row>
    <row r="153" spans="2:13" ht="12.75">
      <c r="B153" s="21">
        <v>44985</v>
      </c>
      <c r="C153" s="16"/>
      <c r="D153" s="25" t="s">
        <v>268</v>
      </c>
      <c r="E153" s="22"/>
      <c r="F153" s="22"/>
      <c r="G153" s="25"/>
      <c r="H153" s="25"/>
      <c r="I153" s="92">
        <v>50</v>
      </c>
      <c r="J153" s="26">
        <f>SUM($I$4:I153)</f>
        <v>24671836.880000006</v>
      </c>
      <c r="K153" s="44">
        <f t="shared" si="2"/>
        <v>6.4699129300636808E-7</v>
      </c>
      <c r="L153" s="22"/>
      <c r="M153" s="22"/>
    </row>
    <row r="154" spans="2:13" ht="12.75">
      <c r="B154" s="21">
        <v>44985</v>
      </c>
      <c r="C154" s="16"/>
      <c r="D154" s="25" t="s">
        <v>268</v>
      </c>
      <c r="E154" s="22"/>
      <c r="F154" s="22"/>
      <c r="G154" s="25"/>
      <c r="H154" s="25"/>
      <c r="I154" s="92">
        <v>3.75</v>
      </c>
      <c r="J154" s="26">
        <f>SUM($I$4:I154)</f>
        <v>24671840.630000006</v>
      </c>
      <c r="K154" s="44">
        <f t="shared" si="2"/>
        <v>4.8524346975477608E-8</v>
      </c>
      <c r="L154" s="22"/>
      <c r="M154" s="22"/>
    </row>
    <row r="155" spans="2:13" ht="12.75">
      <c r="B155" s="21">
        <v>44985</v>
      </c>
      <c r="C155" s="16"/>
      <c r="D155" s="25" t="s">
        <v>271</v>
      </c>
      <c r="E155" s="22"/>
      <c r="F155" s="22"/>
      <c r="G155" s="25"/>
      <c r="H155" s="25"/>
      <c r="I155" s="92">
        <v>60000</v>
      </c>
      <c r="J155" s="26">
        <f>SUM($I$4:I155)</f>
        <v>24731840.630000006</v>
      </c>
      <c r="K155" s="44">
        <f t="shared" si="2"/>
        <v>7.7638955160764167E-4</v>
      </c>
      <c r="L155" s="22"/>
      <c r="M155" s="22"/>
    </row>
    <row r="156" spans="2:13" ht="12.75">
      <c r="B156" s="21">
        <v>44985</v>
      </c>
      <c r="C156" s="16"/>
      <c r="D156" s="25" t="s">
        <v>268</v>
      </c>
      <c r="E156" s="22"/>
      <c r="F156" s="22"/>
      <c r="G156" s="25"/>
      <c r="H156" s="25"/>
      <c r="I156" s="92">
        <v>50</v>
      </c>
      <c r="J156" s="26">
        <f>SUM($I$4:I156)</f>
        <v>24731890.630000006</v>
      </c>
      <c r="K156" s="44">
        <f t="shared" si="2"/>
        <v>6.4699129300636808E-7</v>
      </c>
      <c r="L156" s="22"/>
      <c r="M156" s="22"/>
    </row>
    <row r="157" spans="2:13" ht="12.75">
      <c r="B157" s="21">
        <v>44985</v>
      </c>
      <c r="C157" s="16"/>
      <c r="D157" s="25" t="s">
        <v>268</v>
      </c>
      <c r="E157" s="22"/>
      <c r="F157" s="22"/>
      <c r="G157" s="25"/>
      <c r="H157" s="25"/>
      <c r="I157" s="92">
        <v>3.75</v>
      </c>
      <c r="J157" s="26">
        <f>SUM($I$4:I157)</f>
        <v>24731894.380000006</v>
      </c>
      <c r="K157" s="44">
        <f t="shared" si="2"/>
        <v>4.8524346975477608E-8</v>
      </c>
      <c r="L157" s="22"/>
      <c r="M157" s="22"/>
    </row>
    <row r="158" spans="2:13" ht="12.75">
      <c r="B158" s="21">
        <v>44985</v>
      </c>
      <c r="C158" s="16"/>
      <c r="D158" s="25" t="s">
        <v>271</v>
      </c>
      <c r="E158" s="22"/>
      <c r="F158" s="22"/>
      <c r="G158" s="25"/>
      <c r="H158" s="25"/>
      <c r="I158" s="92">
        <v>30000</v>
      </c>
      <c r="J158" s="26">
        <f>SUM($I$4:I158)</f>
        <v>24761894.380000006</v>
      </c>
      <c r="K158" s="44">
        <f t="shared" si="2"/>
        <v>3.8819477580382083E-4</v>
      </c>
      <c r="L158" s="22"/>
      <c r="M158" s="22"/>
    </row>
    <row r="159" spans="2:13" ht="12.75">
      <c r="B159" s="21">
        <v>44985</v>
      </c>
      <c r="C159" s="16"/>
      <c r="D159" s="25" t="s">
        <v>268</v>
      </c>
      <c r="E159" s="22"/>
      <c r="F159" s="22"/>
      <c r="G159" s="25"/>
      <c r="H159" s="25"/>
      <c r="I159" s="92">
        <v>25</v>
      </c>
      <c r="J159" s="26">
        <f>SUM($I$4:I159)</f>
        <v>24761919.380000006</v>
      </c>
      <c r="K159" s="44">
        <f t="shared" si="2"/>
        <v>3.2349564650318404E-7</v>
      </c>
      <c r="L159" s="22"/>
      <c r="M159" s="22"/>
    </row>
    <row r="160" spans="2:13" ht="12.75">
      <c r="B160" s="21">
        <v>44985</v>
      </c>
      <c r="C160" s="16"/>
      <c r="D160" s="25" t="s">
        <v>268</v>
      </c>
      <c r="E160" s="22"/>
      <c r="F160" s="22"/>
      <c r="G160" s="25"/>
      <c r="H160" s="25"/>
      <c r="I160" s="92">
        <v>1.87</v>
      </c>
      <c r="J160" s="26">
        <f>SUM($I$4:I160)</f>
        <v>24761921.250000007</v>
      </c>
      <c r="K160" s="44">
        <f t="shared" si="2"/>
        <v>2.4197474358438168E-8</v>
      </c>
      <c r="L160" s="22"/>
      <c r="M160" s="22"/>
    </row>
    <row r="161" spans="2:13" ht="12.75">
      <c r="B161" s="21">
        <v>44985</v>
      </c>
      <c r="C161" s="16"/>
      <c r="D161" s="25" t="s">
        <v>264</v>
      </c>
      <c r="E161" s="22"/>
      <c r="F161" s="22"/>
      <c r="G161" s="25"/>
      <c r="H161" s="25"/>
      <c r="I161" s="92">
        <v>9649.0499999999993</v>
      </c>
      <c r="J161" s="26">
        <f>SUM($I$4:I161)</f>
        <v>24771570.300000008</v>
      </c>
      <c r="K161" s="44">
        <f t="shared" si="2"/>
        <v>1.2485702671566191E-4</v>
      </c>
      <c r="L161" s="22"/>
      <c r="M161" s="22"/>
    </row>
    <row r="162" spans="2:13" ht="12.75">
      <c r="B162" s="21">
        <v>44985</v>
      </c>
      <c r="C162" s="16"/>
      <c r="D162" s="25" t="s">
        <v>264</v>
      </c>
      <c r="E162" s="22"/>
      <c r="F162" s="22"/>
      <c r="G162" s="25"/>
      <c r="H162" s="25"/>
      <c r="I162" s="92">
        <v>723.68</v>
      </c>
      <c r="J162" s="26">
        <f>SUM($I$4:I162)</f>
        <v>24772293.980000008</v>
      </c>
      <c r="K162" s="44">
        <f t="shared" si="2"/>
        <v>9.3642931784569691E-6</v>
      </c>
      <c r="L162" s="22"/>
      <c r="M162" s="22"/>
    </row>
    <row r="163" spans="2:13" ht="12.75">
      <c r="B163" s="21">
        <v>44985</v>
      </c>
      <c r="C163" s="16"/>
      <c r="D163" s="25" t="s">
        <v>268</v>
      </c>
      <c r="E163" s="22"/>
      <c r="F163" s="22"/>
      <c r="G163" s="25"/>
      <c r="H163" s="25"/>
      <c r="I163" s="92">
        <v>396</v>
      </c>
      <c r="J163" s="26">
        <f>SUM($I$4:I163)</f>
        <v>24772689.980000008</v>
      </c>
      <c r="K163" s="44">
        <f t="shared" si="2"/>
        <v>5.1241710406104354E-6</v>
      </c>
      <c r="L163" s="22"/>
      <c r="M163" s="22"/>
    </row>
    <row r="164" spans="2:13" ht="12.75">
      <c r="B164" s="21">
        <v>44985</v>
      </c>
      <c r="C164" s="16"/>
      <c r="D164" s="25" t="s">
        <v>268</v>
      </c>
      <c r="E164" s="22"/>
      <c r="F164" s="22"/>
      <c r="G164" s="25"/>
      <c r="H164" s="25"/>
      <c r="I164" s="92">
        <v>29.7</v>
      </c>
      <c r="J164" s="26">
        <f>SUM($I$4:I164)</f>
        <v>24772719.680000007</v>
      </c>
      <c r="K164" s="44">
        <f t="shared" si="2"/>
        <v>3.8431282804578263E-7</v>
      </c>
      <c r="L164" s="22"/>
      <c r="M164" s="22"/>
    </row>
    <row r="165" spans="2:13" ht="12.75">
      <c r="B165" s="21">
        <v>44986</v>
      </c>
      <c r="C165" s="16"/>
      <c r="D165" s="25" t="s">
        <v>268</v>
      </c>
      <c r="E165" s="22"/>
      <c r="F165" s="22"/>
      <c r="G165" s="25"/>
      <c r="H165" s="25"/>
      <c r="I165" s="92">
        <v>540</v>
      </c>
      <c r="J165" s="26">
        <f>SUM($I$4:I165)</f>
        <v>24773259.680000007</v>
      </c>
      <c r="K165" s="44">
        <f t="shared" si="2"/>
        <v>6.9875059644687756E-6</v>
      </c>
      <c r="L165" s="22"/>
      <c r="M165" s="22"/>
    </row>
    <row r="166" spans="2:13" ht="12.75">
      <c r="B166" s="21">
        <v>44986</v>
      </c>
      <c r="C166" s="16"/>
      <c r="D166" s="25" t="s">
        <v>268</v>
      </c>
      <c r="E166" s="22"/>
      <c r="F166" s="22"/>
      <c r="G166" s="25"/>
      <c r="H166" s="25"/>
      <c r="I166" s="92">
        <v>40.5</v>
      </c>
      <c r="J166" s="26">
        <f>SUM($I$4:I166)</f>
        <v>24773300.180000007</v>
      </c>
      <c r="K166" s="44">
        <f t="shared" si="2"/>
        <v>5.2406294733515817E-7</v>
      </c>
      <c r="L166" s="22"/>
      <c r="M166" s="22"/>
    </row>
    <row r="167" spans="2:13" ht="12.75">
      <c r="B167" s="21">
        <v>44995</v>
      </c>
      <c r="C167" s="16"/>
      <c r="D167" s="25" t="s">
        <v>272</v>
      </c>
      <c r="E167" s="22"/>
      <c r="F167" s="22"/>
      <c r="G167" s="25"/>
      <c r="H167" s="25"/>
      <c r="I167" s="92">
        <v>788391.8</v>
      </c>
      <c r="J167" s="26">
        <f>SUM($I$4:I167)</f>
        <v>25561691.980000008</v>
      </c>
      <c r="K167" s="44">
        <f t="shared" si="2"/>
        <v>1.020165260155236E-2</v>
      </c>
      <c r="L167" s="22"/>
      <c r="M167" s="22"/>
    </row>
    <row r="168" spans="2:13" ht="12.75">
      <c r="B168" s="21">
        <v>44995</v>
      </c>
      <c r="C168" s="16"/>
      <c r="D168" s="25" t="s">
        <v>268</v>
      </c>
      <c r="E168" s="22"/>
      <c r="F168" s="22"/>
      <c r="G168" s="25"/>
      <c r="H168" s="25"/>
      <c r="I168" s="92">
        <v>100</v>
      </c>
      <c r="J168" s="26">
        <f>SUM($I$4:I168)</f>
        <v>25561791.980000008</v>
      </c>
      <c r="K168" s="44">
        <f t="shared" si="2"/>
        <v>1.2939825860127362E-6</v>
      </c>
      <c r="L168" s="22"/>
      <c r="M168" s="22"/>
    </row>
    <row r="169" spans="2:13" ht="12.75">
      <c r="B169" s="21">
        <v>44995</v>
      </c>
      <c r="C169" s="16"/>
      <c r="D169" s="25" t="s">
        <v>293</v>
      </c>
      <c r="E169" s="22"/>
      <c r="F169" s="22"/>
      <c r="G169" s="25"/>
      <c r="H169" s="25"/>
      <c r="I169" s="92">
        <v>1347889.8</v>
      </c>
      <c r="J169" s="26">
        <f>SUM($I$4:I169)</f>
        <v>26909681.780000009</v>
      </c>
      <c r="K169" s="44">
        <f t="shared" si="2"/>
        <v>1.7441459290641899E-2</v>
      </c>
      <c r="L169" s="22"/>
      <c r="M169" s="22"/>
    </row>
    <row r="170" spans="2:13" ht="12.75">
      <c r="B170" s="21">
        <v>44995</v>
      </c>
      <c r="C170" s="16"/>
      <c r="D170" s="25" t="s">
        <v>268</v>
      </c>
      <c r="E170" s="22"/>
      <c r="F170" s="22"/>
      <c r="G170" s="25"/>
      <c r="H170" s="25"/>
      <c r="I170" s="92">
        <v>53.75</v>
      </c>
      <c r="J170" s="26">
        <f>SUM($I$4:I170)</f>
        <v>26909735.530000009</v>
      </c>
      <c r="K170" s="44">
        <f t="shared" si="2"/>
        <v>6.9551563998184569E-7</v>
      </c>
      <c r="L170" s="22"/>
      <c r="M170" s="22"/>
    </row>
    <row r="171" spans="2:13" ht="12.75">
      <c r="B171" s="21">
        <v>44995</v>
      </c>
      <c r="C171" s="16"/>
      <c r="D171" s="25" t="s">
        <v>268</v>
      </c>
      <c r="E171" s="22"/>
      <c r="F171" s="22"/>
      <c r="G171" s="25"/>
      <c r="H171" s="25"/>
      <c r="I171" s="92">
        <v>345</v>
      </c>
      <c r="J171" s="26">
        <f>SUM($I$4:I171)</f>
        <v>26910080.530000009</v>
      </c>
      <c r="K171" s="44">
        <f t="shared" si="2"/>
        <v>4.4642399217439396E-6</v>
      </c>
      <c r="L171" s="22"/>
      <c r="M171" s="22"/>
    </row>
    <row r="172" spans="2:13" ht="12.75">
      <c r="B172" s="21">
        <v>44995</v>
      </c>
      <c r="C172" s="16"/>
      <c r="D172" s="25" t="s">
        <v>268</v>
      </c>
      <c r="E172" s="22"/>
      <c r="F172" s="22"/>
      <c r="G172" s="25"/>
      <c r="H172" s="25"/>
      <c r="I172" s="92">
        <v>25.88</v>
      </c>
      <c r="J172" s="26">
        <f>SUM($I$4:I172)</f>
        <v>26910106.410000008</v>
      </c>
      <c r="K172" s="44">
        <f t="shared" si="2"/>
        <v>3.348826932600961E-7</v>
      </c>
      <c r="L172" s="22"/>
      <c r="M172" s="22"/>
    </row>
    <row r="173" spans="2:13" ht="12.75">
      <c r="B173" s="21">
        <v>44995</v>
      </c>
      <c r="C173" s="16"/>
      <c r="D173" s="25" t="s">
        <v>271</v>
      </c>
      <c r="E173" s="22"/>
      <c r="F173" s="22"/>
      <c r="G173" s="25"/>
      <c r="H173" s="25"/>
      <c r="I173" s="92">
        <v>10939.39</v>
      </c>
      <c r="J173" s="26">
        <f>SUM($I$4:I173)</f>
        <v>26921045.800000008</v>
      </c>
      <c r="K173" s="44">
        <f t="shared" si="2"/>
        <v>1.4155380161601865E-4</v>
      </c>
      <c r="L173" s="22"/>
      <c r="M173" s="22"/>
    </row>
    <row r="174" spans="2:13" ht="12.75">
      <c r="B174" s="21">
        <v>44995</v>
      </c>
      <c r="C174" s="16"/>
      <c r="D174" s="25" t="s">
        <v>268</v>
      </c>
      <c r="E174" s="22"/>
      <c r="F174" s="22"/>
      <c r="G174" s="25"/>
      <c r="H174" s="25"/>
      <c r="I174" s="92">
        <v>25</v>
      </c>
      <c r="J174" s="26">
        <f>SUM($I$4:I174)</f>
        <v>26921070.800000008</v>
      </c>
      <c r="K174" s="44">
        <f t="shared" si="2"/>
        <v>3.2349564650318404E-7</v>
      </c>
      <c r="L174" s="22"/>
      <c r="M174" s="22"/>
    </row>
    <row r="175" spans="2:13" ht="12.75">
      <c r="B175" s="21">
        <v>44995</v>
      </c>
      <c r="C175" s="16"/>
      <c r="D175" s="25" t="s">
        <v>268</v>
      </c>
      <c r="E175" s="22"/>
      <c r="F175" s="22"/>
      <c r="G175" s="25"/>
      <c r="H175" s="25"/>
      <c r="I175" s="92">
        <v>1.87</v>
      </c>
      <c r="J175" s="26">
        <f>SUM($I$4:I175)</f>
        <v>26921072.670000009</v>
      </c>
      <c r="K175" s="44">
        <f t="shared" si="2"/>
        <v>2.4197474358438168E-8</v>
      </c>
      <c r="L175" s="22"/>
      <c r="M175" s="22"/>
    </row>
    <row r="176" spans="2:13" ht="12.75">
      <c r="B176" s="21">
        <v>44995</v>
      </c>
      <c r="C176" s="16"/>
      <c r="D176" s="25" t="s">
        <v>271</v>
      </c>
      <c r="E176" s="22"/>
      <c r="F176" s="22"/>
      <c r="G176" s="25"/>
      <c r="H176" s="25"/>
      <c r="I176" s="92">
        <v>48379.199999999997</v>
      </c>
      <c r="J176" s="26">
        <f>SUM($I$4:I176)</f>
        <v>26969451.870000008</v>
      </c>
      <c r="K176" s="44">
        <f t="shared" si="2"/>
        <v>6.2601842325227361E-4</v>
      </c>
      <c r="L176" s="22"/>
      <c r="M176" s="22"/>
    </row>
    <row r="177" spans="2:13" ht="12.75">
      <c r="B177" s="21">
        <v>44995</v>
      </c>
      <c r="C177" s="16"/>
      <c r="D177" s="25" t="s">
        <v>268</v>
      </c>
      <c r="E177" s="22"/>
      <c r="F177" s="22"/>
      <c r="G177" s="25"/>
      <c r="H177" s="25"/>
      <c r="I177" s="92">
        <v>25</v>
      </c>
      <c r="J177" s="26">
        <f>SUM($I$4:I177)</f>
        <v>26969476.870000008</v>
      </c>
      <c r="K177" s="44">
        <f t="shared" si="2"/>
        <v>3.2349564650318404E-7</v>
      </c>
      <c r="L177" s="22"/>
      <c r="M177" s="22"/>
    </row>
    <row r="178" spans="2:13" ht="12.75">
      <c r="B178" s="21">
        <v>44995</v>
      </c>
      <c r="C178" s="16"/>
      <c r="D178" s="25" t="s">
        <v>268</v>
      </c>
      <c r="E178" s="22"/>
      <c r="F178" s="22"/>
      <c r="G178" s="25"/>
      <c r="H178" s="25"/>
      <c r="I178" s="92">
        <v>1.87</v>
      </c>
      <c r="J178" s="26">
        <f>SUM($I$4:I178)</f>
        <v>26969478.74000001</v>
      </c>
      <c r="K178" s="44">
        <f t="shared" si="2"/>
        <v>2.4197474358438168E-8</v>
      </c>
      <c r="L178" s="22"/>
      <c r="M178" s="22"/>
    </row>
    <row r="179" spans="2:13" ht="12.75">
      <c r="B179" s="21">
        <v>44995</v>
      </c>
      <c r="C179" s="16"/>
      <c r="D179" s="25" t="s">
        <v>286</v>
      </c>
      <c r="E179" s="22"/>
      <c r="F179" s="22"/>
      <c r="G179" s="25"/>
      <c r="H179" s="25"/>
      <c r="I179" s="92">
        <v>5911.25</v>
      </c>
      <c r="J179" s="26">
        <f>SUM($I$4:I179)</f>
        <v>26975389.99000001</v>
      </c>
      <c r="K179" s="44">
        <f t="shared" si="2"/>
        <v>7.6490545615677863E-5</v>
      </c>
      <c r="L179" s="22"/>
      <c r="M179" s="22"/>
    </row>
    <row r="180" spans="2:13" ht="12.75">
      <c r="B180" s="21">
        <v>44995</v>
      </c>
      <c r="C180" s="16"/>
      <c r="D180" s="25" t="s">
        <v>268</v>
      </c>
      <c r="E180" s="22"/>
      <c r="F180" s="22"/>
      <c r="G180" s="25"/>
      <c r="H180" s="25"/>
      <c r="I180" s="92">
        <v>100</v>
      </c>
      <c r="J180" s="26">
        <f>SUM($I$4:I180)</f>
        <v>26975489.99000001</v>
      </c>
      <c r="K180" s="44">
        <f t="shared" si="2"/>
        <v>1.2939825860127362E-6</v>
      </c>
      <c r="L180" s="22"/>
      <c r="M180" s="22"/>
    </row>
    <row r="181" spans="2:13" ht="12.75">
      <c r="B181" s="21">
        <v>44995</v>
      </c>
      <c r="C181" s="16"/>
      <c r="D181" s="25" t="s">
        <v>282</v>
      </c>
      <c r="E181" s="22"/>
      <c r="F181" s="22"/>
      <c r="G181" s="25"/>
      <c r="H181" s="25"/>
      <c r="I181" s="92">
        <v>1070405.01</v>
      </c>
      <c r="J181" s="26">
        <f>SUM($I$4:I181)</f>
        <v>28045895.000000011</v>
      </c>
      <c r="K181" s="44">
        <f t="shared" si="2"/>
        <v>1.3850854429207887E-2</v>
      </c>
      <c r="L181" s="22"/>
      <c r="M181" s="22"/>
    </row>
    <row r="182" spans="2:13" ht="12.75">
      <c r="B182" s="21">
        <v>44995</v>
      </c>
      <c r="C182" s="16"/>
      <c r="D182" s="25" t="s">
        <v>268</v>
      </c>
      <c r="E182" s="22"/>
      <c r="F182" s="22"/>
      <c r="G182" s="25"/>
      <c r="H182" s="25"/>
      <c r="I182" s="92">
        <v>50</v>
      </c>
      <c r="J182" s="26">
        <f>SUM($I$4:I182)</f>
        <v>28045945.000000011</v>
      </c>
      <c r="K182" s="44">
        <f t="shared" si="2"/>
        <v>6.4699129300636808E-7</v>
      </c>
      <c r="L182" s="22"/>
      <c r="M182" s="22"/>
    </row>
    <row r="183" spans="2:13" ht="12.75">
      <c r="B183" s="21">
        <v>44995</v>
      </c>
      <c r="C183" s="16"/>
      <c r="D183" s="25" t="s">
        <v>268</v>
      </c>
      <c r="E183" s="22"/>
      <c r="F183" s="22"/>
      <c r="G183" s="25"/>
      <c r="H183" s="25"/>
      <c r="I183" s="92">
        <v>3.75</v>
      </c>
      <c r="J183" s="26">
        <f>SUM($I$4:I183)</f>
        <v>28045948.750000011</v>
      </c>
      <c r="K183" s="44">
        <f t="shared" si="2"/>
        <v>4.8524346975477608E-8</v>
      </c>
      <c r="L183" s="22"/>
      <c r="M183" s="22"/>
    </row>
    <row r="184" spans="2:13" ht="12.75">
      <c r="B184" s="21">
        <v>44995</v>
      </c>
      <c r="C184" s="16"/>
      <c r="D184" s="25" t="s">
        <v>277</v>
      </c>
      <c r="E184" s="22"/>
      <c r="F184" s="22"/>
      <c r="G184" s="25"/>
      <c r="H184" s="25"/>
      <c r="I184" s="92">
        <v>91923.68</v>
      </c>
      <c r="J184" s="26">
        <f>SUM($I$4:I184)</f>
        <v>28137872.430000011</v>
      </c>
      <c r="K184" s="44">
        <f t="shared" si="2"/>
        <v>1.1894764116220722E-3</v>
      </c>
      <c r="L184" s="22"/>
      <c r="M184" s="22"/>
    </row>
    <row r="185" spans="2:13" ht="12.75">
      <c r="B185" s="21">
        <v>44995</v>
      </c>
      <c r="C185" s="16"/>
      <c r="D185" s="25" t="s">
        <v>268</v>
      </c>
      <c r="E185" s="22"/>
      <c r="F185" s="22"/>
      <c r="G185" s="25"/>
      <c r="H185" s="25"/>
      <c r="I185" s="92">
        <v>100</v>
      </c>
      <c r="J185" s="26">
        <f>SUM($I$4:I185)</f>
        <v>28137972.430000011</v>
      </c>
      <c r="K185" s="44">
        <f t="shared" si="2"/>
        <v>1.2939825860127362E-6</v>
      </c>
      <c r="L185" s="22"/>
      <c r="M185" s="22"/>
    </row>
    <row r="186" spans="2:13" ht="12.75">
      <c r="B186" s="21">
        <v>44995</v>
      </c>
      <c r="C186" s="16"/>
      <c r="D186" s="25" t="s">
        <v>276</v>
      </c>
      <c r="E186" s="22"/>
      <c r="F186" s="22"/>
      <c r="G186" s="25"/>
      <c r="H186" s="25"/>
      <c r="I186" s="92">
        <v>50000</v>
      </c>
      <c r="J186" s="26">
        <f>SUM($I$4:I186)</f>
        <v>28187972.430000011</v>
      </c>
      <c r="K186" s="44">
        <f t="shared" si="2"/>
        <v>6.4699129300636806E-4</v>
      </c>
      <c r="L186" s="22"/>
      <c r="M186" s="22"/>
    </row>
    <row r="187" spans="2:13" ht="12.75">
      <c r="B187" s="21">
        <v>44995</v>
      </c>
      <c r="C187" s="16"/>
      <c r="D187" s="25" t="s">
        <v>268</v>
      </c>
      <c r="E187" s="22"/>
      <c r="F187" s="22"/>
      <c r="G187" s="25"/>
      <c r="H187" s="25"/>
      <c r="I187" s="92">
        <v>50</v>
      </c>
      <c r="J187" s="26">
        <f>SUM($I$4:I187)</f>
        <v>28188022.430000011</v>
      </c>
      <c r="K187" s="44">
        <f t="shared" si="2"/>
        <v>6.4699129300636808E-7</v>
      </c>
      <c r="L187" s="22"/>
      <c r="M187" s="22"/>
    </row>
    <row r="188" spans="2:13" ht="12.75">
      <c r="B188" s="21">
        <v>44995</v>
      </c>
      <c r="C188" s="16"/>
      <c r="D188" s="25" t="s">
        <v>276</v>
      </c>
      <c r="E188" s="22"/>
      <c r="F188" s="22"/>
      <c r="G188" s="25"/>
      <c r="H188" s="25"/>
      <c r="I188" s="92">
        <v>50000</v>
      </c>
      <c r="J188" s="26">
        <f>SUM($I$4:I188)</f>
        <v>28238022.430000011</v>
      </c>
      <c r="K188" s="44">
        <f t="shared" si="2"/>
        <v>6.4699129300636806E-4</v>
      </c>
      <c r="L188" s="22"/>
      <c r="M188" s="22"/>
    </row>
    <row r="189" spans="2:13" ht="12.75">
      <c r="B189" s="21">
        <v>44995</v>
      </c>
      <c r="C189" s="16"/>
      <c r="D189" s="25" t="s">
        <v>268</v>
      </c>
      <c r="E189" s="22"/>
      <c r="F189" s="22"/>
      <c r="G189" s="25"/>
      <c r="H189" s="25"/>
      <c r="I189" s="92">
        <v>50</v>
      </c>
      <c r="J189" s="26">
        <f>SUM($I$4:I189)</f>
        <v>28238072.430000011</v>
      </c>
      <c r="K189" s="44">
        <f t="shared" si="2"/>
        <v>6.4699129300636808E-7</v>
      </c>
      <c r="L189" s="22"/>
      <c r="M189" s="22"/>
    </row>
    <row r="190" spans="2:13" ht="12.75">
      <c r="B190" s="21">
        <v>44995</v>
      </c>
      <c r="C190" s="16"/>
      <c r="D190" s="25" t="s">
        <v>276</v>
      </c>
      <c r="E190" s="22"/>
      <c r="F190" s="22"/>
      <c r="G190" s="25"/>
      <c r="H190" s="25"/>
      <c r="I190" s="92">
        <v>1200000</v>
      </c>
      <c r="J190" s="26">
        <f>SUM($I$4:I190)</f>
        <v>29438072.430000011</v>
      </c>
      <c r="K190" s="44">
        <f t="shared" si="2"/>
        <v>1.5527791032152833E-2</v>
      </c>
      <c r="L190" s="22"/>
      <c r="M190" s="22"/>
    </row>
    <row r="191" spans="2:13" ht="12.75">
      <c r="B191" s="21">
        <v>44995</v>
      </c>
      <c r="C191" s="16"/>
      <c r="D191" s="25" t="s">
        <v>268</v>
      </c>
      <c r="E191" s="22"/>
      <c r="F191" s="22"/>
      <c r="G191" s="25"/>
      <c r="H191" s="25"/>
      <c r="I191" s="92">
        <v>50</v>
      </c>
      <c r="J191" s="26">
        <f>SUM($I$4:I191)</f>
        <v>29438122.430000011</v>
      </c>
      <c r="K191" s="44">
        <f t="shared" si="2"/>
        <v>6.4699129300636808E-7</v>
      </c>
      <c r="L191" s="22"/>
      <c r="M191" s="22"/>
    </row>
    <row r="192" spans="2:13" ht="12.75">
      <c r="B192" s="21">
        <v>45000</v>
      </c>
      <c r="C192" s="16"/>
      <c r="D192" s="25" t="s">
        <v>268</v>
      </c>
      <c r="E192" s="22"/>
      <c r="F192" s="22"/>
      <c r="G192" s="25"/>
      <c r="H192" s="25"/>
      <c r="I192" s="92">
        <v>50</v>
      </c>
      <c r="J192" s="26">
        <f>SUM($I$4:I192)</f>
        <v>29438172.430000011</v>
      </c>
      <c r="K192" s="44">
        <f t="shared" si="2"/>
        <v>6.4699129300636808E-7</v>
      </c>
      <c r="L192" s="22"/>
      <c r="M192" s="22"/>
    </row>
    <row r="193" spans="2:13" ht="12.75">
      <c r="B193" s="21">
        <v>45001</v>
      </c>
      <c r="C193" s="16"/>
      <c r="D193" s="25" t="s">
        <v>265</v>
      </c>
      <c r="E193" s="22"/>
      <c r="F193" s="22"/>
      <c r="G193" s="25"/>
      <c r="H193" s="25"/>
      <c r="I193" s="92">
        <v>22000</v>
      </c>
      <c r="J193" s="26">
        <f>SUM($I$4:I193)</f>
        <v>29460172.430000011</v>
      </c>
      <c r="K193" s="44">
        <f t="shared" si="2"/>
        <v>2.8467616892280194E-4</v>
      </c>
      <c r="L193" s="22"/>
      <c r="M193" s="22"/>
    </row>
    <row r="194" spans="2:13" ht="12.75">
      <c r="B194" s="21">
        <v>45001</v>
      </c>
      <c r="C194" s="16"/>
      <c r="D194" s="25" t="s">
        <v>268</v>
      </c>
      <c r="E194" s="22"/>
      <c r="F194" s="22"/>
      <c r="G194" s="25"/>
      <c r="H194" s="25"/>
      <c r="I194" s="92">
        <v>25</v>
      </c>
      <c r="J194" s="26">
        <f>SUM($I$4:I194)</f>
        <v>29460197.430000011</v>
      </c>
      <c r="K194" s="44">
        <f t="shared" si="2"/>
        <v>3.2349564650318404E-7</v>
      </c>
      <c r="L194" s="22"/>
      <c r="M194" s="22"/>
    </row>
    <row r="195" spans="2:13" ht="12.75">
      <c r="B195" s="21">
        <v>45001</v>
      </c>
      <c r="C195" s="16"/>
      <c r="D195" s="25" t="s">
        <v>268</v>
      </c>
      <c r="E195" s="22"/>
      <c r="F195" s="22"/>
      <c r="G195" s="25"/>
      <c r="H195" s="25"/>
      <c r="I195" s="92">
        <v>1.87</v>
      </c>
      <c r="J195" s="26">
        <f>SUM($I$4:I195)</f>
        <v>29460199.300000012</v>
      </c>
      <c r="K195" s="44">
        <f t="shared" si="2"/>
        <v>2.4197474358438168E-8</v>
      </c>
      <c r="L195" s="22"/>
      <c r="M195" s="22"/>
    </row>
    <row r="196" spans="2:13" ht="12.75">
      <c r="B196" s="21">
        <v>45001</v>
      </c>
      <c r="C196" s="16"/>
      <c r="D196" s="25" t="s">
        <v>280</v>
      </c>
      <c r="E196" s="22"/>
      <c r="F196" s="22"/>
      <c r="G196" s="25"/>
      <c r="H196" s="25"/>
      <c r="I196" s="92">
        <v>150000</v>
      </c>
      <c r="J196" s="26">
        <f>SUM($I$4:I196)</f>
        <v>29610199.300000012</v>
      </c>
      <c r="K196" s="44">
        <f t="shared" si="2"/>
        <v>1.9409738790191042E-3</v>
      </c>
      <c r="L196" s="22"/>
      <c r="M196" s="22"/>
    </row>
    <row r="197" spans="2:13" ht="12.75">
      <c r="B197" s="21">
        <v>45001</v>
      </c>
      <c r="C197" s="16"/>
      <c r="D197" s="25" t="s">
        <v>271</v>
      </c>
      <c r="E197" s="22"/>
      <c r="F197" s="22"/>
      <c r="G197" s="25"/>
      <c r="H197" s="25"/>
      <c r="I197" s="92">
        <v>372439.84</v>
      </c>
      <c r="J197" s="26">
        <f>SUM($I$4:I197)</f>
        <v>29982639.140000012</v>
      </c>
      <c r="K197" s="44">
        <f t="shared" ref="K197:K260" si="3">IF(SUM($I$4:$I$830)=0,"",I197/SUM($I$4:$I$830))</f>
        <v>4.8193066729736974E-3</v>
      </c>
      <c r="L197" s="22"/>
      <c r="M197" s="22"/>
    </row>
    <row r="198" spans="2:13" ht="12.75">
      <c r="B198" s="21">
        <v>45001</v>
      </c>
      <c r="C198" s="16"/>
      <c r="D198" s="25" t="s">
        <v>268</v>
      </c>
      <c r="E198" s="22"/>
      <c r="F198" s="22"/>
      <c r="G198" s="25"/>
      <c r="H198" s="25"/>
      <c r="I198" s="92">
        <v>150</v>
      </c>
      <c r="J198" s="26">
        <f>SUM($I$4:I198)</f>
        <v>29982789.140000012</v>
      </c>
      <c r="K198" s="44">
        <f t="shared" si="3"/>
        <v>1.9409738790191043E-6</v>
      </c>
      <c r="L198" s="22"/>
      <c r="M198" s="22"/>
    </row>
    <row r="199" spans="2:13" ht="12.75">
      <c r="B199" s="21">
        <v>45001</v>
      </c>
      <c r="C199" s="16"/>
      <c r="D199" s="25" t="s">
        <v>268</v>
      </c>
      <c r="E199" s="22"/>
      <c r="F199" s="22"/>
      <c r="G199" s="25"/>
      <c r="H199" s="25"/>
      <c r="I199" s="92">
        <v>11.25</v>
      </c>
      <c r="J199" s="26">
        <f>SUM($I$4:I199)</f>
        <v>29982800.390000012</v>
      </c>
      <c r="K199" s="44">
        <f t="shared" si="3"/>
        <v>1.4557304092643283E-7</v>
      </c>
      <c r="L199" s="22"/>
      <c r="M199" s="22"/>
    </row>
    <row r="200" spans="2:13" ht="12.75">
      <c r="B200" s="21">
        <v>45001</v>
      </c>
      <c r="C200" s="16"/>
      <c r="D200" s="25" t="s">
        <v>268</v>
      </c>
      <c r="E200" s="22"/>
      <c r="F200" s="22"/>
      <c r="G200" s="25"/>
      <c r="H200" s="25"/>
      <c r="I200" s="92">
        <v>60</v>
      </c>
      <c r="J200" s="26">
        <f>SUM($I$4:I200)</f>
        <v>29982860.390000012</v>
      </c>
      <c r="K200" s="44">
        <f t="shared" si="3"/>
        <v>7.7638955160764173E-7</v>
      </c>
      <c r="L200" s="22"/>
      <c r="M200" s="22"/>
    </row>
    <row r="201" spans="2:13" ht="12.75">
      <c r="B201" s="21">
        <v>45001</v>
      </c>
      <c r="C201" s="16"/>
      <c r="D201" s="25" t="s">
        <v>268</v>
      </c>
      <c r="E201" s="22"/>
      <c r="F201" s="22"/>
      <c r="G201" s="25"/>
      <c r="H201" s="25"/>
      <c r="I201" s="92">
        <v>4.5</v>
      </c>
      <c r="J201" s="26">
        <f>SUM($I$4:I201)</f>
        <v>29982864.890000012</v>
      </c>
      <c r="K201" s="44">
        <f t="shared" si="3"/>
        <v>5.822921637057313E-8</v>
      </c>
      <c r="L201" s="22"/>
      <c r="M201" s="22"/>
    </row>
    <row r="202" spans="2:13" ht="12.75">
      <c r="B202" s="21">
        <v>45003</v>
      </c>
      <c r="C202" s="16"/>
      <c r="D202" s="25" t="s">
        <v>284</v>
      </c>
      <c r="E202" s="22"/>
      <c r="F202" s="22"/>
      <c r="G202" s="25"/>
      <c r="H202" s="25"/>
      <c r="I202" s="92">
        <v>7850</v>
      </c>
      <c r="J202" s="26">
        <f>SUM($I$4:I202)</f>
        <v>29990714.890000012</v>
      </c>
      <c r="K202" s="44">
        <f t="shared" si="3"/>
        <v>1.0157763300199978E-4</v>
      </c>
      <c r="L202" s="22"/>
      <c r="M202" s="22"/>
    </row>
    <row r="203" spans="2:13" ht="12.75">
      <c r="B203" s="21">
        <v>45003</v>
      </c>
      <c r="C203" s="16"/>
      <c r="D203" s="25" t="s">
        <v>268</v>
      </c>
      <c r="E203" s="22"/>
      <c r="F203" s="22"/>
      <c r="G203" s="25"/>
      <c r="H203" s="25"/>
      <c r="I203" s="92">
        <v>25</v>
      </c>
      <c r="J203" s="26">
        <f>SUM($I$4:I203)</f>
        <v>29990739.890000012</v>
      </c>
      <c r="K203" s="44">
        <f t="shared" si="3"/>
        <v>3.2349564650318404E-7</v>
      </c>
      <c r="L203" s="22"/>
      <c r="M203" s="22"/>
    </row>
    <row r="204" spans="2:13" ht="12.75">
      <c r="B204" s="21">
        <v>45003</v>
      </c>
      <c r="C204" s="16"/>
      <c r="D204" s="25" t="s">
        <v>268</v>
      </c>
      <c r="E204" s="22"/>
      <c r="F204" s="22"/>
      <c r="G204" s="25"/>
      <c r="H204" s="25"/>
      <c r="I204" s="92">
        <v>1.87</v>
      </c>
      <c r="J204" s="26">
        <f>SUM($I$4:I204)</f>
        <v>29990741.760000013</v>
      </c>
      <c r="K204" s="44">
        <f t="shared" si="3"/>
        <v>2.4197474358438168E-8</v>
      </c>
      <c r="L204" s="22"/>
      <c r="M204" s="22"/>
    </row>
    <row r="205" spans="2:13" ht="12.75">
      <c r="B205" s="21">
        <v>45003</v>
      </c>
      <c r="C205" s="16"/>
      <c r="D205" s="25" t="s">
        <v>268</v>
      </c>
      <c r="E205" s="22"/>
      <c r="F205" s="22"/>
      <c r="G205" s="25"/>
      <c r="H205" s="25"/>
      <c r="I205" s="92">
        <v>30000</v>
      </c>
      <c r="J205" s="26">
        <f>SUM($I$4:I205)</f>
        <v>30020741.760000013</v>
      </c>
      <c r="K205" s="44">
        <f t="shared" si="3"/>
        <v>3.8819477580382083E-4</v>
      </c>
      <c r="L205" s="22"/>
      <c r="M205" s="22"/>
    </row>
    <row r="206" spans="2:13" ht="12.75">
      <c r="B206" s="21">
        <v>45003</v>
      </c>
      <c r="C206" s="16"/>
      <c r="D206" s="25" t="s">
        <v>268</v>
      </c>
      <c r="E206" s="22"/>
      <c r="F206" s="22"/>
      <c r="G206" s="25"/>
      <c r="H206" s="25"/>
      <c r="I206" s="92">
        <v>25</v>
      </c>
      <c r="J206" s="26">
        <f>SUM($I$4:I206)</f>
        <v>30020766.760000013</v>
      </c>
      <c r="K206" s="44">
        <f t="shared" si="3"/>
        <v>3.2349564650318404E-7</v>
      </c>
      <c r="L206" s="22"/>
      <c r="M206" s="22"/>
    </row>
    <row r="207" spans="2:13" ht="12.75">
      <c r="B207" s="21">
        <v>45003</v>
      </c>
      <c r="C207" s="16"/>
      <c r="D207" s="25" t="s">
        <v>268</v>
      </c>
      <c r="E207" s="22"/>
      <c r="F207" s="22"/>
      <c r="G207" s="25"/>
      <c r="H207" s="25"/>
      <c r="I207" s="92">
        <v>1.87</v>
      </c>
      <c r="J207" s="26">
        <f>SUM($I$4:I207)</f>
        <v>30020768.630000014</v>
      </c>
      <c r="K207" s="44">
        <f t="shared" si="3"/>
        <v>2.4197474358438168E-8</v>
      </c>
      <c r="L207" s="22"/>
      <c r="M207" s="22"/>
    </row>
    <row r="208" spans="2:13" ht="12.75">
      <c r="B208" s="21">
        <v>45007</v>
      </c>
      <c r="C208" s="16"/>
      <c r="D208" s="25" t="s">
        <v>271</v>
      </c>
      <c r="E208" s="22"/>
      <c r="F208" s="22"/>
      <c r="G208" s="25"/>
      <c r="H208" s="25"/>
      <c r="I208" s="92">
        <v>128553.33</v>
      </c>
      <c r="J208" s="26">
        <f>SUM($I$4:I208)</f>
        <v>30149321.960000012</v>
      </c>
      <c r="K208" s="44">
        <f t="shared" si="3"/>
        <v>1.6634577039394865E-3</v>
      </c>
      <c r="L208" s="22"/>
      <c r="M208" s="22"/>
    </row>
    <row r="209" spans="2:13" ht="12.75">
      <c r="B209" s="21">
        <v>45015</v>
      </c>
      <c r="C209" s="16"/>
      <c r="D209" s="25" t="s">
        <v>276</v>
      </c>
      <c r="E209" s="22"/>
      <c r="F209" s="22"/>
      <c r="G209" s="25"/>
      <c r="H209" s="25"/>
      <c r="I209" s="92">
        <v>50000</v>
      </c>
      <c r="J209" s="26">
        <f>SUM($I$4:I209)</f>
        <v>30199321.960000012</v>
      </c>
      <c r="K209" s="44">
        <f t="shared" si="3"/>
        <v>6.4699129300636806E-4</v>
      </c>
      <c r="L209" s="22"/>
      <c r="M209" s="22"/>
    </row>
    <row r="210" spans="2:13" ht="12.75">
      <c r="B210" s="21">
        <v>45015</v>
      </c>
      <c r="C210" s="16"/>
      <c r="D210" s="25" t="s">
        <v>268</v>
      </c>
      <c r="E210" s="22"/>
      <c r="F210" s="22"/>
      <c r="G210" s="25"/>
      <c r="H210" s="25"/>
      <c r="I210" s="92">
        <v>50</v>
      </c>
      <c r="J210" s="26">
        <f>SUM($I$4:I210)</f>
        <v>30199371.960000012</v>
      </c>
      <c r="K210" s="44">
        <f t="shared" si="3"/>
        <v>6.4699129300636808E-7</v>
      </c>
      <c r="L210" s="22"/>
      <c r="M210" s="22"/>
    </row>
    <row r="211" spans="2:13" ht="12.75">
      <c r="B211" s="21">
        <v>45015</v>
      </c>
      <c r="C211" s="16"/>
      <c r="D211" s="25" t="s">
        <v>276</v>
      </c>
      <c r="E211" s="22"/>
      <c r="F211" s="22"/>
      <c r="G211" s="25"/>
      <c r="H211" s="25"/>
      <c r="I211" s="92">
        <v>50000</v>
      </c>
      <c r="J211" s="26">
        <f>SUM($I$4:I211)</f>
        <v>30249371.960000012</v>
      </c>
      <c r="K211" s="44">
        <f t="shared" si="3"/>
        <v>6.4699129300636806E-4</v>
      </c>
      <c r="L211" s="22"/>
      <c r="M211" s="22"/>
    </row>
    <row r="212" spans="2:13" ht="12.75">
      <c r="B212" s="21">
        <v>45015</v>
      </c>
      <c r="C212" s="16"/>
      <c r="D212" s="25" t="s">
        <v>268</v>
      </c>
      <c r="E212" s="22"/>
      <c r="F212" s="22"/>
      <c r="G212" s="25"/>
      <c r="H212" s="25"/>
      <c r="I212" s="92">
        <v>50</v>
      </c>
      <c r="J212" s="26">
        <f>SUM($I$4:I212)</f>
        <v>30249421.960000012</v>
      </c>
      <c r="K212" s="44">
        <f t="shared" si="3"/>
        <v>6.4699129300636808E-7</v>
      </c>
      <c r="L212" s="22"/>
      <c r="M212" s="22"/>
    </row>
    <row r="213" spans="2:13" ht="12.75">
      <c r="B213" s="21">
        <v>45015</v>
      </c>
      <c r="C213" s="16"/>
      <c r="D213" s="25" t="s">
        <v>276</v>
      </c>
      <c r="E213" s="22"/>
      <c r="F213" s="22"/>
      <c r="G213" s="25"/>
      <c r="H213" s="25"/>
      <c r="I213" s="92">
        <v>1200000</v>
      </c>
      <c r="J213" s="26">
        <f>SUM($I$4:I213)</f>
        <v>31449421.960000012</v>
      </c>
      <c r="K213" s="44">
        <f t="shared" si="3"/>
        <v>1.5527791032152833E-2</v>
      </c>
      <c r="L213" s="22"/>
      <c r="M213" s="22"/>
    </row>
    <row r="214" spans="2:13" ht="12.75">
      <c r="B214" s="21">
        <v>45015</v>
      </c>
      <c r="C214" s="16"/>
      <c r="D214" s="25" t="s">
        <v>268</v>
      </c>
      <c r="E214" s="22"/>
      <c r="F214" s="22"/>
      <c r="G214" s="25"/>
      <c r="H214" s="25"/>
      <c r="I214" s="92">
        <v>50</v>
      </c>
      <c r="J214" s="26">
        <f>SUM($I$4:I214)</f>
        <v>31449471.960000012</v>
      </c>
      <c r="K214" s="44">
        <f t="shared" si="3"/>
        <v>6.4699129300636808E-7</v>
      </c>
      <c r="L214" s="22"/>
      <c r="M214" s="22"/>
    </row>
    <row r="215" spans="2:13" ht="12.75">
      <c r="B215" s="21">
        <v>45015</v>
      </c>
      <c r="C215" s="16"/>
      <c r="D215" s="25" t="s">
        <v>281</v>
      </c>
      <c r="E215" s="22"/>
      <c r="F215" s="22"/>
      <c r="G215" s="25"/>
      <c r="H215" s="25"/>
      <c r="I215" s="92">
        <v>8000</v>
      </c>
      <c r="J215" s="26">
        <f>SUM($I$4:I215)</f>
        <v>31457471.960000012</v>
      </c>
      <c r="K215" s="44">
        <f t="shared" si="3"/>
        <v>1.0351860688101889E-4</v>
      </c>
      <c r="L215" s="22"/>
      <c r="M215" s="22"/>
    </row>
    <row r="216" spans="2:13" ht="12.75">
      <c r="B216" s="21">
        <v>45015</v>
      </c>
      <c r="C216" s="16"/>
      <c r="D216" s="25" t="s">
        <v>268</v>
      </c>
      <c r="E216" s="22"/>
      <c r="F216" s="22"/>
      <c r="G216" s="25"/>
      <c r="H216" s="25"/>
      <c r="I216" s="92">
        <v>25</v>
      </c>
      <c r="J216" s="26">
        <f>SUM($I$4:I216)</f>
        <v>31457496.960000012</v>
      </c>
      <c r="K216" s="44">
        <f t="shared" si="3"/>
        <v>3.2349564650318404E-7</v>
      </c>
      <c r="L216" s="22"/>
      <c r="M216" s="22"/>
    </row>
    <row r="217" spans="2:13" ht="12.75">
      <c r="B217" s="21">
        <v>45015</v>
      </c>
      <c r="C217" s="16"/>
      <c r="D217" s="25" t="s">
        <v>268</v>
      </c>
      <c r="E217" s="22"/>
      <c r="F217" s="22"/>
      <c r="G217" s="25"/>
      <c r="H217" s="25"/>
      <c r="I217" s="92">
        <v>1.87</v>
      </c>
      <c r="J217" s="26">
        <f>SUM($I$4:I217)</f>
        <v>31457498.830000013</v>
      </c>
      <c r="K217" s="44">
        <f t="shared" si="3"/>
        <v>2.4197474358438168E-8</v>
      </c>
      <c r="L217" s="22"/>
      <c r="M217" s="22"/>
    </row>
    <row r="218" spans="2:13" ht="12.75">
      <c r="B218" s="21">
        <v>45015</v>
      </c>
      <c r="C218" s="16"/>
      <c r="D218" s="25" t="s">
        <v>283</v>
      </c>
      <c r="E218" s="22"/>
      <c r="F218" s="22"/>
      <c r="G218" s="25"/>
      <c r="H218" s="25"/>
      <c r="I218" s="92">
        <v>8000</v>
      </c>
      <c r="J218" s="26">
        <f>SUM($I$4:I218)</f>
        <v>31465498.830000013</v>
      </c>
      <c r="K218" s="44">
        <f t="shared" si="3"/>
        <v>1.0351860688101889E-4</v>
      </c>
      <c r="L218" s="22"/>
      <c r="M218" s="22"/>
    </row>
    <row r="219" spans="2:13" ht="12.75">
      <c r="B219" s="21">
        <v>45015</v>
      </c>
      <c r="C219" s="16"/>
      <c r="D219" s="25" t="s">
        <v>268</v>
      </c>
      <c r="E219" s="22"/>
      <c r="F219" s="22"/>
      <c r="G219" s="25"/>
      <c r="H219" s="25"/>
      <c r="I219" s="92">
        <v>100</v>
      </c>
      <c r="J219" s="26">
        <f>SUM($I$4:I219)</f>
        <v>31465598.830000013</v>
      </c>
      <c r="K219" s="44">
        <f t="shared" si="3"/>
        <v>1.2939825860127362E-6</v>
      </c>
      <c r="L219" s="22"/>
      <c r="M219" s="22"/>
    </row>
    <row r="220" spans="2:13" ht="12.75">
      <c r="B220" s="21">
        <v>45016</v>
      </c>
      <c r="C220" s="16"/>
      <c r="D220" s="25" t="s">
        <v>268</v>
      </c>
      <c r="E220" s="22"/>
      <c r="F220" s="22"/>
      <c r="G220" s="25"/>
      <c r="H220" s="25"/>
      <c r="I220" s="92">
        <v>348</v>
      </c>
      <c r="J220" s="26">
        <f>SUM($I$4:I220)</f>
        <v>31465946.830000013</v>
      </c>
      <c r="K220" s="44">
        <f t="shared" si="3"/>
        <v>4.5030593993243221E-6</v>
      </c>
      <c r="L220" s="22"/>
      <c r="M220" s="22"/>
    </row>
    <row r="221" spans="2:13" ht="12.75">
      <c r="B221" s="21">
        <v>45016</v>
      </c>
      <c r="C221" s="16"/>
      <c r="D221" s="25" t="s">
        <v>268</v>
      </c>
      <c r="E221" s="22"/>
      <c r="F221" s="22"/>
      <c r="G221" s="25"/>
      <c r="H221" s="25"/>
      <c r="I221" s="92">
        <v>26.1</v>
      </c>
      <c r="J221" s="26">
        <f>SUM($I$4:I221)</f>
        <v>31465972.930000015</v>
      </c>
      <c r="K221" s="44">
        <f t="shared" si="3"/>
        <v>3.3772945494932417E-7</v>
      </c>
      <c r="L221" s="22"/>
      <c r="M221" s="22"/>
    </row>
    <row r="222" spans="2:13" ht="12.75">
      <c r="B222" s="21">
        <v>45017</v>
      </c>
      <c r="C222" s="16"/>
      <c r="D222" s="25" t="s">
        <v>264</v>
      </c>
      <c r="E222" s="22"/>
      <c r="F222" s="22"/>
      <c r="G222" s="25"/>
      <c r="H222" s="25"/>
      <c r="I222" s="92">
        <v>6690.88</v>
      </c>
      <c r="J222" s="26">
        <f>SUM($I$4:I222)</f>
        <v>31472663.810000014</v>
      </c>
      <c r="K222" s="44">
        <f t="shared" si="3"/>
        <v>8.6578822051008967E-5</v>
      </c>
      <c r="L222" s="22"/>
      <c r="M222" s="22"/>
    </row>
    <row r="223" spans="2:13" ht="12.75">
      <c r="B223" s="21">
        <v>45017</v>
      </c>
      <c r="C223" s="16"/>
      <c r="D223" s="25" t="s">
        <v>264</v>
      </c>
      <c r="E223" s="22"/>
      <c r="F223" s="22"/>
      <c r="G223" s="25"/>
      <c r="H223" s="25"/>
      <c r="I223" s="92">
        <v>501.82</v>
      </c>
      <c r="J223" s="26">
        <f>SUM($I$4:I223)</f>
        <v>31473165.630000014</v>
      </c>
      <c r="K223" s="44">
        <f t="shared" si="3"/>
        <v>6.4934634131291123E-6</v>
      </c>
      <c r="L223" s="22"/>
      <c r="M223" s="22"/>
    </row>
    <row r="224" spans="2:13" ht="12.75">
      <c r="B224" s="21">
        <v>45017</v>
      </c>
      <c r="C224" s="16"/>
      <c r="D224" s="25" t="s">
        <v>294</v>
      </c>
      <c r="E224" s="22"/>
      <c r="F224" s="22"/>
      <c r="G224" s="25"/>
      <c r="H224" s="25"/>
      <c r="I224" s="92">
        <v>5000</v>
      </c>
      <c r="J224" s="26">
        <f>SUM($I$4:I224)</f>
        <v>31478165.630000014</v>
      </c>
      <c r="K224" s="44">
        <f t="shared" si="3"/>
        <v>6.4699129300636806E-5</v>
      </c>
      <c r="L224" s="22"/>
      <c r="M224" s="22"/>
    </row>
    <row r="225" spans="2:13" ht="12.75">
      <c r="B225" s="21">
        <v>45017</v>
      </c>
      <c r="C225" s="16"/>
      <c r="D225" s="25" t="s">
        <v>271</v>
      </c>
      <c r="E225" s="22"/>
      <c r="F225" s="22"/>
      <c r="G225" s="25"/>
      <c r="H225" s="25"/>
      <c r="I225" s="92">
        <v>6296714.7400000002</v>
      </c>
      <c r="J225" s="26">
        <f>SUM($I$4:I225)</f>
        <v>37774880.370000012</v>
      </c>
      <c r="K225" s="44">
        <f t="shared" si="3"/>
        <v>8.1478392226497137E-2</v>
      </c>
      <c r="L225" s="22"/>
      <c r="M225" s="22"/>
    </row>
    <row r="226" spans="2:13" ht="12.75">
      <c r="B226" s="21">
        <v>45017</v>
      </c>
      <c r="C226" s="16"/>
      <c r="D226" s="25" t="s">
        <v>268</v>
      </c>
      <c r="E226" s="22"/>
      <c r="F226" s="22"/>
      <c r="G226" s="25"/>
      <c r="H226" s="25"/>
      <c r="I226" s="92">
        <v>403.13</v>
      </c>
      <c r="J226" s="26">
        <f>SUM($I$4:I226)</f>
        <v>37775283.500000015</v>
      </c>
      <c r="K226" s="44">
        <f t="shared" si="3"/>
        <v>5.2164319989931436E-6</v>
      </c>
      <c r="L226" s="22"/>
      <c r="M226" s="22"/>
    </row>
    <row r="227" spans="2:13" ht="12.75">
      <c r="B227" s="21">
        <v>45017</v>
      </c>
      <c r="C227" s="16"/>
      <c r="D227" s="25" t="s">
        <v>268</v>
      </c>
      <c r="E227" s="22"/>
      <c r="F227" s="22"/>
      <c r="G227" s="25"/>
      <c r="H227" s="25"/>
      <c r="I227" s="92">
        <v>540</v>
      </c>
      <c r="J227" s="26">
        <f>SUM($I$4:I227)</f>
        <v>37775823.500000015</v>
      </c>
      <c r="K227" s="44">
        <f t="shared" si="3"/>
        <v>6.9875059644687756E-6</v>
      </c>
      <c r="L227" s="22"/>
      <c r="M227" s="22"/>
    </row>
    <row r="228" spans="2:13" ht="12.75">
      <c r="B228" s="21">
        <v>45017</v>
      </c>
      <c r="C228" s="16"/>
      <c r="D228" s="25" t="s">
        <v>268</v>
      </c>
      <c r="E228" s="22"/>
      <c r="F228" s="22"/>
      <c r="G228" s="25"/>
      <c r="H228" s="25"/>
      <c r="I228" s="92">
        <v>40.5</v>
      </c>
      <c r="J228" s="26">
        <f>SUM($I$4:I228)</f>
        <v>37775864.000000015</v>
      </c>
      <c r="K228" s="44">
        <f t="shared" si="3"/>
        <v>5.2406294733515817E-7</v>
      </c>
      <c r="L228" s="22"/>
      <c r="M228" s="22"/>
    </row>
    <row r="229" spans="2:13" ht="12.75">
      <c r="B229" s="21">
        <v>45017</v>
      </c>
      <c r="C229" s="16"/>
      <c r="D229" s="25" t="s">
        <v>271</v>
      </c>
      <c r="E229" s="22"/>
      <c r="F229" s="22"/>
      <c r="G229" s="25"/>
      <c r="H229" s="25"/>
      <c r="I229" s="92">
        <v>119639.34</v>
      </c>
      <c r="J229" s="26">
        <f>SUM($I$4:I229)</f>
        <v>37895503.340000018</v>
      </c>
      <c r="K229" s="44">
        <f t="shared" si="3"/>
        <v>1.5481122256205699E-3</v>
      </c>
      <c r="L229" s="22"/>
      <c r="M229" s="22"/>
    </row>
    <row r="230" spans="2:13" ht="12.75">
      <c r="B230" s="21">
        <v>45017</v>
      </c>
      <c r="C230" s="16"/>
      <c r="D230" s="25" t="s">
        <v>268</v>
      </c>
      <c r="E230" s="22"/>
      <c r="F230" s="22"/>
      <c r="G230" s="25"/>
      <c r="H230" s="25"/>
      <c r="I230" s="92">
        <v>53.75</v>
      </c>
      <c r="J230" s="26">
        <f>SUM($I$4:I230)</f>
        <v>37895557.090000018</v>
      </c>
      <c r="K230" s="44">
        <f t="shared" si="3"/>
        <v>6.9551563998184569E-7</v>
      </c>
      <c r="L230" s="22"/>
      <c r="M230" s="22"/>
    </row>
    <row r="231" spans="2:13" ht="12.75">
      <c r="B231" s="21">
        <v>45019</v>
      </c>
      <c r="C231" s="16"/>
      <c r="D231" s="25" t="s">
        <v>286</v>
      </c>
      <c r="E231" s="22"/>
      <c r="F231" s="22"/>
      <c r="G231" s="25"/>
      <c r="H231" s="25"/>
      <c r="I231" s="92">
        <v>96850</v>
      </c>
      <c r="J231" s="26">
        <f>SUM($I$4:I231)</f>
        <v>37992407.090000018</v>
      </c>
      <c r="K231" s="44">
        <f t="shared" si="3"/>
        <v>1.2532221345533351E-3</v>
      </c>
      <c r="L231" s="22"/>
      <c r="M231" s="22"/>
    </row>
    <row r="232" spans="2:13" ht="12.75">
      <c r="B232" s="21">
        <v>45019</v>
      </c>
      <c r="C232" s="16"/>
      <c r="D232" s="25" t="s">
        <v>275</v>
      </c>
      <c r="E232" s="22"/>
      <c r="F232" s="22"/>
      <c r="G232" s="25"/>
      <c r="H232" s="25"/>
      <c r="I232" s="92">
        <v>23000</v>
      </c>
      <c r="J232" s="26">
        <f>SUM($I$4:I232)</f>
        <v>38015407.090000018</v>
      </c>
      <c r="K232" s="44">
        <f t="shared" si="3"/>
        <v>2.9761599478292931E-4</v>
      </c>
      <c r="L232" s="22"/>
      <c r="M232" s="22"/>
    </row>
    <row r="233" spans="2:13" ht="12.75">
      <c r="B233" s="21">
        <v>45019</v>
      </c>
      <c r="C233" s="16"/>
      <c r="D233" s="25" t="s">
        <v>287</v>
      </c>
      <c r="E233" s="22"/>
      <c r="F233" s="22"/>
      <c r="G233" s="25"/>
      <c r="H233" s="25"/>
      <c r="I233" s="92">
        <v>65980</v>
      </c>
      <c r="J233" s="26">
        <f>SUM($I$4:I233)</f>
        <v>38081387.090000018</v>
      </c>
      <c r="K233" s="44">
        <f t="shared" si="3"/>
        <v>8.5376971025120333E-4</v>
      </c>
      <c r="L233" s="22"/>
      <c r="M233" s="22"/>
    </row>
    <row r="234" spans="2:13" ht="12.75">
      <c r="B234" s="21">
        <v>45019</v>
      </c>
      <c r="C234" s="16"/>
      <c r="D234" s="25" t="s">
        <v>271</v>
      </c>
      <c r="E234" s="22"/>
      <c r="F234" s="22"/>
      <c r="G234" s="25"/>
      <c r="H234" s="25"/>
      <c r="I234" s="92">
        <v>30000</v>
      </c>
      <c r="J234" s="26">
        <f>SUM($I$4:I234)</f>
        <v>38111387.090000018</v>
      </c>
      <c r="K234" s="44">
        <f t="shared" si="3"/>
        <v>3.8819477580382083E-4</v>
      </c>
      <c r="L234" s="22"/>
      <c r="M234" s="22"/>
    </row>
    <row r="235" spans="2:13" ht="12.75">
      <c r="B235" s="21">
        <v>45019</v>
      </c>
      <c r="C235" s="16"/>
      <c r="D235" s="25" t="s">
        <v>268</v>
      </c>
      <c r="E235" s="22"/>
      <c r="F235" s="22"/>
      <c r="G235" s="25"/>
      <c r="H235" s="25"/>
      <c r="I235" s="92">
        <v>25</v>
      </c>
      <c r="J235" s="26">
        <f>SUM($I$4:I235)</f>
        <v>38111412.090000018</v>
      </c>
      <c r="K235" s="44">
        <f t="shared" si="3"/>
        <v>3.2349564650318404E-7</v>
      </c>
      <c r="L235" s="22"/>
      <c r="M235" s="22"/>
    </row>
    <row r="236" spans="2:13" ht="12.75">
      <c r="B236" s="21">
        <v>45019</v>
      </c>
      <c r="C236" s="16"/>
      <c r="D236" s="25" t="s">
        <v>268</v>
      </c>
      <c r="E236" s="22"/>
      <c r="F236" s="22"/>
      <c r="G236" s="25"/>
      <c r="H236" s="25"/>
      <c r="I236" s="92">
        <v>1.87</v>
      </c>
      <c r="J236" s="26">
        <f>SUM($I$4:I236)</f>
        <v>38111413.960000016</v>
      </c>
      <c r="K236" s="44">
        <f t="shared" si="3"/>
        <v>2.4197474358438168E-8</v>
      </c>
      <c r="L236" s="22"/>
      <c r="M236" s="22"/>
    </row>
    <row r="237" spans="2:13" ht="12.75">
      <c r="B237" s="21">
        <v>45019</v>
      </c>
      <c r="C237" s="16"/>
      <c r="D237" s="25" t="s">
        <v>271</v>
      </c>
      <c r="E237" s="22"/>
      <c r="F237" s="22"/>
      <c r="G237" s="25"/>
      <c r="H237" s="25"/>
      <c r="I237" s="92">
        <v>60000</v>
      </c>
      <c r="J237" s="26">
        <f>SUM($I$4:I237)</f>
        <v>38171413.960000016</v>
      </c>
      <c r="K237" s="44">
        <f t="shared" si="3"/>
        <v>7.7638955160764167E-4</v>
      </c>
      <c r="L237" s="22"/>
      <c r="M237" s="22"/>
    </row>
    <row r="238" spans="2:13" ht="12.75">
      <c r="B238" s="21">
        <v>45019</v>
      </c>
      <c r="C238" s="16"/>
      <c r="D238" s="25" t="s">
        <v>268</v>
      </c>
      <c r="E238" s="22"/>
      <c r="F238" s="22"/>
      <c r="G238" s="25"/>
      <c r="H238" s="25"/>
      <c r="I238" s="92">
        <v>50</v>
      </c>
      <c r="J238" s="26">
        <f>SUM($I$4:I238)</f>
        <v>38171463.960000016</v>
      </c>
      <c r="K238" s="44">
        <f t="shared" si="3"/>
        <v>6.4699129300636808E-7</v>
      </c>
      <c r="L238" s="22"/>
      <c r="M238" s="22"/>
    </row>
    <row r="239" spans="2:13" ht="12.75">
      <c r="B239" s="21">
        <v>45019</v>
      </c>
      <c r="C239" s="16"/>
      <c r="D239" s="25" t="s">
        <v>268</v>
      </c>
      <c r="E239" s="22"/>
      <c r="F239" s="22"/>
      <c r="G239" s="25"/>
      <c r="H239" s="25"/>
      <c r="I239" s="92">
        <v>3.75</v>
      </c>
      <c r="J239" s="26">
        <f>SUM($I$4:I239)</f>
        <v>38171467.710000016</v>
      </c>
      <c r="K239" s="44">
        <f t="shared" si="3"/>
        <v>4.8524346975477608E-8</v>
      </c>
      <c r="L239" s="22"/>
      <c r="M239" s="22"/>
    </row>
    <row r="240" spans="2:13" ht="12.75">
      <c r="B240" s="21">
        <v>45019</v>
      </c>
      <c r="C240" s="16"/>
      <c r="D240" s="25" t="s">
        <v>290</v>
      </c>
      <c r="E240" s="22"/>
      <c r="F240" s="22"/>
      <c r="G240" s="25"/>
      <c r="H240" s="25"/>
      <c r="I240" s="92">
        <v>152000</v>
      </c>
      <c r="J240" s="26">
        <f>SUM($I$4:I240)</f>
        <v>38323467.710000016</v>
      </c>
      <c r="K240" s="44">
        <f t="shared" si="3"/>
        <v>1.9668535307393589E-3</v>
      </c>
      <c r="L240" s="22"/>
      <c r="M240" s="22"/>
    </row>
    <row r="241" spans="2:13" ht="12.75">
      <c r="B241" s="21">
        <v>45019</v>
      </c>
      <c r="C241" s="16"/>
      <c r="D241" s="25" t="s">
        <v>268</v>
      </c>
      <c r="E241" s="22"/>
      <c r="F241" s="22"/>
      <c r="G241" s="25"/>
      <c r="H241" s="25"/>
      <c r="I241" s="92">
        <v>50</v>
      </c>
      <c r="J241" s="26">
        <f>SUM($I$4:I241)</f>
        <v>38323517.710000016</v>
      </c>
      <c r="K241" s="44">
        <f t="shared" si="3"/>
        <v>6.4699129300636808E-7</v>
      </c>
      <c r="L241" s="22"/>
      <c r="M241" s="22"/>
    </row>
    <row r="242" spans="2:13" ht="12.75">
      <c r="B242" s="21">
        <v>45019</v>
      </c>
      <c r="C242" s="16"/>
      <c r="D242" s="25" t="s">
        <v>268</v>
      </c>
      <c r="E242" s="22"/>
      <c r="F242" s="22"/>
      <c r="G242" s="25"/>
      <c r="H242" s="25"/>
      <c r="I242" s="92">
        <v>3.75</v>
      </c>
      <c r="J242" s="26">
        <f>SUM($I$4:I242)</f>
        <v>38323521.460000016</v>
      </c>
      <c r="K242" s="44">
        <f t="shared" si="3"/>
        <v>4.8524346975477608E-8</v>
      </c>
      <c r="L242" s="22"/>
      <c r="M242" s="22"/>
    </row>
    <row r="243" spans="2:13" ht="12.75">
      <c r="B243" s="21">
        <v>45026</v>
      </c>
      <c r="C243" s="16"/>
      <c r="D243" s="25" t="s">
        <v>281</v>
      </c>
      <c r="E243" s="22"/>
      <c r="F243" s="22"/>
      <c r="G243" s="25"/>
      <c r="H243" s="25"/>
      <c r="I243" s="92">
        <v>116681.53</v>
      </c>
      <c r="J243" s="26">
        <f>SUM($I$4:I243)</f>
        <v>38440202.990000017</v>
      </c>
      <c r="K243" s="44">
        <f t="shared" si="3"/>
        <v>1.5098386792932266E-3</v>
      </c>
      <c r="L243" s="22"/>
      <c r="M243" s="22"/>
    </row>
    <row r="244" spans="2:13" ht="12.75">
      <c r="B244" s="21">
        <v>45026</v>
      </c>
      <c r="C244" s="16"/>
      <c r="D244" s="25" t="s">
        <v>268</v>
      </c>
      <c r="E244" s="22"/>
      <c r="F244" s="22"/>
      <c r="G244" s="25"/>
      <c r="H244" s="25"/>
      <c r="I244" s="92">
        <v>45</v>
      </c>
      <c r="J244" s="26">
        <f>SUM($I$4:I244)</f>
        <v>38440247.990000017</v>
      </c>
      <c r="K244" s="44">
        <f t="shared" si="3"/>
        <v>5.822921637057313E-7</v>
      </c>
      <c r="L244" s="22"/>
      <c r="M244" s="22"/>
    </row>
    <row r="245" spans="2:13" ht="12.75">
      <c r="B245" s="21">
        <v>45026</v>
      </c>
      <c r="C245" s="16"/>
      <c r="D245" s="25" t="s">
        <v>268</v>
      </c>
      <c r="E245" s="22"/>
      <c r="F245" s="22"/>
      <c r="G245" s="25"/>
      <c r="H245" s="25"/>
      <c r="I245" s="92">
        <v>3.38</v>
      </c>
      <c r="J245" s="26">
        <f>SUM($I$4:I245)</f>
        <v>38440251.37000002</v>
      </c>
      <c r="K245" s="44">
        <f t="shared" si="3"/>
        <v>4.373661140723048E-8</v>
      </c>
      <c r="L245" s="22"/>
      <c r="M245" s="22"/>
    </row>
    <row r="246" spans="2:13" ht="12.75">
      <c r="B246" s="21">
        <v>45026</v>
      </c>
      <c r="C246" s="16"/>
      <c r="D246" s="25" t="s">
        <v>272</v>
      </c>
      <c r="E246" s="22"/>
      <c r="F246" s="22"/>
      <c r="G246" s="25"/>
      <c r="H246" s="25"/>
      <c r="I246" s="92">
        <v>884343.89</v>
      </c>
      <c r="J246" s="26">
        <f>SUM($I$4:I246)</f>
        <v>39324595.26000002</v>
      </c>
      <c r="K246" s="44">
        <f t="shared" si="3"/>
        <v>1.1443255937067628E-2</v>
      </c>
      <c r="L246" s="22"/>
      <c r="M246" s="22"/>
    </row>
    <row r="247" spans="2:13" ht="12.75">
      <c r="B247" s="21">
        <v>45026</v>
      </c>
      <c r="C247" s="16"/>
      <c r="D247" s="25" t="s">
        <v>268</v>
      </c>
      <c r="E247" s="22"/>
      <c r="F247" s="22"/>
      <c r="G247" s="25"/>
      <c r="H247" s="25"/>
      <c r="I247" s="92">
        <v>100</v>
      </c>
      <c r="J247" s="26">
        <f>SUM($I$4:I247)</f>
        <v>39324695.26000002</v>
      </c>
      <c r="K247" s="44">
        <f t="shared" si="3"/>
        <v>1.2939825860127362E-6</v>
      </c>
      <c r="L247" s="22"/>
      <c r="M247" s="22"/>
    </row>
    <row r="248" spans="2:13" ht="12.75">
      <c r="B248" s="21">
        <v>45026</v>
      </c>
      <c r="C248" s="16"/>
      <c r="D248" s="25" t="s">
        <v>271</v>
      </c>
      <c r="E248" s="22"/>
      <c r="F248" s="22"/>
      <c r="G248" s="25"/>
      <c r="H248" s="25"/>
      <c r="I248" s="92">
        <v>358451.88</v>
      </c>
      <c r="J248" s="26">
        <f>SUM($I$4:I248)</f>
        <v>39683147.140000023</v>
      </c>
      <c r="K248" s="44">
        <f t="shared" si="3"/>
        <v>4.6383049064352699E-3</v>
      </c>
      <c r="L248" s="22"/>
      <c r="M248" s="22"/>
    </row>
    <row r="249" spans="2:13" ht="12.75">
      <c r="B249" s="21">
        <v>45026</v>
      </c>
      <c r="C249" s="16"/>
      <c r="D249" s="25" t="s">
        <v>268</v>
      </c>
      <c r="E249" s="22"/>
      <c r="F249" s="22"/>
      <c r="G249" s="25"/>
      <c r="H249" s="25"/>
      <c r="I249" s="92">
        <v>53.75</v>
      </c>
      <c r="J249" s="26">
        <f>SUM($I$4:I249)</f>
        <v>39683200.890000023</v>
      </c>
      <c r="K249" s="44">
        <f t="shared" si="3"/>
        <v>6.9551563998184569E-7</v>
      </c>
      <c r="L249" s="22"/>
      <c r="M249" s="22"/>
    </row>
    <row r="250" spans="2:13" ht="12.75">
      <c r="B250" s="21">
        <v>45026</v>
      </c>
      <c r="C250" s="16"/>
      <c r="D250" s="25" t="s">
        <v>271</v>
      </c>
      <c r="E250" s="22"/>
      <c r="F250" s="22"/>
      <c r="G250" s="25"/>
      <c r="H250" s="25"/>
      <c r="I250" s="92">
        <v>8359.64</v>
      </c>
      <c r="J250" s="26">
        <f>SUM($I$4:I250)</f>
        <v>39691560.530000024</v>
      </c>
      <c r="K250" s="44">
        <f t="shared" si="3"/>
        <v>1.0817228585335509E-4</v>
      </c>
      <c r="L250" s="22"/>
      <c r="M250" s="22"/>
    </row>
    <row r="251" spans="2:13" ht="12.75">
      <c r="B251" s="21">
        <v>45026</v>
      </c>
      <c r="C251" s="16"/>
      <c r="D251" s="25" t="s">
        <v>268</v>
      </c>
      <c r="E251" s="22"/>
      <c r="F251" s="22"/>
      <c r="G251" s="25"/>
      <c r="H251" s="25"/>
      <c r="I251" s="92">
        <v>25</v>
      </c>
      <c r="J251" s="26">
        <f>SUM($I$4:I251)</f>
        <v>39691585.530000024</v>
      </c>
      <c r="K251" s="44">
        <f t="shared" si="3"/>
        <v>3.2349564650318404E-7</v>
      </c>
      <c r="L251" s="22"/>
      <c r="M251" s="22"/>
    </row>
    <row r="252" spans="2:13" ht="12.75">
      <c r="B252" s="21">
        <v>45026</v>
      </c>
      <c r="C252" s="16"/>
      <c r="D252" s="25" t="s">
        <v>268</v>
      </c>
      <c r="E252" s="22"/>
      <c r="F252" s="22"/>
      <c r="G252" s="25"/>
      <c r="H252" s="25"/>
      <c r="I252" s="92">
        <v>1.87</v>
      </c>
      <c r="J252" s="26">
        <f>SUM($I$4:I252)</f>
        <v>39691587.400000021</v>
      </c>
      <c r="K252" s="44">
        <f t="shared" si="3"/>
        <v>2.4197474358438168E-8</v>
      </c>
      <c r="L252" s="22"/>
      <c r="M252" s="22"/>
    </row>
    <row r="253" spans="2:13" ht="12.75">
      <c r="B253" s="21">
        <v>45030</v>
      </c>
      <c r="C253" s="16"/>
      <c r="D253" s="25" t="s">
        <v>295</v>
      </c>
      <c r="E253" s="22"/>
      <c r="F253" s="22"/>
      <c r="G253" s="25"/>
      <c r="H253" s="25"/>
      <c r="I253" s="92">
        <v>76000</v>
      </c>
      <c r="J253" s="26">
        <f>SUM($I$4:I253)</f>
        <v>39767587.400000021</v>
      </c>
      <c r="K253" s="44">
        <f t="shared" si="3"/>
        <v>9.8342676536967944E-4</v>
      </c>
      <c r="L253" s="22"/>
      <c r="M253" s="22"/>
    </row>
    <row r="254" spans="2:13" ht="12.75">
      <c r="B254" s="21">
        <v>45030</v>
      </c>
      <c r="C254" s="16"/>
      <c r="D254" s="25" t="s">
        <v>268</v>
      </c>
      <c r="E254" s="22"/>
      <c r="F254" s="22"/>
      <c r="G254" s="25"/>
      <c r="H254" s="25"/>
      <c r="I254" s="92">
        <v>50</v>
      </c>
      <c r="J254" s="26">
        <f>SUM($I$4:I254)</f>
        <v>39767637.400000021</v>
      </c>
      <c r="K254" s="44">
        <f t="shared" si="3"/>
        <v>6.4699129300636808E-7</v>
      </c>
      <c r="L254" s="22"/>
      <c r="M254" s="22"/>
    </row>
    <row r="255" spans="2:13" ht="12.75">
      <c r="B255" s="21">
        <v>45030</v>
      </c>
      <c r="C255" s="16"/>
      <c r="D255" s="25" t="s">
        <v>268</v>
      </c>
      <c r="E255" s="22"/>
      <c r="F255" s="22"/>
      <c r="G255" s="25"/>
      <c r="H255" s="25"/>
      <c r="I255" s="92">
        <v>3.75</v>
      </c>
      <c r="J255" s="26">
        <f>SUM($I$4:I255)</f>
        <v>39767641.150000021</v>
      </c>
      <c r="K255" s="44">
        <f t="shared" si="3"/>
        <v>4.8524346975477608E-8</v>
      </c>
      <c r="L255" s="22"/>
      <c r="M255" s="22"/>
    </row>
    <row r="256" spans="2:13" ht="12.75">
      <c r="B256" s="21">
        <v>45030</v>
      </c>
      <c r="C256" s="16"/>
      <c r="D256" s="25" t="s">
        <v>265</v>
      </c>
      <c r="E256" s="22"/>
      <c r="F256" s="22"/>
      <c r="G256" s="25"/>
      <c r="H256" s="25"/>
      <c r="I256" s="92">
        <v>52500</v>
      </c>
      <c r="J256" s="26">
        <f>SUM($I$4:I256)</f>
        <v>39820141.150000021</v>
      </c>
      <c r="K256" s="44">
        <f t="shared" si="3"/>
        <v>6.7934085765668651E-4</v>
      </c>
      <c r="L256" s="22"/>
      <c r="M256" s="22"/>
    </row>
    <row r="257" spans="2:13" ht="12.75">
      <c r="B257" s="21">
        <v>45030</v>
      </c>
      <c r="C257" s="16"/>
      <c r="D257" s="25" t="s">
        <v>265</v>
      </c>
      <c r="E257" s="22"/>
      <c r="F257" s="22"/>
      <c r="G257" s="25"/>
      <c r="H257" s="25"/>
      <c r="I257" s="92">
        <v>97500</v>
      </c>
      <c r="J257" s="26">
        <f>SUM($I$4:I257)</f>
        <v>39917641.150000021</v>
      </c>
      <c r="K257" s="44">
        <f t="shared" si="3"/>
        <v>1.2616330213624178E-3</v>
      </c>
      <c r="L257" s="22"/>
      <c r="M257" s="22"/>
    </row>
    <row r="258" spans="2:13" ht="12.75">
      <c r="B258" s="21">
        <v>45034</v>
      </c>
      <c r="C258" s="16"/>
      <c r="D258" s="25" t="s">
        <v>274</v>
      </c>
      <c r="E258" s="22"/>
      <c r="F258" s="22"/>
      <c r="G258" s="25"/>
      <c r="H258" s="25"/>
      <c r="I258" s="92">
        <v>150000</v>
      </c>
      <c r="J258" s="26">
        <f>SUM($I$4:I258)</f>
        <v>40067641.150000021</v>
      </c>
      <c r="K258" s="44">
        <f t="shared" si="3"/>
        <v>1.9409738790191042E-3</v>
      </c>
      <c r="L258" s="22"/>
      <c r="M258" s="22"/>
    </row>
    <row r="259" spans="2:13" ht="12.75">
      <c r="B259" s="21">
        <v>45034</v>
      </c>
      <c r="C259" s="16"/>
      <c r="D259" s="25" t="s">
        <v>268</v>
      </c>
      <c r="E259" s="22"/>
      <c r="F259" s="22"/>
      <c r="G259" s="25"/>
      <c r="H259" s="25"/>
      <c r="I259" s="92">
        <v>50</v>
      </c>
      <c r="J259" s="26">
        <f>SUM($I$4:I259)</f>
        <v>40067691.150000021</v>
      </c>
      <c r="K259" s="44">
        <f t="shared" si="3"/>
        <v>6.4699129300636808E-7</v>
      </c>
      <c r="L259" s="22"/>
      <c r="M259" s="22"/>
    </row>
    <row r="260" spans="2:13" ht="12.75">
      <c r="B260" s="21">
        <v>45034</v>
      </c>
      <c r="C260" s="16"/>
      <c r="D260" s="25" t="s">
        <v>268</v>
      </c>
      <c r="E260" s="22"/>
      <c r="F260" s="22"/>
      <c r="G260" s="25"/>
      <c r="H260" s="25"/>
      <c r="I260" s="92">
        <v>3.75</v>
      </c>
      <c r="J260" s="26">
        <f>SUM($I$4:I260)</f>
        <v>40067694.900000021</v>
      </c>
      <c r="K260" s="44">
        <f t="shared" si="3"/>
        <v>4.8524346975477608E-8</v>
      </c>
      <c r="L260" s="22"/>
      <c r="M260" s="22"/>
    </row>
    <row r="261" spans="2:13" ht="12.75">
      <c r="B261" s="21">
        <v>45034</v>
      </c>
      <c r="C261" s="16"/>
      <c r="D261" s="25" t="s">
        <v>268</v>
      </c>
      <c r="E261" s="22"/>
      <c r="F261" s="22"/>
      <c r="G261" s="25"/>
      <c r="H261" s="25"/>
      <c r="I261" s="92">
        <v>100</v>
      </c>
      <c r="J261" s="26">
        <f>SUM($I$4:I261)</f>
        <v>40067794.900000021</v>
      </c>
      <c r="K261" s="44">
        <f t="shared" ref="K261:K324" si="4">IF(SUM($I$4:$I$830)=0,"",I261/SUM($I$4:$I$830))</f>
        <v>1.2939825860127362E-6</v>
      </c>
      <c r="L261" s="22"/>
      <c r="M261" s="22"/>
    </row>
    <row r="262" spans="2:13" ht="12.75">
      <c r="B262" s="21">
        <v>45034</v>
      </c>
      <c r="C262" s="16"/>
      <c r="D262" s="25" t="s">
        <v>275</v>
      </c>
      <c r="E262" s="22"/>
      <c r="F262" s="22"/>
      <c r="G262" s="25"/>
      <c r="H262" s="25"/>
      <c r="I262" s="92">
        <v>130000</v>
      </c>
      <c r="J262" s="26">
        <f>SUM($I$4:I262)</f>
        <v>40197794.900000021</v>
      </c>
      <c r="K262" s="44">
        <f t="shared" si="4"/>
        <v>1.6821773618165569E-3</v>
      </c>
      <c r="L262" s="22"/>
      <c r="M262" s="22"/>
    </row>
    <row r="263" spans="2:13" ht="12.75">
      <c r="B263" s="21">
        <v>45034</v>
      </c>
      <c r="C263" s="16"/>
      <c r="D263" s="25" t="s">
        <v>268</v>
      </c>
      <c r="E263" s="22"/>
      <c r="F263" s="22"/>
      <c r="G263" s="25"/>
      <c r="H263" s="25"/>
      <c r="I263" s="92">
        <v>26.88</v>
      </c>
      <c r="J263" s="26">
        <f>SUM($I$4:I263)</f>
        <v>40197821.780000024</v>
      </c>
      <c r="K263" s="44">
        <f t="shared" si="4"/>
        <v>3.4782251912022344E-7</v>
      </c>
      <c r="L263" s="22"/>
      <c r="M263" s="22"/>
    </row>
    <row r="264" spans="2:13" ht="12.75">
      <c r="B264" s="21">
        <v>45034</v>
      </c>
      <c r="C264" s="16"/>
      <c r="D264" s="25" t="s">
        <v>268</v>
      </c>
      <c r="E264" s="22"/>
      <c r="F264" s="22"/>
      <c r="G264" s="25"/>
      <c r="H264" s="25"/>
      <c r="I264" s="92">
        <v>105</v>
      </c>
      <c r="J264" s="26">
        <f>SUM($I$4:I264)</f>
        <v>40197926.780000024</v>
      </c>
      <c r="K264" s="44">
        <f t="shared" si="4"/>
        <v>1.358681715313373E-6</v>
      </c>
      <c r="L264" s="22"/>
      <c r="M264" s="22"/>
    </row>
    <row r="265" spans="2:13" ht="12.75">
      <c r="B265" s="21">
        <v>45034</v>
      </c>
      <c r="C265" s="16"/>
      <c r="D265" s="25" t="s">
        <v>268</v>
      </c>
      <c r="E265" s="22"/>
      <c r="F265" s="22"/>
      <c r="G265" s="25"/>
      <c r="H265" s="25"/>
      <c r="I265" s="92">
        <v>7.88</v>
      </c>
      <c r="J265" s="26">
        <f>SUM($I$4:I265)</f>
        <v>40197934.660000026</v>
      </c>
      <c r="K265" s="44">
        <f t="shared" si="4"/>
        <v>1.019658277778036E-7</v>
      </c>
      <c r="L265" s="22"/>
      <c r="M265" s="22"/>
    </row>
    <row r="266" spans="2:13" ht="12.75">
      <c r="B266" s="21">
        <v>45034</v>
      </c>
      <c r="C266" s="16"/>
      <c r="D266" s="25" t="s">
        <v>291</v>
      </c>
      <c r="E266" s="22"/>
      <c r="F266" s="22"/>
      <c r="G266" s="25"/>
      <c r="H266" s="25"/>
      <c r="I266" s="92">
        <v>62000</v>
      </c>
      <c r="J266" s="26">
        <f>SUM($I$4:I266)</f>
        <v>40259934.660000026</v>
      </c>
      <c r="K266" s="44">
        <f t="shared" si="4"/>
        <v>8.0226920332789639E-4</v>
      </c>
      <c r="L266" s="22"/>
      <c r="M266" s="22"/>
    </row>
    <row r="267" spans="2:13" ht="12.75">
      <c r="B267" s="21">
        <v>45034</v>
      </c>
      <c r="C267" s="16"/>
      <c r="D267" s="25" t="s">
        <v>265</v>
      </c>
      <c r="E267" s="22"/>
      <c r="F267" s="22"/>
      <c r="G267" s="25"/>
      <c r="H267" s="25"/>
      <c r="I267" s="92">
        <v>8000</v>
      </c>
      <c r="J267" s="26">
        <f>SUM($I$4:I267)</f>
        <v>40267934.660000026</v>
      </c>
      <c r="K267" s="44">
        <f t="shared" si="4"/>
        <v>1.0351860688101889E-4</v>
      </c>
      <c r="L267" s="22"/>
      <c r="M267" s="22"/>
    </row>
    <row r="268" spans="2:13" ht="12.75">
      <c r="B268" s="21">
        <v>45034</v>
      </c>
      <c r="C268" s="16"/>
      <c r="D268" s="25" t="s">
        <v>268</v>
      </c>
      <c r="E268" s="22"/>
      <c r="F268" s="22"/>
      <c r="G268" s="25"/>
      <c r="H268" s="25"/>
      <c r="I268" s="92">
        <v>25</v>
      </c>
      <c r="J268" s="26">
        <f>SUM($I$4:I268)</f>
        <v>40267959.660000026</v>
      </c>
      <c r="K268" s="44">
        <f t="shared" si="4"/>
        <v>3.2349564650318404E-7</v>
      </c>
      <c r="L268" s="22"/>
      <c r="M268" s="22"/>
    </row>
    <row r="269" spans="2:13" ht="12.75">
      <c r="B269" s="21">
        <v>45034</v>
      </c>
      <c r="C269" s="16"/>
      <c r="D269" s="25" t="s">
        <v>268</v>
      </c>
      <c r="E269" s="22"/>
      <c r="F269" s="22"/>
      <c r="G269" s="25"/>
      <c r="H269" s="25"/>
      <c r="I269" s="92">
        <v>1.87</v>
      </c>
      <c r="J269" s="26">
        <f>SUM($I$4:I269)</f>
        <v>40267961.530000024</v>
      </c>
      <c r="K269" s="44">
        <f t="shared" si="4"/>
        <v>2.4197474358438168E-8</v>
      </c>
      <c r="L269" s="22"/>
      <c r="M269" s="22"/>
    </row>
    <row r="270" spans="2:13" ht="12.75">
      <c r="B270" s="21">
        <v>45034</v>
      </c>
      <c r="C270" s="16"/>
      <c r="D270" s="25" t="s">
        <v>291</v>
      </c>
      <c r="E270" s="22"/>
      <c r="F270" s="22"/>
      <c r="G270" s="25"/>
      <c r="H270" s="25"/>
      <c r="I270" s="92">
        <v>54000</v>
      </c>
      <c r="J270" s="26">
        <f>SUM($I$4:I270)</f>
        <v>40321961.530000024</v>
      </c>
      <c r="K270" s="44">
        <f t="shared" si="4"/>
        <v>6.987505964468775E-4</v>
      </c>
      <c r="L270" s="22"/>
      <c r="M270" s="22"/>
    </row>
    <row r="271" spans="2:13" ht="12.75">
      <c r="B271" s="21">
        <v>45034</v>
      </c>
      <c r="C271" s="16"/>
      <c r="D271" s="25" t="s">
        <v>268</v>
      </c>
      <c r="E271" s="22"/>
      <c r="F271" s="22"/>
      <c r="G271" s="25"/>
      <c r="H271" s="25"/>
      <c r="I271" s="92">
        <v>50</v>
      </c>
      <c r="J271" s="26">
        <f>SUM($I$4:I271)</f>
        <v>40322011.530000024</v>
      </c>
      <c r="K271" s="44">
        <f t="shared" si="4"/>
        <v>6.4699129300636808E-7</v>
      </c>
      <c r="L271" s="22"/>
      <c r="M271" s="22"/>
    </row>
    <row r="272" spans="2:13" ht="12.75">
      <c r="B272" s="21">
        <v>45034</v>
      </c>
      <c r="C272" s="16"/>
      <c r="D272" s="25" t="s">
        <v>268</v>
      </c>
      <c r="E272" s="22"/>
      <c r="F272" s="22"/>
      <c r="G272" s="25"/>
      <c r="H272" s="25"/>
      <c r="I272" s="92">
        <v>3.75</v>
      </c>
      <c r="J272" s="26">
        <f>SUM($I$4:I272)</f>
        <v>40322015.280000024</v>
      </c>
      <c r="K272" s="44">
        <f t="shared" si="4"/>
        <v>4.8524346975477608E-8</v>
      </c>
      <c r="L272" s="22"/>
      <c r="M272" s="22"/>
    </row>
    <row r="273" spans="2:13" ht="12.75">
      <c r="B273" s="21">
        <v>45034</v>
      </c>
      <c r="C273" s="16"/>
      <c r="D273" s="25" t="s">
        <v>277</v>
      </c>
      <c r="E273" s="22"/>
      <c r="F273" s="22"/>
      <c r="G273" s="25"/>
      <c r="H273" s="25"/>
      <c r="I273" s="92">
        <v>78963.679999999993</v>
      </c>
      <c r="J273" s="26">
        <f>SUM($I$4:I273)</f>
        <v>40400978.960000023</v>
      </c>
      <c r="K273" s="44">
        <f t="shared" si="4"/>
        <v>1.0217762684748216E-3</v>
      </c>
      <c r="L273" s="22"/>
      <c r="M273" s="22"/>
    </row>
    <row r="274" spans="2:13" ht="12.75">
      <c r="B274" s="21">
        <v>45034</v>
      </c>
      <c r="C274" s="16"/>
      <c r="D274" s="25" t="s">
        <v>282</v>
      </c>
      <c r="E274" s="22"/>
      <c r="F274" s="22"/>
      <c r="G274" s="25"/>
      <c r="H274" s="25"/>
      <c r="I274" s="92">
        <v>1045169.79</v>
      </c>
      <c r="J274" s="26">
        <f>SUM($I$4:I274)</f>
        <v>41446148.750000022</v>
      </c>
      <c r="K274" s="44">
        <f t="shared" si="4"/>
        <v>1.3524315076865884E-2</v>
      </c>
      <c r="L274" s="22"/>
      <c r="M274" s="22"/>
    </row>
    <row r="275" spans="2:13" ht="12.75">
      <c r="B275" s="21">
        <v>45034</v>
      </c>
      <c r="C275" s="16"/>
      <c r="D275" s="25" t="s">
        <v>268</v>
      </c>
      <c r="E275" s="22"/>
      <c r="F275" s="22"/>
      <c r="G275" s="25"/>
      <c r="H275" s="25"/>
      <c r="I275" s="92">
        <v>50</v>
      </c>
      <c r="J275" s="26">
        <f>SUM($I$4:I275)</f>
        <v>41446198.750000022</v>
      </c>
      <c r="K275" s="44">
        <f t="shared" si="4"/>
        <v>6.4699129300636808E-7</v>
      </c>
      <c r="L275" s="22"/>
      <c r="M275" s="22"/>
    </row>
    <row r="276" spans="2:13" ht="12.75">
      <c r="B276" s="21">
        <v>45034</v>
      </c>
      <c r="C276" s="16"/>
      <c r="D276" s="25" t="s">
        <v>268</v>
      </c>
      <c r="E276" s="22"/>
      <c r="F276" s="22"/>
      <c r="G276" s="25"/>
      <c r="H276" s="25"/>
      <c r="I276" s="92">
        <v>3.75</v>
      </c>
      <c r="J276" s="26">
        <f>SUM($I$4:I276)</f>
        <v>41446202.500000022</v>
      </c>
      <c r="K276" s="44">
        <f t="shared" si="4"/>
        <v>4.8524346975477608E-8</v>
      </c>
      <c r="L276" s="22"/>
      <c r="M276" s="22"/>
    </row>
    <row r="277" spans="2:13" ht="12.75">
      <c r="B277" s="21">
        <v>45035</v>
      </c>
      <c r="C277" s="16"/>
      <c r="D277" s="25" t="s">
        <v>268</v>
      </c>
      <c r="E277" s="22"/>
      <c r="F277" s="22"/>
      <c r="G277" s="25"/>
      <c r="H277" s="25"/>
      <c r="I277" s="92">
        <v>50</v>
      </c>
      <c r="J277" s="26">
        <f>SUM($I$4:I277)</f>
        <v>41446252.500000022</v>
      </c>
      <c r="K277" s="44">
        <f t="shared" si="4"/>
        <v>6.4699129300636808E-7</v>
      </c>
      <c r="L277" s="22"/>
      <c r="M277" s="22"/>
    </row>
    <row r="278" spans="2:13" ht="12.75">
      <c r="B278" s="21">
        <v>45037</v>
      </c>
      <c r="C278" s="16"/>
      <c r="D278" s="25" t="s">
        <v>271</v>
      </c>
      <c r="E278" s="22"/>
      <c r="F278" s="22"/>
      <c r="G278" s="25"/>
      <c r="H278" s="25"/>
      <c r="I278" s="92">
        <v>95711.46</v>
      </c>
      <c r="J278" s="26">
        <f>SUM($I$4:I278)</f>
        <v>41541963.960000023</v>
      </c>
      <c r="K278" s="44">
        <f t="shared" si="4"/>
        <v>1.2384896252185457E-3</v>
      </c>
      <c r="L278" s="22"/>
      <c r="M278" s="22"/>
    </row>
    <row r="279" spans="2:13" ht="12.75">
      <c r="B279" s="21">
        <v>45037</v>
      </c>
      <c r="C279" s="16"/>
      <c r="D279" s="25" t="s">
        <v>271</v>
      </c>
      <c r="E279" s="22"/>
      <c r="F279" s="22"/>
      <c r="G279" s="25"/>
      <c r="H279" s="25"/>
      <c r="I279" s="92">
        <v>35994.93</v>
      </c>
      <c r="J279" s="26">
        <f>SUM($I$4:I279)</f>
        <v>41577958.890000023</v>
      </c>
      <c r="K279" s="44">
        <f t="shared" si="4"/>
        <v>4.6576812604747419E-4</v>
      </c>
      <c r="L279" s="22"/>
      <c r="M279" s="22"/>
    </row>
    <row r="280" spans="2:13" ht="12.75">
      <c r="B280" s="21">
        <v>45037</v>
      </c>
      <c r="C280" s="16"/>
      <c r="D280" s="25" t="s">
        <v>281</v>
      </c>
      <c r="E280" s="22"/>
      <c r="F280" s="22"/>
      <c r="G280" s="25"/>
      <c r="H280" s="25"/>
      <c r="I280" s="92">
        <v>43000</v>
      </c>
      <c r="J280" s="26">
        <f>SUM($I$4:I280)</f>
        <v>41620958.890000023</v>
      </c>
      <c r="K280" s="44">
        <f t="shared" si="4"/>
        <v>5.5641251198547653E-4</v>
      </c>
      <c r="L280" s="22"/>
      <c r="M280" s="22"/>
    </row>
    <row r="281" spans="2:13" ht="12.75">
      <c r="B281" s="21">
        <v>45037</v>
      </c>
      <c r="C281" s="16"/>
      <c r="D281" s="25" t="s">
        <v>268</v>
      </c>
      <c r="E281" s="22"/>
      <c r="F281" s="22"/>
      <c r="G281" s="25"/>
      <c r="H281" s="25"/>
      <c r="I281" s="92">
        <v>25</v>
      </c>
      <c r="J281" s="26">
        <f>SUM($I$4:I281)</f>
        <v>41620983.890000023</v>
      </c>
      <c r="K281" s="44">
        <f t="shared" si="4"/>
        <v>3.2349564650318404E-7</v>
      </c>
      <c r="L281" s="22"/>
      <c r="M281" s="22"/>
    </row>
    <row r="282" spans="2:13" ht="12.75">
      <c r="B282" s="21">
        <v>45037</v>
      </c>
      <c r="C282" s="16"/>
      <c r="D282" s="25" t="s">
        <v>268</v>
      </c>
      <c r="E282" s="22"/>
      <c r="F282" s="22"/>
      <c r="G282" s="25"/>
      <c r="H282" s="25"/>
      <c r="I282" s="92">
        <v>1.87</v>
      </c>
      <c r="J282" s="26">
        <f>SUM($I$4:I282)</f>
        <v>41620985.76000002</v>
      </c>
      <c r="K282" s="44">
        <f t="shared" si="4"/>
        <v>2.4197474358438168E-8</v>
      </c>
      <c r="L282" s="22"/>
      <c r="M282" s="22"/>
    </row>
    <row r="283" spans="2:13" ht="12.75">
      <c r="B283" s="21">
        <v>45037</v>
      </c>
      <c r="C283" s="16"/>
      <c r="D283" s="25" t="s">
        <v>284</v>
      </c>
      <c r="E283" s="22"/>
      <c r="F283" s="22"/>
      <c r="G283" s="25"/>
      <c r="H283" s="25"/>
      <c r="I283" s="92">
        <v>42550</v>
      </c>
      <c r="J283" s="26">
        <f>SUM($I$4:I283)</f>
        <v>41663535.76000002</v>
      </c>
      <c r="K283" s="44">
        <f t="shared" si="4"/>
        <v>5.5058959034841922E-4</v>
      </c>
      <c r="L283" s="22"/>
      <c r="M283" s="22"/>
    </row>
    <row r="284" spans="2:13" ht="12.75">
      <c r="B284" s="21">
        <v>45037</v>
      </c>
      <c r="C284" s="16"/>
      <c r="D284" s="25" t="s">
        <v>268</v>
      </c>
      <c r="E284" s="22"/>
      <c r="F284" s="22"/>
      <c r="G284" s="25"/>
      <c r="H284" s="25"/>
      <c r="I284" s="92">
        <v>25</v>
      </c>
      <c r="J284" s="26">
        <f>SUM($I$4:I284)</f>
        <v>41663560.76000002</v>
      </c>
      <c r="K284" s="44">
        <f t="shared" si="4"/>
        <v>3.2349564650318404E-7</v>
      </c>
      <c r="L284" s="22"/>
      <c r="M284" s="22"/>
    </row>
    <row r="285" spans="2:13" ht="12.75">
      <c r="B285" s="21">
        <v>45037</v>
      </c>
      <c r="C285" s="16"/>
      <c r="D285" s="25" t="s">
        <v>268</v>
      </c>
      <c r="E285" s="22"/>
      <c r="F285" s="22"/>
      <c r="G285" s="25"/>
      <c r="H285" s="25"/>
      <c r="I285" s="92">
        <v>1.87</v>
      </c>
      <c r="J285" s="26">
        <f>SUM($I$4:I285)</f>
        <v>41663562.630000018</v>
      </c>
      <c r="K285" s="44">
        <f t="shared" si="4"/>
        <v>2.4197474358438168E-8</v>
      </c>
      <c r="L285" s="22"/>
      <c r="M285" s="22"/>
    </row>
    <row r="286" spans="2:13" ht="12.75">
      <c r="B286" s="21">
        <v>45044</v>
      </c>
      <c r="C286" s="16"/>
      <c r="D286" s="25" t="s">
        <v>276</v>
      </c>
      <c r="E286" s="22"/>
      <c r="F286" s="22"/>
      <c r="G286" s="25"/>
      <c r="H286" s="25"/>
      <c r="I286" s="92">
        <v>50000</v>
      </c>
      <c r="J286" s="26">
        <f>SUM($I$4:I286)</f>
        <v>41713562.630000018</v>
      </c>
      <c r="K286" s="44">
        <f t="shared" si="4"/>
        <v>6.4699129300636806E-4</v>
      </c>
      <c r="L286" s="22"/>
      <c r="M286" s="22"/>
    </row>
    <row r="287" spans="2:13" ht="12.75">
      <c r="B287" s="21">
        <v>45044</v>
      </c>
      <c r="C287" s="16"/>
      <c r="D287" s="25" t="s">
        <v>268</v>
      </c>
      <c r="E287" s="22"/>
      <c r="F287" s="22"/>
      <c r="G287" s="25"/>
      <c r="H287" s="25"/>
      <c r="I287" s="92">
        <v>50</v>
      </c>
      <c r="J287" s="26">
        <f>SUM($I$4:I287)</f>
        <v>41713612.630000018</v>
      </c>
      <c r="K287" s="44">
        <f t="shared" si="4"/>
        <v>6.4699129300636808E-7</v>
      </c>
      <c r="L287" s="22"/>
      <c r="M287" s="22"/>
    </row>
    <row r="288" spans="2:13" ht="12.75">
      <c r="B288" s="21">
        <v>45044</v>
      </c>
      <c r="C288" s="16"/>
      <c r="D288" s="25" t="s">
        <v>276</v>
      </c>
      <c r="E288" s="22"/>
      <c r="F288" s="22"/>
      <c r="G288" s="25"/>
      <c r="H288" s="25"/>
      <c r="I288" s="92">
        <v>50000</v>
      </c>
      <c r="J288" s="26">
        <f>SUM($I$4:I288)</f>
        <v>41763612.630000018</v>
      </c>
      <c r="K288" s="44">
        <f t="shared" si="4"/>
        <v>6.4699129300636806E-4</v>
      </c>
      <c r="L288" s="22"/>
      <c r="M288" s="22"/>
    </row>
    <row r="289" spans="2:13" ht="12.75">
      <c r="B289" s="21">
        <v>45044</v>
      </c>
      <c r="C289" s="16"/>
      <c r="D289" s="25" t="s">
        <v>268</v>
      </c>
      <c r="E289" s="22"/>
      <c r="F289" s="22"/>
      <c r="G289" s="25"/>
      <c r="H289" s="25"/>
      <c r="I289" s="92">
        <v>50</v>
      </c>
      <c r="J289" s="26">
        <f>SUM($I$4:I289)</f>
        <v>41763662.630000018</v>
      </c>
      <c r="K289" s="44">
        <f t="shared" si="4"/>
        <v>6.4699129300636808E-7</v>
      </c>
      <c r="L289" s="22"/>
      <c r="M289" s="22"/>
    </row>
    <row r="290" spans="2:13" ht="12.75">
      <c r="B290" s="21">
        <v>45044</v>
      </c>
      <c r="C290" s="16"/>
      <c r="D290" s="25" t="s">
        <v>276</v>
      </c>
      <c r="E290" s="22"/>
      <c r="F290" s="22"/>
      <c r="G290" s="25"/>
      <c r="H290" s="25"/>
      <c r="I290" s="92">
        <v>1200000</v>
      </c>
      <c r="J290" s="26">
        <f>SUM($I$4:I290)</f>
        <v>42963662.630000018</v>
      </c>
      <c r="K290" s="44">
        <f t="shared" si="4"/>
        <v>1.5527791032152833E-2</v>
      </c>
      <c r="L290" s="22"/>
      <c r="M290" s="22"/>
    </row>
    <row r="291" spans="2:13" ht="12.75">
      <c r="B291" s="21">
        <v>45044</v>
      </c>
      <c r="C291" s="16"/>
      <c r="D291" s="25" t="s">
        <v>268</v>
      </c>
      <c r="E291" s="22"/>
      <c r="F291" s="22"/>
      <c r="G291" s="25"/>
      <c r="H291" s="25"/>
      <c r="I291" s="92">
        <v>50</v>
      </c>
      <c r="J291" s="26">
        <f>SUM($I$4:I291)</f>
        <v>42963712.630000018</v>
      </c>
      <c r="K291" s="44">
        <f t="shared" si="4"/>
        <v>6.4699129300636808E-7</v>
      </c>
      <c r="L291" s="22"/>
      <c r="M291" s="22"/>
    </row>
    <row r="292" spans="2:13" ht="12.75">
      <c r="B292" s="21">
        <v>45044</v>
      </c>
      <c r="C292" s="16"/>
      <c r="D292" s="25" t="s">
        <v>295</v>
      </c>
      <c r="E292" s="22"/>
      <c r="F292" s="22"/>
      <c r="G292" s="25"/>
      <c r="H292" s="25"/>
      <c r="I292" s="92">
        <v>30000</v>
      </c>
      <c r="J292" s="26">
        <f>SUM($I$4:I292)</f>
        <v>42993712.630000018</v>
      </c>
      <c r="K292" s="44">
        <f t="shared" si="4"/>
        <v>3.8819477580382083E-4</v>
      </c>
      <c r="L292" s="22"/>
      <c r="M292" s="22"/>
    </row>
    <row r="293" spans="2:13" ht="12.75">
      <c r="B293" s="21">
        <v>45044</v>
      </c>
      <c r="C293" s="16"/>
      <c r="D293" s="25" t="s">
        <v>275</v>
      </c>
      <c r="E293" s="22"/>
      <c r="F293" s="22"/>
      <c r="G293" s="25"/>
      <c r="H293" s="25"/>
      <c r="I293" s="92">
        <v>23000</v>
      </c>
      <c r="J293" s="26">
        <f>SUM($I$4:I293)</f>
        <v>43016712.630000018</v>
      </c>
      <c r="K293" s="44">
        <f t="shared" si="4"/>
        <v>2.9761599478292931E-4</v>
      </c>
      <c r="L293" s="22"/>
      <c r="M293" s="22"/>
    </row>
    <row r="294" spans="2:13" ht="12.75">
      <c r="B294" s="21">
        <v>45044</v>
      </c>
      <c r="C294" s="16"/>
      <c r="D294" s="25" t="s">
        <v>268</v>
      </c>
      <c r="E294" s="22"/>
      <c r="F294" s="22"/>
      <c r="G294" s="25"/>
      <c r="H294" s="25"/>
      <c r="I294" s="92">
        <v>25</v>
      </c>
      <c r="J294" s="26">
        <f>SUM($I$4:I294)</f>
        <v>43016737.630000018</v>
      </c>
      <c r="K294" s="44">
        <f t="shared" si="4"/>
        <v>3.2349564650318404E-7</v>
      </c>
      <c r="L294" s="22"/>
      <c r="M294" s="22"/>
    </row>
    <row r="295" spans="2:13" ht="12.75">
      <c r="B295" s="21">
        <v>45044</v>
      </c>
      <c r="C295" s="16"/>
      <c r="D295" s="25" t="s">
        <v>268</v>
      </c>
      <c r="E295" s="22"/>
      <c r="F295" s="22"/>
      <c r="G295" s="25"/>
      <c r="H295" s="25"/>
      <c r="I295" s="92">
        <v>1.87</v>
      </c>
      <c r="J295" s="26">
        <f>SUM($I$4:I295)</f>
        <v>43016739.500000015</v>
      </c>
      <c r="K295" s="44">
        <f t="shared" si="4"/>
        <v>2.4197474358438168E-8</v>
      </c>
      <c r="L295" s="22"/>
      <c r="M295" s="22"/>
    </row>
    <row r="296" spans="2:13" ht="12.75">
      <c r="B296" s="21">
        <v>45045</v>
      </c>
      <c r="C296" s="16"/>
      <c r="D296" s="25" t="s">
        <v>271</v>
      </c>
      <c r="E296" s="22"/>
      <c r="F296" s="22"/>
      <c r="G296" s="25"/>
      <c r="H296" s="25"/>
      <c r="I296" s="92">
        <v>6404407.0099999998</v>
      </c>
      <c r="J296" s="26">
        <f>SUM($I$4:I296)</f>
        <v>49421146.510000013</v>
      </c>
      <c r="K296" s="44">
        <f t="shared" si="4"/>
        <v>8.2871911446778954E-2</v>
      </c>
      <c r="L296" s="22"/>
      <c r="M296" s="22"/>
    </row>
    <row r="297" spans="2:13" ht="12.75">
      <c r="B297" s="21">
        <v>45045</v>
      </c>
      <c r="C297" s="16"/>
      <c r="D297" s="25" t="s">
        <v>268</v>
      </c>
      <c r="E297" s="22"/>
      <c r="F297" s="22"/>
      <c r="G297" s="25"/>
      <c r="H297" s="25"/>
      <c r="I297" s="92">
        <v>456.88</v>
      </c>
      <c r="J297" s="26">
        <f>SUM($I$4:I297)</f>
        <v>49421603.390000015</v>
      </c>
      <c r="K297" s="44">
        <f t="shared" si="4"/>
        <v>5.9119476389749886E-6</v>
      </c>
      <c r="L297" s="22"/>
      <c r="M297" s="22"/>
    </row>
    <row r="298" spans="2:13" ht="12.75">
      <c r="B298" s="21">
        <v>45045</v>
      </c>
      <c r="C298" s="16"/>
      <c r="D298" s="25" t="s">
        <v>281</v>
      </c>
      <c r="E298" s="22"/>
      <c r="F298" s="22"/>
      <c r="G298" s="25"/>
      <c r="H298" s="25"/>
      <c r="I298" s="92">
        <v>3500</v>
      </c>
      <c r="J298" s="26">
        <f>SUM($I$4:I298)</f>
        <v>49425103.390000015</v>
      </c>
      <c r="K298" s="44">
        <f t="shared" si="4"/>
        <v>4.5289390510445764E-5</v>
      </c>
      <c r="L298" s="22"/>
      <c r="M298" s="22"/>
    </row>
    <row r="299" spans="2:13" ht="12.75">
      <c r="B299" s="21">
        <v>45045</v>
      </c>
      <c r="C299" s="16"/>
      <c r="D299" s="25" t="s">
        <v>268</v>
      </c>
      <c r="E299" s="22"/>
      <c r="F299" s="22"/>
      <c r="G299" s="25"/>
      <c r="H299" s="25"/>
      <c r="I299" s="92">
        <v>10</v>
      </c>
      <c r="J299" s="26">
        <f>SUM($I$4:I299)</f>
        <v>49425113.390000015</v>
      </c>
      <c r="K299" s="44">
        <f t="shared" si="4"/>
        <v>1.293982586012736E-7</v>
      </c>
      <c r="L299" s="22"/>
      <c r="M299" s="22"/>
    </row>
    <row r="300" spans="2:13" ht="12.75">
      <c r="B300" s="21">
        <v>45045</v>
      </c>
      <c r="C300" s="16"/>
      <c r="D300" s="25" t="s">
        <v>268</v>
      </c>
      <c r="E300" s="22"/>
      <c r="F300" s="22"/>
      <c r="G300" s="25"/>
      <c r="H300" s="25"/>
      <c r="I300" s="92">
        <v>0.75</v>
      </c>
      <c r="J300" s="26">
        <f>SUM($I$4:I300)</f>
        <v>49425114.140000015</v>
      </c>
      <c r="K300" s="44">
        <f t="shared" si="4"/>
        <v>9.7048693950955217E-9</v>
      </c>
      <c r="L300" s="22"/>
      <c r="M300" s="22"/>
    </row>
    <row r="301" spans="2:13" ht="12.75">
      <c r="B301" s="21">
        <v>45045</v>
      </c>
      <c r="C301" s="16"/>
      <c r="D301" s="25" t="s">
        <v>275</v>
      </c>
      <c r="E301" s="22"/>
      <c r="F301" s="22"/>
      <c r="G301" s="25"/>
      <c r="H301" s="25"/>
      <c r="I301" s="92">
        <v>200000</v>
      </c>
      <c r="J301" s="26">
        <f>SUM($I$4:I301)</f>
        <v>49625114.140000015</v>
      </c>
      <c r="K301" s="44">
        <f t="shared" si="4"/>
        <v>2.5879651720254722E-3</v>
      </c>
      <c r="L301" s="22"/>
      <c r="M301" s="22"/>
    </row>
    <row r="302" spans="2:13" ht="12.75">
      <c r="B302" s="21">
        <v>45045</v>
      </c>
      <c r="C302" s="16"/>
      <c r="D302" s="25" t="s">
        <v>268</v>
      </c>
      <c r="E302" s="22"/>
      <c r="F302" s="22"/>
      <c r="G302" s="25"/>
      <c r="H302" s="25"/>
      <c r="I302" s="92">
        <v>540</v>
      </c>
      <c r="J302" s="26">
        <f>SUM($I$4:I302)</f>
        <v>49625654.140000015</v>
      </c>
      <c r="K302" s="44">
        <f t="shared" si="4"/>
        <v>6.9875059644687756E-6</v>
      </c>
      <c r="L302" s="22"/>
      <c r="M302" s="22"/>
    </row>
    <row r="303" spans="2:13" ht="12.75">
      <c r="B303" s="21">
        <v>45045</v>
      </c>
      <c r="C303" s="16"/>
      <c r="D303" s="25" t="s">
        <v>268</v>
      </c>
      <c r="E303" s="22"/>
      <c r="F303" s="22"/>
      <c r="G303" s="25"/>
      <c r="H303" s="25"/>
      <c r="I303" s="92">
        <v>40.5</v>
      </c>
      <c r="J303" s="26">
        <f>SUM($I$4:I303)</f>
        <v>49625694.640000015</v>
      </c>
      <c r="K303" s="44">
        <f t="shared" si="4"/>
        <v>5.2406294733515817E-7</v>
      </c>
      <c r="L303" s="22"/>
      <c r="M303" s="22"/>
    </row>
    <row r="304" spans="2:13" ht="12.75">
      <c r="B304" s="21">
        <v>45045</v>
      </c>
      <c r="C304" s="16"/>
      <c r="D304" s="25" t="s">
        <v>284</v>
      </c>
      <c r="E304" s="22"/>
      <c r="F304" s="22"/>
      <c r="G304" s="25"/>
      <c r="H304" s="25"/>
      <c r="I304" s="92">
        <v>9975</v>
      </c>
      <c r="J304" s="26">
        <f>SUM($I$4:I304)</f>
        <v>49635669.640000015</v>
      </c>
      <c r="K304" s="44">
        <f t="shared" si="4"/>
        <v>1.2907476295477042E-4</v>
      </c>
      <c r="L304" s="22"/>
      <c r="M304" s="22"/>
    </row>
    <row r="305" spans="2:13" ht="12.75">
      <c r="B305" s="21">
        <v>45045</v>
      </c>
      <c r="C305" s="16"/>
      <c r="D305" s="25" t="s">
        <v>268</v>
      </c>
      <c r="E305" s="22"/>
      <c r="F305" s="22"/>
      <c r="G305" s="25"/>
      <c r="H305" s="25"/>
      <c r="I305" s="92">
        <v>25</v>
      </c>
      <c r="J305" s="26">
        <f>SUM($I$4:I305)</f>
        <v>49635694.640000015</v>
      </c>
      <c r="K305" s="44">
        <f t="shared" si="4"/>
        <v>3.2349564650318404E-7</v>
      </c>
      <c r="L305" s="22"/>
      <c r="M305" s="22"/>
    </row>
    <row r="306" spans="2:13" ht="12.75">
      <c r="B306" s="21">
        <v>45045</v>
      </c>
      <c r="C306" s="16"/>
      <c r="D306" s="25" t="s">
        <v>268</v>
      </c>
      <c r="E306" s="22"/>
      <c r="F306" s="22"/>
      <c r="G306" s="25"/>
      <c r="H306" s="25"/>
      <c r="I306" s="92">
        <v>1.87</v>
      </c>
      <c r="J306" s="26">
        <f>SUM($I$4:I306)</f>
        <v>49635696.510000013</v>
      </c>
      <c r="K306" s="44">
        <f t="shared" si="4"/>
        <v>2.4197474358438168E-8</v>
      </c>
      <c r="L306" s="22"/>
      <c r="M306" s="22"/>
    </row>
    <row r="307" spans="2:13" ht="12.75">
      <c r="B307" s="21">
        <v>45045</v>
      </c>
      <c r="C307" s="16"/>
      <c r="D307" s="25" t="s">
        <v>289</v>
      </c>
      <c r="E307" s="22"/>
      <c r="F307" s="22"/>
      <c r="G307" s="25"/>
      <c r="H307" s="25"/>
      <c r="I307" s="92">
        <v>100000</v>
      </c>
      <c r="J307" s="26">
        <f>SUM($I$4:I307)</f>
        <v>49735696.510000013</v>
      </c>
      <c r="K307" s="44">
        <f t="shared" si="4"/>
        <v>1.2939825860127361E-3</v>
      </c>
      <c r="L307" s="22"/>
      <c r="M307" s="22"/>
    </row>
    <row r="308" spans="2:13" ht="12.75">
      <c r="B308" s="21">
        <v>45045</v>
      </c>
      <c r="C308" s="16"/>
      <c r="D308" s="25" t="s">
        <v>290</v>
      </c>
      <c r="E308" s="22"/>
      <c r="F308" s="22"/>
      <c r="G308" s="25"/>
      <c r="H308" s="25"/>
      <c r="I308" s="92">
        <v>152000</v>
      </c>
      <c r="J308" s="26">
        <f>SUM($I$4:I308)</f>
        <v>49887696.510000013</v>
      </c>
      <c r="K308" s="44">
        <f t="shared" si="4"/>
        <v>1.9668535307393589E-3</v>
      </c>
      <c r="L308" s="22"/>
      <c r="M308" s="22"/>
    </row>
    <row r="309" spans="2:13" ht="12.75">
      <c r="B309" s="21">
        <v>45045</v>
      </c>
      <c r="C309" s="16"/>
      <c r="D309" s="25" t="s">
        <v>268</v>
      </c>
      <c r="E309" s="22"/>
      <c r="F309" s="22"/>
      <c r="G309" s="25"/>
      <c r="H309" s="25"/>
      <c r="I309" s="92">
        <v>50</v>
      </c>
      <c r="J309" s="26">
        <f>SUM($I$4:I309)</f>
        <v>49887746.510000013</v>
      </c>
      <c r="K309" s="44">
        <f t="shared" si="4"/>
        <v>6.4699129300636808E-7</v>
      </c>
      <c r="L309" s="22"/>
      <c r="M309" s="22"/>
    </row>
    <row r="310" spans="2:13" ht="12.75">
      <c r="B310" s="21">
        <v>45045</v>
      </c>
      <c r="C310" s="16"/>
      <c r="D310" s="25" t="s">
        <v>268</v>
      </c>
      <c r="E310" s="22"/>
      <c r="F310" s="22"/>
      <c r="G310" s="25"/>
      <c r="H310" s="25"/>
      <c r="I310" s="92">
        <v>3.75</v>
      </c>
      <c r="J310" s="26">
        <f>SUM($I$4:I310)</f>
        <v>49887750.260000013</v>
      </c>
      <c r="K310" s="44">
        <f t="shared" si="4"/>
        <v>4.8524346975477608E-8</v>
      </c>
      <c r="L310" s="22"/>
      <c r="M310" s="22"/>
    </row>
    <row r="311" spans="2:13" ht="12.75">
      <c r="B311" s="21">
        <v>45045</v>
      </c>
      <c r="C311" s="16"/>
      <c r="D311" s="25" t="s">
        <v>268</v>
      </c>
      <c r="E311" s="22"/>
      <c r="F311" s="22"/>
      <c r="G311" s="25"/>
      <c r="H311" s="25"/>
      <c r="I311" s="92">
        <v>30000</v>
      </c>
      <c r="J311" s="26">
        <f>SUM($I$4:I311)</f>
        <v>49917750.260000013</v>
      </c>
      <c r="K311" s="44">
        <f t="shared" si="4"/>
        <v>3.8819477580382083E-4</v>
      </c>
      <c r="L311" s="22"/>
      <c r="M311" s="22"/>
    </row>
    <row r="312" spans="2:13" ht="12.75">
      <c r="B312" s="21">
        <v>45045</v>
      </c>
      <c r="C312" s="16"/>
      <c r="D312" s="25" t="s">
        <v>268</v>
      </c>
      <c r="E312" s="22"/>
      <c r="F312" s="22"/>
      <c r="G312" s="25"/>
      <c r="H312" s="25"/>
      <c r="I312" s="92">
        <v>25</v>
      </c>
      <c r="J312" s="26">
        <f>SUM($I$4:I312)</f>
        <v>49917775.260000013</v>
      </c>
      <c r="K312" s="44">
        <f t="shared" si="4"/>
        <v>3.2349564650318404E-7</v>
      </c>
      <c r="L312" s="22"/>
      <c r="M312" s="22"/>
    </row>
    <row r="313" spans="2:13" ht="12.75">
      <c r="B313" s="21">
        <v>45045</v>
      </c>
      <c r="C313" s="16"/>
      <c r="D313" s="25" t="s">
        <v>268</v>
      </c>
      <c r="E313" s="22"/>
      <c r="F313" s="22"/>
      <c r="G313" s="25"/>
      <c r="H313" s="25"/>
      <c r="I313" s="92">
        <v>1.87</v>
      </c>
      <c r="J313" s="26">
        <f>SUM($I$4:I313)</f>
        <v>49917777.13000001</v>
      </c>
      <c r="K313" s="44">
        <f t="shared" si="4"/>
        <v>2.4197474358438168E-8</v>
      </c>
      <c r="L313" s="22"/>
      <c r="M313" s="22"/>
    </row>
    <row r="314" spans="2:13" ht="12.75">
      <c r="B314" s="21">
        <v>45045</v>
      </c>
      <c r="C314" s="16"/>
      <c r="D314" s="25" t="s">
        <v>271</v>
      </c>
      <c r="E314" s="22"/>
      <c r="F314" s="22"/>
      <c r="G314" s="25"/>
      <c r="H314" s="25"/>
      <c r="I314" s="92">
        <v>60000</v>
      </c>
      <c r="J314" s="26">
        <f>SUM($I$4:I314)</f>
        <v>49977777.13000001</v>
      </c>
      <c r="K314" s="44">
        <f t="shared" si="4"/>
        <v>7.7638955160764167E-4</v>
      </c>
      <c r="L314" s="22"/>
      <c r="M314" s="22"/>
    </row>
    <row r="315" spans="2:13" ht="12.75">
      <c r="B315" s="21">
        <v>45045</v>
      </c>
      <c r="C315" s="16"/>
      <c r="D315" s="25" t="s">
        <v>268</v>
      </c>
      <c r="E315" s="22"/>
      <c r="F315" s="22"/>
      <c r="G315" s="25"/>
      <c r="H315" s="25"/>
      <c r="I315" s="92">
        <v>50</v>
      </c>
      <c r="J315" s="26">
        <f>SUM($I$4:I315)</f>
        <v>49977827.13000001</v>
      </c>
      <c r="K315" s="44">
        <f t="shared" si="4"/>
        <v>6.4699129300636808E-7</v>
      </c>
      <c r="L315" s="22"/>
      <c r="M315" s="22"/>
    </row>
    <row r="316" spans="2:13" ht="12.75">
      <c r="B316" s="21">
        <v>45045</v>
      </c>
      <c r="C316" s="16"/>
      <c r="D316" s="25" t="s">
        <v>268</v>
      </c>
      <c r="E316" s="22"/>
      <c r="F316" s="22"/>
      <c r="G316" s="25"/>
      <c r="H316" s="25"/>
      <c r="I316" s="92">
        <v>3.75</v>
      </c>
      <c r="J316" s="26">
        <f>SUM($I$4:I316)</f>
        <v>49977830.88000001</v>
      </c>
      <c r="K316" s="44">
        <f t="shared" si="4"/>
        <v>4.8524346975477608E-8</v>
      </c>
      <c r="L316" s="22"/>
      <c r="M316" s="22"/>
    </row>
    <row r="317" spans="2:13" ht="12.75">
      <c r="B317" s="21">
        <v>45045</v>
      </c>
      <c r="C317" s="16"/>
      <c r="D317" s="25" t="s">
        <v>265</v>
      </c>
      <c r="E317" s="22"/>
      <c r="F317" s="22"/>
      <c r="G317" s="25"/>
      <c r="H317" s="25"/>
      <c r="I317" s="92">
        <v>145000</v>
      </c>
      <c r="J317" s="26">
        <f>SUM($I$4:I317)</f>
        <v>50122830.88000001</v>
      </c>
      <c r="K317" s="44">
        <f t="shared" si="4"/>
        <v>1.8762747497184675E-3</v>
      </c>
      <c r="L317" s="22"/>
      <c r="M317" s="22"/>
    </row>
    <row r="318" spans="2:13" ht="12.75">
      <c r="B318" s="21">
        <v>45045</v>
      </c>
      <c r="C318" s="16"/>
      <c r="D318" s="25" t="s">
        <v>281</v>
      </c>
      <c r="E318" s="22"/>
      <c r="F318" s="22"/>
      <c r="G318" s="25"/>
      <c r="H318" s="25"/>
      <c r="I318" s="92">
        <v>102000</v>
      </c>
      <c r="J318" s="26">
        <f>SUM($I$4:I318)</f>
        <v>50224830.88000001</v>
      </c>
      <c r="K318" s="44">
        <f t="shared" si="4"/>
        <v>1.3198622377329908E-3</v>
      </c>
      <c r="L318" s="22"/>
      <c r="M318" s="22"/>
    </row>
    <row r="319" spans="2:13" ht="12.75">
      <c r="B319" s="21">
        <v>45045</v>
      </c>
      <c r="C319" s="16"/>
      <c r="D319" s="25" t="s">
        <v>284</v>
      </c>
      <c r="E319" s="22"/>
      <c r="F319" s="22"/>
      <c r="G319" s="25"/>
      <c r="H319" s="25"/>
      <c r="I319" s="92">
        <v>21800</v>
      </c>
      <c r="J319" s="26">
        <f>SUM($I$4:I319)</f>
        <v>50246630.88000001</v>
      </c>
      <c r="K319" s="44">
        <f t="shared" si="4"/>
        <v>2.820882037507765E-4</v>
      </c>
      <c r="L319" s="22"/>
      <c r="M319" s="22"/>
    </row>
    <row r="320" spans="2:13" ht="12.75">
      <c r="B320" s="21">
        <v>45045</v>
      </c>
      <c r="C320" s="16"/>
      <c r="D320" s="25" t="s">
        <v>284</v>
      </c>
      <c r="E320" s="22"/>
      <c r="F320" s="22"/>
      <c r="G320" s="25"/>
      <c r="H320" s="25"/>
      <c r="I320" s="92">
        <v>10000</v>
      </c>
      <c r="J320" s="26">
        <f>SUM($I$4:I320)</f>
        <v>50256630.88000001</v>
      </c>
      <c r="K320" s="44">
        <f t="shared" si="4"/>
        <v>1.2939825860127361E-4</v>
      </c>
      <c r="L320" s="22"/>
      <c r="M320" s="22"/>
    </row>
    <row r="321" spans="2:13" ht="12.75">
      <c r="B321" s="21">
        <v>45046</v>
      </c>
      <c r="C321" s="16"/>
      <c r="D321" s="25" t="s">
        <v>268</v>
      </c>
      <c r="E321" s="22"/>
      <c r="F321" s="22"/>
      <c r="G321" s="25"/>
      <c r="H321" s="25"/>
      <c r="I321" s="92">
        <v>544</v>
      </c>
      <c r="J321" s="26">
        <f>SUM($I$4:I321)</f>
        <v>50257174.88000001</v>
      </c>
      <c r="K321" s="44">
        <f t="shared" si="4"/>
        <v>7.0392652679092848E-6</v>
      </c>
      <c r="L321" s="22"/>
      <c r="M321" s="22"/>
    </row>
    <row r="322" spans="2:13" ht="12.75">
      <c r="B322" s="21">
        <v>45046</v>
      </c>
      <c r="C322" s="16"/>
      <c r="D322" s="25" t="s">
        <v>268</v>
      </c>
      <c r="E322" s="22"/>
      <c r="F322" s="22"/>
      <c r="G322" s="25"/>
      <c r="H322" s="25"/>
      <c r="I322" s="92">
        <v>40.799999999999997</v>
      </c>
      <c r="J322" s="26">
        <f>SUM($I$4:I322)</f>
        <v>50257215.680000007</v>
      </c>
      <c r="K322" s="44">
        <f t="shared" si="4"/>
        <v>5.2794489509319636E-7</v>
      </c>
      <c r="L322" s="22"/>
      <c r="M322" s="22"/>
    </row>
    <row r="323" spans="2:13" ht="12.75">
      <c r="B323" s="21">
        <v>45046</v>
      </c>
      <c r="C323" s="16"/>
      <c r="D323" s="25" t="s">
        <v>264</v>
      </c>
      <c r="E323" s="22"/>
      <c r="F323" s="22"/>
      <c r="G323" s="25"/>
      <c r="H323" s="25"/>
      <c r="I323" s="92">
        <v>17871.07</v>
      </c>
      <c r="J323" s="26">
        <f>SUM($I$4:I323)</f>
        <v>50275086.750000007</v>
      </c>
      <c r="K323" s="44">
        <f t="shared" si="4"/>
        <v>2.312485337341463E-4</v>
      </c>
      <c r="L323" s="22"/>
      <c r="M323" s="22"/>
    </row>
    <row r="324" spans="2:13" ht="12.75">
      <c r="B324" s="21">
        <v>45046</v>
      </c>
      <c r="C324" s="16"/>
      <c r="D324" s="25" t="s">
        <v>264</v>
      </c>
      <c r="E324" s="22"/>
      <c r="F324" s="22"/>
      <c r="G324" s="25"/>
      <c r="H324" s="25"/>
      <c r="I324" s="92">
        <v>1340.33</v>
      </c>
      <c r="J324" s="26">
        <f>SUM($I$4:I324)</f>
        <v>50276427.080000006</v>
      </c>
      <c r="K324" s="44">
        <f t="shared" si="4"/>
        <v>1.7343636795104504E-5</v>
      </c>
      <c r="L324" s="22"/>
      <c r="M324" s="22"/>
    </row>
    <row r="325" spans="2:13" ht="12.75">
      <c r="B325" s="21">
        <v>45048</v>
      </c>
      <c r="C325" s="16"/>
      <c r="D325" s="25" t="s">
        <v>296</v>
      </c>
      <c r="E325" s="22"/>
      <c r="F325" s="22"/>
      <c r="G325" s="25"/>
      <c r="H325" s="25"/>
      <c r="I325" s="92">
        <v>128553.33</v>
      </c>
      <c r="J325" s="26">
        <f>SUM($I$4:I325)</f>
        <v>50404980.410000004</v>
      </c>
      <c r="K325" s="44">
        <f t="shared" ref="K325:K388" si="5">IF(SUM($I$4:$I$830)=0,"",I325/SUM($I$4:$I$830))</f>
        <v>1.6634577039394865E-3</v>
      </c>
      <c r="L325" s="22"/>
      <c r="M325" s="22"/>
    </row>
    <row r="326" spans="2:13" ht="12.75">
      <c r="B326" s="21">
        <v>45048</v>
      </c>
      <c r="C326" s="16"/>
      <c r="D326" s="25" t="s">
        <v>297</v>
      </c>
      <c r="E326" s="22"/>
      <c r="F326" s="22"/>
      <c r="G326" s="25"/>
      <c r="H326" s="25"/>
      <c r="I326" s="92">
        <v>39667.5</v>
      </c>
      <c r="J326" s="26">
        <f>SUM($I$4:I326)</f>
        <v>50444647.910000004</v>
      </c>
      <c r="K326" s="44">
        <f t="shared" si="5"/>
        <v>5.1329054230660209E-4</v>
      </c>
      <c r="L326" s="22"/>
      <c r="M326" s="22"/>
    </row>
    <row r="327" spans="2:13" ht="12.75">
      <c r="B327" s="21">
        <v>45048</v>
      </c>
      <c r="C327" s="16"/>
      <c r="D327" s="25" t="s">
        <v>268</v>
      </c>
      <c r="E327" s="22"/>
      <c r="F327" s="22"/>
      <c r="G327" s="25"/>
      <c r="H327" s="25"/>
      <c r="I327" s="92">
        <v>100</v>
      </c>
      <c r="J327" s="26">
        <f>SUM($I$4:I327)</f>
        <v>50444747.910000004</v>
      </c>
      <c r="K327" s="44">
        <f t="shared" si="5"/>
        <v>1.2939825860127362E-6</v>
      </c>
      <c r="L327" s="22"/>
      <c r="M327" s="22"/>
    </row>
    <row r="328" spans="2:13" ht="12.75">
      <c r="B328" s="21">
        <v>45048</v>
      </c>
      <c r="C328" s="16"/>
      <c r="D328" s="25" t="s">
        <v>271</v>
      </c>
      <c r="E328" s="22"/>
      <c r="F328" s="22"/>
      <c r="G328" s="25"/>
      <c r="H328" s="25"/>
      <c r="I328" s="92">
        <v>59816.67</v>
      </c>
      <c r="J328" s="26">
        <f>SUM($I$4:I328)</f>
        <v>50504564.580000006</v>
      </c>
      <c r="K328" s="44">
        <f t="shared" si="5"/>
        <v>7.7401729333270448E-4</v>
      </c>
      <c r="L328" s="22"/>
      <c r="M328" s="22"/>
    </row>
    <row r="329" spans="2:13" ht="12.75">
      <c r="B329" s="21">
        <v>45048</v>
      </c>
      <c r="C329" s="16"/>
      <c r="D329" s="25" t="s">
        <v>268</v>
      </c>
      <c r="E329" s="22"/>
      <c r="F329" s="22"/>
      <c r="G329" s="25"/>
      <c r="H329" s="25"/>
      <c r="I329" s="92">
        <v>15</v>
      </c>
      <c r="J329" s="26">
        <f>SUM($I$4:I329)</f>
        <v>50504579.580000006</v>
      </c>
      <c r="K329" s="44">
        <f t="shared" si="5"/>
        <v>1.9409738790191043E-7</v>
      </c>
      <c r="L329" s="22"/>
      <c r="M329" s="22"/>
    </row>
    <row r="330" spans="2:13" ht="12.75">
      <c r="B330" s="21">
        <v>45048</v>
      </c>
      <c r="C330" s="16"/>
      <c r="D330" s="25" t="s">
        <v>268</v>
      </c>
      <c r="E330" s="22"/>
      <c r="F330" s="22"/>
      <c r="G330" s="25"/>
      <c r="H330" s="25"/>
      <c r="I330" s="92">
        <v>1.1299999999999999</v>
      </c>
      <c r="J330" s="26">
        <f>SUM($I$4:I330)</f>
        <v>50504580.710000008</v>
      </c>
      <c r="K330" s="44">
        <f t="shared" si="5"/>
        <v>1.4622003221943917E-8</v>
      </c>
      <c r="L330" s="22"/>
      <c r="M330" s="22"/>
    </row>
    <row r="331" spans="2:13" ht="12.75">
      <c r="B331" s="21">
        <v>45048</v>
      </c>
      <c r="C331" s="16"/>
      <c r="D331" s="25" t="s">
        <v>271</v>
      </c>
      <c r="E331" s="22"/>
      <c r="F331" s="22"/>
      <c r="G331" s="25"/>
      <c r="H331" s="25"/>
      <c r="I331" s="92">
        <v>59816.67</v>
      </c>
      <c r="J331" s="26">
        <f>SUM($I$4:I331)</f>
        <v>50564397.38000001</v>
      </c>
      <c r="K331" s="44">
        <f t="shared" si="5"/>
        <v>7.7401729333270448E-4</v>
      </c>
      <c r="L331" s="22"/>
      <c r="M331" s="22"/>
    </row>
    <row r="332" spans="2:13" ht="12.75">
      <c r="B332" s="21">
        <v>45048</v>
      </c>
      <c r="C332" s="16"/>
      <c r="D332" s="25" t="s">
        <v>268</v>
      </c>
      <c r="E332" s="22"/>
      <c r="F332" s="22"/>
      <c r="G332" s="25"/>
      <c r="H332" s="25"/>
      <c r="I332" s="92">
        <v>50</v>
      </c>
      <c r="J332" s="26">
        <f>SUM($I$4:I332)</f>
        <v>50564447.38000001</v>
      </c>
      <c r="K332" s="44">
        <f t="shared" si="5"/>
        <v>6.4699129300636808E-7</v>
      </c>
      <c r="L332" s="22"/>
      <c r="M332" s="22"/>
    </row>
    <row r="333" spans="2:13" ht="12.75">
      <c r="B333" s="21">
        <v>45048</v>
      </c>
      <c r="C333" s="16"/>
      <c r="D333" s="25" t="s">
        <v>268</v>
      </c>
      <c r="E333" s="22"/>
      <c r="F333" s="22"/>
      <c r="G333" s="25"/>
      <c r="H333" s="25"/>
      <c r="I333" s="92">
        <v>3.75</v>
      </c>
      <c r="J333" s="26">
        <f>SUM($I$4:I333)</f>
        <v>50564451.13000001</v>
      </c>
      <c r="K333" s="44">
        <f t="shared" si="5"/>
        <v>4.8524346975477608E-8</v>
      </c>
      <c r="L333" s="22"/>
      <c r="M333" s="22"/>
    </row>
    <row r="334" spans="2:13" ht="12.75">
      <c r="B334" s="21">
        <v>45048</v>
      </c>
      <c r="C334" s="16"/>
      <c r="D334" s="25" t="s">
        <v>271</v>
      </c>
      <c r="E334" s="22"/>
      <c r="F334" s="22"/>
      <c r="G334" s="25"/>
      <c r="H334" s="25"/>
      <c r="I334" s="92">
        <v>59816.67</v>
      </c>
      <c r="J334" s="26">
        <f>SUM($I$4:I334)</f>
        <v>50624267.800000012</v>
      </c>
      <c r="K334" s="44">
        <f t="shared" si="5"/>
        <v>7.7401729333270448E-4</v>
      </c>
      <c r="L334" s="22"/>
      <c r="M334" s="22"/>
    </row>
    <row r="335" spans="2:13" ht="12.75">
      <c r="B335" s="21">
        <v>45048</v>
      </c>
      <c r="C335" s="16"/>
      <c r="D335" s="25" t="s">
        <v>268</v>
      </c>
      <c r="E335" s="22"/>
      <c r="F335" s="22"/>
      <c r="G335" s="25"/>
      <c r="H335" s="25"/>
      <c r="I335" s="92">
        <v>50</v>
      </c>
      <c r="J335" s="26">
        <f>SUM($I$4:I335)</f>
        <v>50624317.800000012</v>
      </c>
      <c r="K335" s="44">
        <f t="shared" si="5"/>
        <v>6.4699129300636808E-7</v>
      </c>
      <c r="L335" s="22"/>
      <c r="M335" s="22"/>
    </row>
    <row r="336" spans="2:13" ht="12.75">
      <c r="B336" s="21">
        <v>45048</v>
      </c>
      <c r="C336" s="16"/>
      <c r="D336" s="25" t="s">
        <v>268</v>
      </c>
      <c r="E336" s="22"/>
      <c r="F336" s="22"/>
      <c r="G336" s="25"/>
      <c r="H336" s="25"/>
      <c r="I336" s="92">
        <v>3.75</v>
      </c>
      <c r="J336" s="26">
        <f>SUM($I$4:I336)</f>
        <v>50624321.550000012</v>
      </c>
      <c r="K336" s="44">
        <f t="shared" si="5"/>
        <v>4.8524346975477608E-8</v>
      </c>
      <c r="L336" s="22"/>
      <c r="M336" s="22"/>
    </row>
    <row r="337" spans="2:13" ht="12.75">
      <c r="B337" s="21">
        <v>45048</v>
      </c>
      <c r="C337" s="16"/>
      <c r="D337" s="25" t="s">
        <v>283</v>
      </c>
      <c r="E337" s="22"/>
      <c r="F337" s="22"/>
      <c r="G337" s="25"/>
      <c r="H337" s="25"/>
      <c r="I337" s="92">
        <v>8000</v>
      </c>
      <c r="J337" s="26">
        <f>SUM($I$4:I337)</f>
        <v>50632321.550000012</v>
      </c>
      <c r="K337" s="44">
        <f t="shared" si="5"/>
        <v>1.0351860688101889E-4</v>
      </c>
      <c r="L337" s="22"/>
      <c r="M337" s="22"/>
    </row>
    <row r="338" spans="2:13" ht="12.75">
      <c r="B338" s="21">
        <v>45048</v>
      </c>
      <c r="C338" s="16"/>
      <c r="D338" s="25" t="s">
        <v>268</v>
      </c>
      <c r="E338" s="22"/>
      <c r="F338" s="22"/>
      <c r="G338" s="25"/>
      <c r="H338" s="25"/>
      <c r="I338" s="92">
        <v>100</v>
      </c>
      <c r="J338" s="26">
        <f>SUM($I$4:I338)</f>
        <v>50632421.550000012</v>
      </c>
      <c r="K338" s="44">
        <f t="shared" si="5"/>
        <v>1.2939825860127362E-6</v>
      </c>
      <c r="L338" s="22"/>
      <c r="M338" s="22"/>
    </row>
    <row r="339" spans="2:13" ht="12.75">
      <c r="B339" s="21">
        <v>45048</v>
      </c>
      <c r="C339" s="16"/>
      <c r="D339" s="25" t="s">
        <v>268</v>
      </c>
      <c r="E339" s="22"/>
      <c r="F339" s="22"/>
      <c r="G339" s="25"/>
      <c r="H339" s="25"/>
      <c r="I339" s="92">
        <v>30</v>
      </c>
      <c r="J339" s="26">
        <f>SUM($I$4:I339)</f>
        <v>50632451.550000012</v>
      </c>
      <c r="K339" s="44">
        <f t="shared" si="5"/>
        <v>3.8819477580382087E-7</v>
      </c>
      <c r="L339" s="22"/>
      <c r="M339" s="22"/>
    </row>
    <row r="340" spans="2:13" ht="12.75">
      <c r="B340" s="21">
        <v>45048</v>
      </c>
      <c r="C340" s="16"/>
      <c r="D340" s="25" t="s">
        <v>268</v>
      </c>
      <c r="E340" s="22"/>
      <c r="F340" s="22"/>
      <c r="G340" s="25"/>
      <c r="H340" s="25"/>
      <c r="I340" s="92">
        <v>2.25</v>
      </c>
      <c r="J340" s="26">
        <f>SUM($I$4:I340)</f>
        <v>50632453.800000012</v>
      </c>
      <c r="K340" s="44">
        <f t="shared" si="5"/>
        <v>2.9114608185286565E-8</v>
      </c>
      <c r="L340" s="22"/>
      <c r="M340" s="22"/>
    </row>
    <row r="341" spans="2:13" ht="12.75">
      <c r="B341" s="21">
        <v>45048</v>
      </c>
      <c r="C341" s="16"/>
      <c r="D341" s="25" t="s">
        <v>286</v>
      </c>
      <c r="E341" s="22"/>
      <c r="F341" s="22"/>
      <c r="G341" s="25"/>
      <c r="H341" s="25"/>
      <c r="I341" s="92">
        <v>5911.25</v>
      </c>
      <c r="J341" s="26">
        <f>SUM($I$4:I341)</f>
        <v>50638365.050000012</v>
      </c>
      <c r="K341" s="44">
        <f t="shared" si="5"/>
        <v>7.6490545615677863E-5</v>
      </c>
      <c r="L341" s="22"/>
      <c r="M341" s="22"/>
    </row>
    <row r="342" spans="2:13" ht="12.75">
      <c r="B342" s="21">
        <v>45048</v>
      </c>
      <c r="C342" s="16"/>
      <c r="D342" s="25" t="s">
        <v>268</v>
      </c>
      <c r="E342" s="22"/>
      <c r="F342" s="22"/>
      <c r="G342" s="25"/>
      <c r="H342" s="25"/>
      <c r="I342" s="92">
        <v>100</v>
      </c>
      <c r="J342" s="26">
        <f>SUM($I$4:I342)</f>
        <v>50638465.050000012</v>
      </c>
      <c r="K342" s="44">
        <f t="shared" si="5"/>
        <v>1.2939825860127362E-6</v>
      </c>
      <c r="L342" s="22"/>
      <c r="M342" s="22"/>
    </row>
    <row r="343" spans="2:13" ht="12.75">
      <c r="B343" s="21">
        <v>45048</v>
      </c>
      <c r="C343" s="16"/>
      <c r="D343" s="25" t="s">
        <v>273</v>
      </c>
      <c r="E343" s="22"/>
      <c r="F343" s="22"/>
      <c r="G343" s="25"/>
      <c r="H343" s="25"/>
      <c r="I343" s="92">
        <v>20000</v>
      </c>
      <c r="J343" s="26">
        <f>SUM($I$4:I343)</f>
        <v>50658465.050000012</v>
      </c>
      <c r="K343" s="44">
        <f t="shared" si="5"/>
        <v>2.5879651720254722E-4</v>
      </c>
      <c r="L343" s="22"/>
      <c r="M343" s="22"/>
    </row>
    <row r="344" spans="2:13" ht="12.75">
      <c r="B344" s="21">
        <v>45048</v>
      </c>
      <c r="C344" s="16"/>
      <c r="D344" s="25" t="s">
        <v>286</v>
      </c>
      <c r="E344" s="22"/>
      <c r="F344" s="22"/>
      <c r="G344" s="25"/>
      <c r="H344" s="25"/>
      <c r="I344" s="92">
        <v>98050</v>
      </c>
      <c r="J344" s="26">
        <f>SUM($I$4:I344)</f>
        <v>50756515.050000012</v>
      </c>
      <c r="K344" s="44">
        <f t="shared" si="5"/>
        <v>1.2687499255854878E-3</v>
      </c>
      <c r="L344" s="22"/>
      <c r="M344" s="22"/>
    </row>
    <row r="345" spans="2:13" ht="12.75">
      <c r="B345" s="21">
        <v>45048</v>
      </c>
      <c r="C345" s="16"/>
      <c r="D345" s="25" t="s">
        <v>294</v>
      </c>
      <c r="E345" s="22"/>
      <c r="F345" s="22"/>
      <c r="G345" s="25"/>
      <c r="H345" s="25"/>
      <c r="I345" s="92">
        <v>6500</v>
      </c>
      <c r="J345" s="26">
        <f>SUM($I$4:I345)</f>
        <v>50763015.050000012</v>
      </c>
      <c r="K345" s="44">
        <f t="shared" si="5"/>
        <v>8.4108868090827847E-5</v>
      </c>
      <c r="L345" s="22"/>
      <c r="M345" s="22"/>
    </row>
    <row r="346" spans="2:13" ht="12.75">
      <c r="B346" s="21">
        <v>45048</v>
      </c>
      <c r="C346" s="16"/>
      <c r="D346" s="25" t="s">
        <v>272</v>
      </c>
      <c r="E346" s="22"/>
      <c r="F346" s="22"/>
      <c r="G346" s="25"/>
      <c r="H346" s="25"/>
      <c r="I346" s="92">
        <v>150</v>
      </c>
      <c r="J346" s="26">
        <f>SUM($I$4:I346)</f>
        <v>50763165.050000012</v>
      </c>
      <c r="K346" s="44">
        <f t="shared" si="5"/>
        <v>1.9409738790191043E-6</v>
      </c>
      <c r="L346" s="22"/>
      <c r="M346" s="22"/>
    </row>
    <row r="347" spans="2:13" ht="12.75">
      <c r="B347" s="21">
        <v>45048</v>
      </c>
      <c r="C347" s="16"/>
      <c r="D347" s="25" t="s">
        <v>268</v>
      </c>
      <c r="E347" s="22"/>
      <c r="F347" s="22"/>
      <c r="G347" s="25"/>
      <c r="H347" s="25"/>
      <c r="I347" s="92">
        <v>100</v>
      </c>
      <c r="J347" s="26">
        <f>SUM($I$4:I347)</f>
        <v>50763265.050000012</v>
      </c>
      <c r="K347" s="44">
        <f t="shared" si="5"/>
        <v>1.2939825860127362E-6</v>
      </c>
      <c r="L347" s="22"/>
      <c r="M347" s="22"/>
    </row>
    <row r="348" spans="2:13" ht="12.75">
      <c r="B348" s="21">
        <v>45054</v>
      </c>
      <c r="C348" s="16"/>
      <c r="D348" s="25" t="s">
        <v>271</v>
      </c>
      <c r="E348" s="22"/>
      <c r="F348" s="22"/>
      <c r="G348" s="25"/>
      <c r="H348" s="25"/>
      <c r="I348" s="92">
        <v>221133.58</v>
      </c>
      <c r="J348" s="26">
        <f>SUM($I$4:I348)</f>
        <v>50984398.63000001</v>
      </c>
      <c r="K348" s="44">
        <f t="shared" si="5"/>
        <v>2.8614300170265424E-3</v>
      </c>
      <c r="L348" s="22"/>
      <c r="M348" s="22"/>
    </row>
    <row r="349" spans="2:13" ht="12.75">
      <c r="B349" s="21">
        <v>45054</v>
      </c>
      <c r="C349" s="16"/>
      <c r="D349" s="25" t="s">
        <v>265</v>
      </c>
      <c r="E349" s="22"/>
      <c r="F349" s="22"/>
      <c r="G349" s="25"/>
      <c r="H349" s="25"/>
      <c r="I349" s="92">
        <v>42500</v>
      </c>
      <c r="J349" s="26">
        <f>SUM($I$4:I349)</f>
        <v>51026898.63000001</v>
      </c>
      <c r="K349" s="44">
        <f t="shared" si="5"/>
        <v>5.499425990554129E-4</v>
      </c>
      <c r="L349" s="22"/>
      <c r="M349" s="22"/>
    </row>
    <row r="350" spans="2:13" ht="12.75">
      <c r="B350" s="21">
        <v>45054</v>
      </c>
      <c r="C350" s="16"/>
      <c r="D350" s="25" t="s">
        <v>288</v>
      </c>
      <c r="E350" s="22"/>
      <c r="F350" s="22"/>
      <c r="G350" s="25"/>
      <c r="H350" s="25"/>
      <c r="I350" s="92">
        <v>30000</v>
      </c>
      <c r="J350" s="26">
        <f>SUM($I$4:I350)</f>
        <v>51056898.63000001</v>
      </c>
      <c r="K350" s="44">
        <f t="shared" si="5"/>
        <v>3.8819477580382083E-4</v>
      </c>
      <c r="L350" s="22"/>
      <c r="M350" s="22"/>
    </row>
    <row r="351" spans="2:13" ht="12.75">
      <c r="B351" s="21">
        <v>45054</v>
      </c>
      <c r="C351" s="16"/>
      <c r="D351" s="25" t="s">
        <v>272</v>
      </c>
      <c r="E351" s="22"/>
      <c r="F351" s="22"/>
      <c r="G351" s="25"/>
      <c r="H351" s="25"/>
      <c r="I351" s="92">
        <v>400</v>
      </c>
      <c r="J351" s="26">
        <f>SUM($I$4:I351)</f>
        <v>51057298.63000001</v>
      </c>
      <c r="K351" s="44">
        <f t="shared" si="5"/>
        <v>5.1759303440509446E-6</v>
      </c>
      <c r="L351" s="22"/>
      <c r="M351" s="22"/>
    </row>
    <row r="352" spans="2:13" ht="12.75">
      <c r="B352" s="21">
        <v>45054</v>
      </c>
      <c r="C352" s="16"/>
      <c r="D352" s="25" t="s">
        <v>268</v>
      </c>
      <c r="E352" s="22"/>
      <c r="F352" s="22"/>
      <c r="G352" s="25"/>
      <c r="H352" s="25"/>
      <c r="I352" s="92">
        <v>100</v>
      </c>
      <c r="J352" s="26">
        <f>SUM($I$4:I352)</f>
        <v>51057398.63000001</v>
      </c>
      <c r="K352" s="44">
        <f t="shared" si="5"/>
        <v>1.2939825860127362E-6</v>
      </c>
      <c r="L352" s="22"/>
      <c r="M352" s="22"/>
    </row>
    <row r="353" spans="2:13" ht="12.75">
      <c r="B353" s="21">
        <v>45057</v>
      </c>
      <c r="C353" s="16"/>
      <c r="D353" s="25" t="s">
        <v>272</v>
      </c>
      <c r="E353" s="22"/>
      <c r="F353" s="22"/>
      <c r="G353" s="25"/>
      <c r="H353" s="25"/>
      <c r="I353" s="92">
        <v>864994.68</v>
      </c>
      <c r="J353" s="26">
        <f>SUM($I$4:I353)</f>
        <v>51922393.31000001</v>
      </c>
      <c r="K353" s="44">
        <f t="shared" si="5"/>
        <v>1.1192880529136593E-2</v>
      </c>
      <c r="L353" s="22"/>
      <c r="M353" s="22"/>
    </row>
    <row r="354" spans="2:13" ht="12.75">
      <c r="B354" s="21">
        <v>45057</v>
      </c>
      <c r="C354" s="16"/>
      <c r="D354" s="25" t="s">
        <v>268</v>
      </c>
      <c r="E354" s="22"/>
      <c r="F354" s="22"/>
      <c r="G354" s="25"/>
      <c r="H354" s="25"/>
      <c r="I354" s="92">
        <v>100</v>
      </c>
      <c r="J354" s="26">
        <f>SUM($I$4:I354)</f>
        <v>51922493.31000001</v>
      </c>
      <c r="K354" s="44">
        <f t="shared" si="5"/>
        <v>1.2939825860127362E-6</v>
      </c>
      <c r="L354" s="22"/>
      <c r="M354" s="22"/>
    </row>
    <row r="355" spans="2:13" ht="12.75">
      <c r="B355" s="21">
        <v>45057</v>
      </c>
      <c r="C355" s="16"/>
      <c r="D355" s="25" t="s">
        <v>282</v>
      </c>
      <c r="E355" s="22"/>
      <c r="F355" s="22"/>
      <c r="G355" s="25"/>
      <c r="H355" s="25"/>
      <c r="I355" s="92">
        <v>1002635.01</v>
      </c>
      <c r="J355" s="26">
        <f>SUM($I$4:I355)</f>
        <v>52925128.320000008</v>
      </c>
      <c r="K355" s="44">
        <f t="shared" si="5"/>
        <v>1.2973922430667056E-2</v>
      </c>
      <c r="L355" s="22"/>
      <c r="M355" s="22"/>
    </row>
    <row r="356" spans="2:13" ht="12.75">
      <c r="B356" s="21">
        <v>45057</v>
      </c>
      <c r="C356" s="16"/>
      <c r="D356" s="25" t="s">
        <v>268</v>
      </c>
      <c r="E356" s="22"/>
      <c r="F356" s="22"/>
      <c r="G356" s="25"/>
      <c r="H356" s="25"/>
      <c r="I356" s="92">
        <v>50</v>
      </c>
      <c r="J356" s="26">
        <f>SUM($I$4:I356)</f>
        <v>52925178.320000008</v>
      </c>
      <c r="K356" s="44">
        <f t="shared" si="5"/>
        <v>6.4699129300636808E-7</v>
      </c>
      <c r="L356" s="22"/>
      <c r="M356" s="22"/>
    </row>
    <row r="357" spans="2:13" ht="12.75">
      <c r="B357" s="21">
        <v>45057</v>
      </c>
      <c r="C357" s="16"/>
      <c r="D357" s="25" t="s">
        <v>268</v>
      </c>
      <c r="E357" s="22"/>
      <c r="F357" s="22"/>
      <c r="G357" s="25"/>
      <c r="H357" s="25"/>
      <c r="I357" s="92">
        <v>3.75</v>
      </c>
      <c r="J357" s="26">
        <f>SUM($I$4:I357)</f>
        <v>52925182.070000008</v>
      </c>
      <c r="K357" s="44">
        <f t="shared" si="5"/>
        <v>4.8524346975477608E-8</v>
      </c>
      <c r="L357" s="22"/>
      <c r="M357" s="22"/>
    </row>
    <row r="358" spans="2:13" ht="12.75">
      <c r="B358" s="21">
        <v>45063</v>
      </c>
      <c r="C358" s="16"/>
      <c r="D358" s="25" t="s">
        <v>281</v>
      </c>
      <c r="E358" s="22"/>
      <c r="F358" s="22"/>
      <c r="G358" s="25"/>
      <c r="H358" s="25"/>
      <c r="I358" s="92">
        <v>28000</v>
      </c>
      <c r="J358" s="26">
        <f>SUM($I$4:I358)</f>
        <v>52953182.070000008</v>
      </c>
      <c r="K358" s="44">
        <f t="shared" si="5"/>
        <v>3.6231512408356611E-4</v>
      </c>
      <c r="L358" s="22"/>
      <c r="M358" s="22"/>
    </row>
    <row r="359" spans="2:13" ht="12.75">
      <c r="B359" s="21">
        <v>45066</v>
      </c>
      <c r="C359" s="16"/>
      <c r="D359" s="25" t="s">
        <v>285</v>
      </c>
      <c r="E359" s="22"/>
      <c r="F359" s="22"/>
      <c r="G359" s="25"/>
      <c r="H359" s="25"/>
      <c r="I359" s="92">
        <v>29800</v>
      </c>
      <c r="J359" s="26">
        <f>SUM($I$4:I359)</f>
        <v>52982982.070000008</v>
      </c>
      <c r="K359" s="44">
        <f t="shared" si="5"/>
        <v>3.8560681063179539E-4</v>
      </c>
      <c r="L359" s="22"/>
      <c r="M359" s="22"/>
    </row>
    <row r="360" spans="2:13" ht="12.75">
      <c r="B360" s="21">
        <v>45066</v>
      </c>
      <c r="C360" s="16"/>
      <c r="D360" s="25" t="s">
        <v>272</v>
      </c>
      <c r="E360" s="22"/>
      <c r="F360" s="22"/>
      <c r="G360" s="25"/>
      <c r="H360" s="25"/>
      <c r="I360" s="92">
        <v>9775</v>
      </c>
      <c r="J360" s="26">
        <f>SUM($I$4:I360)</f>
        <v>52992757.070000008</v>
      </c>
      <c r="K360" s="44">
        <f t="shared" si="5"/>
        <v>1.2648679778274496E-4</v>
      </c>
      <c r="L360" s="22"/>
      <c r="M360" s="22"/>
    </row>
    <row r="361" spans="2:13" ht="12.75">
      <c r="B361" s="21">
        <v>45066</v>
      </c>
      <c r="C361" s="16"/>
      <c r="D361" s="25" t="s">
        <v>268</v>
      </c>
      <c r="E361" s="22"/>
      <c r="F361" s="22"/>
      <c r="G361" s="25"/>
      <c r="H361" s="25"/>
      <c r="I361" s="92">
        <v>100</v>
      </c>
      <c r="J361" s="26">
        <f>SUM($I$4:I361)</f>
        <v>52992857.070000008</v>
      </c>
      <c r="K361" s="44">
        <f t="shared" si="5"/>
        <v>1.2939825860127362E-6</v>
      </c>
      <c r="L361" s="22"/>
      <c r="M361" s="22"/>
    </row>
    <row r="362" spans="2:13" ht="12.75">
      <c r="B362" s="21">
        <v>45066</v>
      </c>
      <c r="C362" s="16"/>
      <c r="D362" s="25" t="s">
        <v>283</v>
      </c>
      <c r="E362" s="22"/>
      <c r="F362" s="22"/>
      <c r="G362" s="25"/>
      <c r="H362" s="25"/>
      <c r="I362" s="92">
        <v>8000</v>
      </c>
      <c r="J362" s="26">
        <f>SUM($I$4:I362)</f>
        <v>53000857.070000008</v>
      </c>
      <c r="K362" s="44">
        <f t="shared" si="5"/>
        <v>1.0351860688101889E-4</v>
      </c>
      <c r="L362" s="22"/>
      <c r="M362" s="22"/>
    </row>
    <row r="363" spans="2:13" ht="12.75">
      <c r="B363" s="21">
        <v>45066</v>
      </c>
      <c r="C363" s="16"/>
      <c r="D363" s="25" t="s">
        <v>268</v>
      </c>
      <c r="E363" s="22"/>
      <c r="F363" s="22"/>
      <c r="G363" s="25"/>
      <c r="H363" s="25"/>
      <c r="I363" s="92">
        <v>100</v>
      </c>
      <c r="J363" s="26">
        <f>SUM($I$4:I363)</f>
        <v>53000957.070000008</v>
      </c>
      <c r="K363" s="44">
        <f t="shared" si="5"/>
        <v>1.2939825860127362E-6</v>
      </c>
      <c r="L363" s="22"/>
      <c r="M363" s="22"/>
    </row>
    <row r="364" spans="2:13" ht="12.75">
      <c r="B364" s="21">
        <v>45066</v>
      </c>
      <c r="C364" s="16"/>
      <c r="D364" s="25" t="s">
        <v>271</v>
      </c>
      <c r="E364" s="22"/>
      <c r="F364" s="22"/>
      <c r="G364" s="25"/>
      <c r="H364" s="25"/>
      <c r="I364" s="92">
        <v>111093.66</v>
      </c>
      <c r="J364" s="26">
        <f>SUM($I$4:I364)</f>
        <v>53112050.730000004</v>
      </c>
      <c r="K364" s="44">
        <f t="shared" si="5"/>
        <v>1.4375326145641967E-3</v>
      </c>
      <c r="L364" s="22"/>
      <c r="M364" s="22"/>
    </row>
    <row r="365" spans="2:13" ht="12.75">
      <c r="B365" s="21">
        <v>45072</v>
      </c>
      <c r="C365" s="16"/>
      <c r="D365" s="25" t="s">
        <v>284</v>
      </c>
      <c r="E365" s="22"/>
      <c r="F365" s="22"/>
      <c r="G365" s="25"/>
      <c r="H365" s="25"/>
      <c r="I365" s="92">
        <v>50000</v>
      </c>
      <c r="J365" s="26">
        <f>SUM($I$4:I365)</f>
        <v>53162050.730000004</v>
      </c>
      <c r="K365" s="44">
        <f t="shared" si="5"/>
        <v>6.4699129300636806E-4</v>
      </c>
      <c r="L365" s="22"/>
      <c r="M365" s="22"/>
    </row>
    <row r="366" spans="2:13" ht="12.75">
      <c r="B366" s="21">
        <v>45072</v>
      </c>
      <c r="C366" s="16"/>
      <c r="D366" s="25" t="s">
        <v>268</v>
      </c>
      <c r="E366" s="22"/>
      <c r="F366" s="22"/>
      <c r="G366" s="25"/>
      <c r="H366" s="25"/>
      <c r="I366" s="92">
        <v>25</v>
      </c>
      <c r="J366" s="26">
        <f>SUM($I$4:I366)</f>
        <v>53162075.730000004</v>
      </c>
      <c r="K366" s="44">
        <f t="shared" si="5"/>
        <v>3.2349564650318404E-7</v>
      </c>
      <c r="L366" s="22"/>
      <c r="M366" s="22"/>
    </row>
    <row r="367" spans="2:13" ht="12.75">
      <c r="B367" s="21">
        <v>45072</v>
      </c>
      <c r="C367" s="16"/>
      <c r="D367" s="25" t="s">
        <v>268</v>
      </c>
      <c r="E367" s="22"/>
      <c r="F367" s="22"/>
      <c r="G367" s="25"/>
      <c r="H367" s="25"/>
      <c r="I367" s="92">
        <v>1.87</v>
      </c>
      <c r="J367" s="26">
        <f>SUM($I$4:I367)</f>
        <v>53162077.600000001</v>
      </c>
      <c r="K367" s="44">
        <f t="shared" si="5"/>
        <v>2.4197474358438168E-8</v>
      </c>
      <c r="L367" s="22"/>
      <c r="M367" s="22"/>
    </row>
    <row r="368" spans="2:13" ht="12.75">
      <c r="B368" s="21">
        <v>45072</v>
      </c>
      <c r="C368" s="16"/>
      <c r="D368" s="25" t="s">
        <v>284</v>
      </c>
      <c r="E368" s="22"/>
      <c r="F368" s="22"/>
      <c r="G368" s="25"/>
      <c r="H368" s="25"/>
      <c r="I368" s="92">
        <v>8000</v>
      </c>
      <c r="J368" s="26">
        <f>SUM($I$4:I368)</f>
        <v>53170077.600000001</v>
      </c>
      <c r="K368" s="44">
        <f t="shared" si="5"/>
        <v>1.0351860688101889E-4</v>
      </c>
      <c r="L368" s="22"/>
      <c r="M368" s="22"/>
    </row>
    <row r="369" spans="2:13" ht="12.75">
      <c r="B369" s="21">
        <v>45072</v>
      </c>
      <c r="C369" s="16"/>
      <c r="D369" s="25" t="s">
        <v>298</v>
      </c>
      <c r="E369" s="22"/>
      <c r="F369" s="22"/>
      <c r="G369" s="25"/>
      <c r="H369" s="25"/>
      <c r="I369" s="92">
        <v>36000</v>
      </c>
      <c r="J369" s="26">
        <f>SUM($I$4:I369)</f>
        <v>53206077.600000001</v>
      </c>
      <c r="K369" s="44">
        <f t="shared" si="5"/>
        <v>4.65833730964585E-4</v>
      </c>
      <c r="L369" s="22"/>
      <c r="M369" s="22"/>
    </row>
    <row r="370" spans="2:13" ht="12.75">
      <c r="B370" s="21">
        <v>45072</v>
      </c>
      <c r="C370" s="16"/>
      <c r="D370" s="25" t="s">
        <v>268</v>
      </c>
      <c r="E370" s="22"/>
      <c r="F370" s="22"/>
      <c r="G370" s="25"/>
      <c r="H370" s="25"/>
      <c r="I370" s="92">
        <v>25</v>
      </c>
      <c r="J370" s="26">
        <f>SUM($I$4:I370)</f>
        <v>53206102.600000001</v>
      </c>
      <c r="K370" s="44">
        <f t="shared" si="5"/>
        <v>3.2349564650318404E-7</v>
      </c>
      <c r="L370" s="22"/>
      <c r="M370" s="22"/>
    </row>
    <row r="371" spans="2:13" ht="12.75">
      <c r="B371" s="21">
        <v>45072</v>
      </c>
      <c r="C371" s="16"/>
      <c r="D371" s="25" t="s">
        <v>268</v>
      </c>
      <c r="E371" s="22"/>
      <c r="F371" s="22"/>
      <c r="G371" s="25"/>
      <c r="H371" s="25"/>
      <c r="I371" s="92">
        <v>1.87</v>
      </c>
      <c r="J371" s="26">
        <f>SUM($I$4:I371)</f>
        <v>53206104.469999999</v>
      </c>
      <c r="K371" s="44">
        <f t="shared" si="5"/>
        <v>2.4197474358438168E-8</v>
      </c>
      <c r="L371" s="22"/>
      <c r="M371" s="22"/>
    </row>
    <row r="372" spans="2:13" ht="12.75">
      <c r="B372" s="21">
        <v>45072</v>
      </c>
      <c r="C372" s="16"/>
      <c r="D372" s="25" t="s">
        <v>289</v>
      </c>
      <c r="E372" s="22"/>
      <c r="F372" s="22"/>
      <c r="G372" s="25"/>
      <c r="H372" s="25"/>
      <c r="I372" s="92">
        <v>10000</v>
      </c>
      <c r="J372" s="26">
        <f>SUM($I$4:I372)</f>
        <v>53216104.469999999</v>
      </c>
      <c r="K372" s="44">
        <f t="shared" si="5"/>
        <v>1.2939825860127361E-4</v>
      </c>
      <c r="L372" s="22"/>
      <c r="M372" s="22"/>
    </row>
    <row r="373" spans="2:13" ht="12.75">
      <c r="B373" s="21">
        <v>45072</v>
      </c>
      <c r="C373" s="16"/>
      <c r="D373" s="25" t="s">
        <v>268</v>
      </c>
      <c r="E373" s="22"/>
      <c r="F373" s="22"/>
      <c r="G373" s="25"/>
      <c r="H373" s="25"/>
      <c r="I373" s="92">
        <v>25</v>
      </c>
      <c r="J373" s="26">
        <f>SUM($I$4:I373)</f>
        <v>53216129.469999999</v>
      </c>
      <c r="K373" s="44">
        <f t="shared" si="5"/>
        <v>3.2349564650318404E-7</v>
      </c>
      <c r="L373" s="22"/>
      <c r="M373" s="22"/>
    </row>
    <row r="374" spans="2:13" ht="12.75">
      <c r="B374" s="21">
        <v>45072</v>
      </c>
      <c r="C374" s="16"/>
      <c r="D374" s="25" t="s">
        <v>268</v>
      </c>
      <c r="E374" s="22"/>
      <c r="F374" s="22"/>
      <c r="G374" s="25"/>
      <c r="H374" s="25"/>
      <c r="I374" s="92">
        <v>1.87</v>
      </c>
      <c r="J374" s="26">
        <f>SUM($I$4:I374)</f>
        <v>53216131.339999996</v>
      </c>
      <c r="K374" s="44">
        <f t="shared" si="5"/>
        <v>2.4197474358438168E-8</v>
      </c>
      <c r="L374" s="22"/>
      <c r="M374" s="22"/>
    </row>
    <row r="375" spans="2:13" ht="12.75">
      <c r="B375" s="21">
        <v>45072</v>
      </c>
      <c r="C375" s="16"/>
      <c r="D375" s="25" t="s">
        <v>265</v>
      </c>
      <c r="E375" s="22"/>
      <c r="F375" s="22"/>
      <c r="G375" s="25"/>
      <c r="H375" s="25"/>
      <c r="I375" s="92">
        <v>560000</v>
      </c>
      <c r="J375" s="26">
        <f>SUM($I$4:I375)</f>
        <v>53776131.339999996</v>
      </c>
      <c r="K375" s="44">
        <f t="shared" si="5"/>
        <v>7.2463024816713222E-3</v>
      </c>
      <c r="L375" s="22"/>
      <c r="M375" s="22"/>
    </row>
    <row r="376" spans="2:13" ht="12.75">
      <c r="B376" s="21">
        <v>45072</v>
      </c>
      <c r="C376" s="16"/>
      <c r="D376" s="25" t="s">
        <v>268</v>
      </c>
      <c r="E376" s="22"/>
      <c r="F376" s="22"/>
      <c r="G376" s="25"/>
      <c r="H376" s="25"/>
      <c r="I376" s="92">
        <v>50</v>
      </c>
      <c r="J376" s="26">
        <f>SUM($I$4:I376)</f>
        <v>53776181.339999996</v>
      </c>
      <c r="K376" s="44">
        <f t="shared" si="5"/>
        <v>6.4699129300636808E-7</v>
      </c>
      <c r="L376" s="22"/>
      <c r="M376" s="22"/>
    </row>
    <row r="377" spans="2:13" ht="12.75">
      <c r="B377" s="21">
        <v>45072</v>
      </c>
      <c r="C377" s="16"/>
      <c r="D377" s="25" t="s">
        <v>268</v>
      </c>
      <c r="E377" s="22"/>
      <c r="F377" s="22"/>
      <c r="G377" s="25"/>
      <c r="H377" s="25"/>
      <c r="I377" s="92">
        <v>3.75</v>
      </c>
      <c r="J377" s="26">
        <f>SUM($I$4:I377)</f>
        <v>53776185.089999996</v>
      </c>
      <c r="K377" s="44">
        <f t="shared" si="5"/>
        <v>4.8524346975477608E-8</v>
      </c>
      <c r="L377" s="22"/>
      <c r="M377" s="22"/>
    </row>
    <row r="378" spans="2:13" ht="12.75">
      <c r="B378" s="21">
        <v>45072</v>
      </c>
      <c r="C378" s="16"/>
      <c r="D378" s="25" t="s">
        <v>284</v>
      </c>
      <c r="E378" s="22"/>
      <c r="F378" s="22"/>
      <c r="G378" s="25"/>
      <c r="H378" s="25"/>
      <c r="I378" s="92">
        <v>4925</v>
      </c>
      <c r="J378" s="26">
        <f>SUM($I$4:I378)</f>
        <v>53781110.089999996</v>
      </c>
      <c r="K378" s="44">
        <f t="shared" si="5"/>
        <v>6.3728642361127259E-5</v>
      </c>
      <c r="L378" s="22"/>
      <c r="M378" s="22"/>
    </row>
    <row r="379" spans="2:13" ht="12.75">
      <c r="B379" s="21">
        <v>45072</v>
      </c>
      <c r="C379" s="16"/>
      <c r="D379" s="25" t="s">
        <v>268</v>
      </c>
      <c r="E379" s="22"/>
      <c r="F379" s="22"/>
      <c r="G379" s="25"/>
      <c r="H379" s="25"/>
      <c r="I379" s="92">
        <v>10</v>
      </c>
      <c r="J379" s="26">
        <f>SUM($I$4:I379)</f>
        <v>53781120.089999996</v>
      </c>
      <c r="K379" s="44">
        <f t="shared" si="5"/>
        <v>1.293982586012736E-7</v>
      </c>
      <c r="L379" s="22"/>
      <c r="M379" s="22"/>
    </row>
    <row r="380" spans="2:13" ht="12.75">
      <c r="B380" s="21">
        <v>45072</v>
      </c>
      <c r="C380" s="16"/>
      <c r="D380" s="25" t="s">
        <v>268</v>
      </c>
      <c r="E380" s="22"/>
      <c r="F380" s="22"/>
      <c r="G380" s="25"/>
      <c r="H380" s="25"/>
      <c r="I380" s="92">
        <v>0.75</v>
      </c>
      <c r="J380" s="26">
        <f>SUM($I$4:I380)</f>
        <v>53781120.839999996</v>
      </c>
      <c r="K380" s="44">
        <f t="shared" si="5"/>
        <v>9.7048693950955217E-9</v>
      </c>
      <c r="L380" s="22"/>
      <c r="M380" s="22"/>
    </row>
    <row r="381" spans="2:13" ht="12.75">
      <c r="B381" s="21">
        <v>45072</v>
      </c>
      <c r="C381" s="16"/>
      <c r="D381" s="25" t="s">
        <v>299</v>
      </c>
      <c r="E381" s="22"/>
      <c r="F381" s="22"/>
      <c r="G381" s="25"/>
      <c r="H381" s="25"/>
      <c r="I381" s="92">
        <v>30000</v>
      </c>
      <c r="J381" s="26">
        <f>SUM($I$4:I381)</f>
        <v>53811120.839999996</v>
      </c>
      <c r="K381" s="44">
        <f t="shared" si="5"/>
        <v>3.8819477580382083E-4</v>
      </c>
      <c r="L381" s="22"/>
      <c r="M381" s="22"/>
    </row>
    <row r="382" spans="2:13" ht="12.75">
      <c r="B382" s="21">
        <v>45072</v>
      </c>
      <c r="C382" s="16"/>
      <c r="D382" s="25" t="s">
        <v>268</v>
      </c>
      <c r="E382" s="22"/>
      <c r="F382" s="22"/>
      <c r="G382" s="25"/>
      <c r="H382" s="25"/>
      <c r="I382" s="92">
        <v>25</v>
      </c>
      <c r="J382" s="26">
        <f>SUM($I$4:I382)</f>
        <v>53811145.839999996</v>
      </c>
      <c r="K382" s="44">
        <f t="shared" si="5"/>
        <v>3.2349564650318404E-7</v>
      </c>
      <c r="L382" s="22"/>
      <c r="M382" s="22"/>
    </row>
    <row r="383" spans="2:13" ht="12.75">
      <c r="B383" s="21">
        <v>45072</v>
      </c>
      <c r="C383" s="16"/>
      <c r="D383" s="25" t="s">
        <v>268</v>
      </c>
      <c r="E383" s="22"/>
      <c r="F383" s="22"/>
      <c r="G383" s="25"/>
      <c r="H383" s="25"/>
      <c r="I383" s="92">
        <v>1.87</v>
      </c>
      <c r="J383" s="26">
        <f>SUM($I$4:I383)</f>
        <v>53811147.709999993</v>
      </c>
      <c r="K383" s="44">
        <f t="shared" si="5"/>
        <v>2.4197474358438168E-8</v>
      </c>
      <c r="L383" s="22"/>
      <c r="M383" s="22"/>
    </row>
    <row r="384" spans="2:13" ht="12.75">
      <c r="B384" s="21">
        <v>45072</v>
      </c>
      <c r="C384" s="16"/>
      <c r="D384" s="25" t="s">
        <v>276</v>
      </c>
      <c r="E384" s="22"/>
      <c r="F384" s="22"/>
      <c r="G384" s="25"/>
      <c r="H384" s="25"/>
      <c r="I384" s="92">
        <v>1200000</v>
      </c>
      <c r="J384" s="26">
        <f>SUM($I$4:I384)</f>
        <v>55011147.709999993</v>
      </c>
      <c r="K384" s="44">
        <f t="shared" si="5"/>
        <v>1.5527791032152833E-2</v>
      </c>
      <c r="L384" s="22"/>
      <c r="M384" s="22"/>
    </row>
    <row r="385" spans="2:13" ht="12.75">
      <c r="B385" s="21">
        <v>45072</v>
      </c>
      <c r="C385" s="16"/>
      <c r="D385" s="25" t="s">
        <v>268</v>
      </c>
      <c r="E385" s="22"/>
      <c r="F385" s="22"/>
      <c r="G385" s="25"/>
      <c r="H385" s="25"/>
      <c r="I385" s="92">
        <v>50</v>
      </c>
      <c r="J385" s="26">
        <f>SUM($I$4:I385)</f>
        <v>55011197.709999993</v>
      </c>
      <c r="K385" s="44">
        <f t="shared" si="5"/>
        <v>6.4699129300636808E-7</v>
      </c>
      <c r="L385" s="22"/>
      <c r="M385" s="22"/>
    </row>
    <row r="386" spans="2:13" ht="12.75">
      <c r="B386" s="21">
        <v>45072</v>
      </c>
      <c r="C386" s="16"/>
      <c r="D386" s="25" t="s">
        <v>276</v>
      </c>
      <c r="E386" s="22"/>
      <c r="F386" s="22"/>
      <c r="G386" s="25"/>
      <c r="H386" s="25"/>
      <c r="I386" s="92">
        <v>50000</v>
      </c>
      <c r="J386" s="26">
        <f>SUM($I$4:I386)</f>
        <v>55061197.709999993</v>
      </c>
      <c r="K386" s="44">
        <f t="shared" si="5"/>
        <v>6.4699129300636806E-4</v>
      </c>
      <c r="L386" s="22"/>
      <c r="M386" s="22"/>
    </row>
    <row r="387" spans="2:13" ht="12.75">
      <c r="B387" s="21">
        <v>45072</v>
      </c>
      <c r="C387" s="16"/>
      <c r="D387" s="25" t="s">
        <v>268</v>
      </c>
      <c r="E387" s="22"/>
      <c r="F387" s="22"/>
      <c r="G387" s="25"/>
      <c r="H387" s="25"/>
      <c r="I387" s="92">
        <v>50</v>
      </c>
      <c r="J387" s="26">
        <f>SUM($I$4:I387)</f>
        <v>55061247.709999993</v>
      </c>
      <c r="K387" s="44">
        <f t="shared" si="5"/>
        <v>6.4699129300636808E-7</v>
      </c>
      <c r="L387" s="22"/>
      <c r="M387" s="22"/>
    </row>
    <row r="388" spans="2:13" ht="12.75">
      <c r="B388" s="21">
        <v>45072</v>
      </c>
      <c r="C388" s="16"/>
      <c r="D388" s="25" t="s">
        <v>276</v>
      </c>
      <c r="E388" s="22"/>
      <c r="F388" s="22"/>
      <c r="G388" s="25"/>
      <c r="H388" s="25"/>
      <c r="I388" s="92">
        <v>50000</v>
      </c>
      <c r="J388" s="26">
        <f>SUM($I$4:I388)</f>
        <v>55111247.709999993</v>
      </c>
      <c r="K388" s="44">
        <f t="shared" si="5"/>
        <v>6.4699129300636806E-4</v>
      </c>
      <c r="L388" s="22"/>
      <c r="M388" s="22"/>
    </row>
    <row r="389" spans="2:13" ht="12.75">
      <c r="B389" s="21">
        <v>45072</v>
      </c>
      <c r="C389" s="16"/>
      <c r="D389" s="25" t="s">
        <v>268</v>
      </c>
      <c r="E389" s="22"/>
      <c r="F389" s="22"/>
      <c r="G389" s="25"/>
      <c r="H389" s="25"/>
      <c r="I389" s="92">
        <v>50</v>
      </c>
      <c r="J389" s="26">
        <f>SUM($I$4:I389)</f>
        <v>55111297.709999993</v>
      </c>
      <c r="K389" s="44">
        <f t="shared" ref="K389:K452" si="6">IF(SUM($I$4:$I$830)=0,"",I389/SUM($I$4:$I$830))</f>
        <v>6.4699129300636808E-7</v>
      </c>
      <c r="L389" s="22"/>
      <c r="M389" s="22"/>
    </row>
    <row r="390" spans="2:13" ht="12.75">
      <c r="B390" s="21">
        <v>45075</v>
      </c>
      <c r="C390" s="16"/>
      <c r="D390" s="25" t="s">
        <v>275</v>
      </c>
      <c r="E390" s="22"/>
      <c r="F390" s="22"/>
      <c r="G390" s="25"/>
      <c r="H390" s="25"/>
      <c r="I390" s="92">
        <v>59100</v>
      </c>
      <c r="J390" s="26">
        <f>SUM($I$4:I390)</f>
        <v>55170397.709999993</v>
      </c>
      <c r="K390" s="44">
        <f t="shared" si="6"/>
        <v>7.6474370833352705E-4</v>
      </c>
      <c r="L390" s="22"/>
      <c r="M390" s="22"/>
    </row>
    <row r="391" spans="2:13" ht="12.75">
      <c r="B391" s="21">
        <v>45075</v>
      </c>
      <c r="C391" s="16"/>
      <c r="D391" s="25" t="s">
        <v>275</v>
      </c>
      <c r="E391" s="22"/>
      <c r="F391" s="22"/>
      <c r="G391" s="25"/>
      <c r="H391" s="25"/>
      <c r="I391" s="92">
        <v>34680</v>
      </c>
      <c r="J391" s="26">
        <f>SUM($I$4:I391)</f>
        <v>55205077.709999993</v>
      </c>
      <c r="K391" s="44">
        <f t="shared" si="6"/>
        <v>4.4875316082921689E-4</v>
      </c>
      <c r="L391" s="22"/>
      <c r="M391" s="22"/>
    </row>
    <row r="392" spans="2:13" ht="12.75">
      <c r="B392" s="21">
        <v>45077</v>
      </c>
      <c r="C392" s="16"/>
      <c r="D392" s="25" t="s">
        <v>275</v>
      </c>
      <c r="E392" s="22"/>
      <c r="F392" s="22"/>
      <c r="G392" s="25"/>
      <c r="H392" s="25"/>
      <c r="I392" s="92">
        <v>23000</v>
      </c>
      <c r="J392" s="26">
        <f>SUM($I$4:I392)</f>
        <v>55228077.709999993</v>
      </c>
      <c r="K392" s="44">
        <f t="shared" si="6"/>
        <v>2.9761599478292931E-4</v>
      </c>
      <c r="L392" s="22"/>
      <c r="M392" s="22"/>
    </row>
    <row r="393" spans="2:13" ht="12.75">
      <c r="B393" s="21">
        <v>45077</v>
      </c>
      <c r="C393" s="16"/>
      <c r="D393" s="25" t="s">
        <v>268</v>
      </c>
      <c r="E393" s="22"/>
      <c r="F393" s="22"/>
      <c r="G393" s="25"/>
      <c r="H393" s="25"/>
      <c r="I393" s="92">
        <v>25</v>
      </c>
      <c r="J393" s="26">
        <f>SUM($I$4:I393)</f>
        <v>55228102.709999993</v>
      </c>
      <c r="K393" s="44">
        <f t="shared" si="6"/>
        <v>3.2349564650318404E-7</v>
      </c>
      <c r="L393" s="22"/>
      <c r="M393" s="22"/>
    </row>
    <row r="394" spans="2:13" ht="12.75">
      <c r="B394" s="21">
        <v>45077</v>
      </c>
      <c r="C394" s="16"/>
      <c r="D394" s="25" t="s">
        <v>268</v>
      </c>
      <c r="E394" s="22"/>
      <c r="F394" s="22"/>
      <c r="G394" s="25"/>
      <c r="H394" s="25"/>
      <c r="I394" s="92">
        <v>1.87</v>
      </c>
      <c r="J394" s="26">
        <f>SUM($I$4:I394)</f>
        <v>55228104.579999991</v>
      </c>
      <c r="K394" s="44">
        <f t="shared" si="6"/>
        <v>2.4197474358438168E-8</v>
      </c>
      <c r="L394" s="22"/>
      <c r="M394" s="22"/>
    </row>
    <row r="395" spans="2:13" ht="12.75">
      <c r="B395" s="21">
        <v>45077</v>
      </c>
      <c r="C395" s="16"/>
      <c r="D395" s="25" t="s">
        <v>268</v>
      </c>
      <c r="E395" s="22"/>
      <c r="F395" s="22"/>
      <c r="G395" s="25"/>
      <c r="H395" s="25"/>
      <c r="I395" s="92">
        <v>432</v>
      </c>
      <c r="J395" s="26">
        <f>SUM($I$4:I395)</f>
        <v>55228536.579999991</v>
      </c>
      <c r="K395" s="44">
        <f t="shared" si="6"/>
        <v>5.5900047715750205E-6</v>
      </c>
      <c r="L395" s="22"/>
      <c r="M395" s="22"/>
    </row>
    <row r="396" spans="2:13" ht="12.75">
      <c r="B396" s="21">
        <v>45077</v>
      </c>
      <c r="C396" s="16"/>
      <c r="D396" s="25" t="s">
        <v>268</v>
      </c>
      <c r="E396" s="22"/>
      <c r="F396" s="22"/>
      <c r="G396" s="25"/>
      <c r="H396" s="25"/>
      <c r="I396" s="92">
        <v>32.4</v>
      </c>
      <c r="J396" s="26">
        <f>SUM($I$4:I396)</f>
        <v>55228568.979999989</v>
      </c>
      <c r="K396" s="44">
        <f t="shared" si="6"/>
        <v>4.1925035786812647E-7</v>
      </c>
      <c r="L396" s="22"/>
      <c r="M396" s="22"/>
    </row>
    <row r="397" spans="2:13" ht="12.75">
      <c r="B397" s="21">
        <v>45077</v>
      </c>
      <c r="C397" s="16"/>
      <c r="D397" s="25" t="s">
        <v>268</v>
      </c>
      <c r="E397" s="22"/>
      <c r="F397" s="22"/>
      <c r="G397" s="25"/>
      <c r="H397" s="25"/>
      <c r="I397" s="92">
        <v>100</v>
      </c>
      <c r="J397" s="26">
        <f>SUM($I$4:I397)</f>
        <v>55228668.979999989</v>
      </c>
      <c r="K397" s="44">
        <f t="shared" si="6"/>
        <v>1.2939825860127362E-6</v>
      </c>
      <c r="L397" s="22"/>
      <c r="M397" s="22"/>
    </row>
    <row r="398" spans="2:13" ht="12.75">
      <c r="B398" s="21">
        <v>45077</v>
      </c>
      <c r="C398" s="16"/>
      <c r="D398" s="25" t="s">
        <v>264</v>
      </c>
      <c r="E398" s="22"/>
      <c r="F398" s="22"/>
      <c r="G398" s="25"/>
      <c r="H398" s="25"/>
      <c r="I398" s="92">
        <v>4642.0200000000004</v>
      </c>
      <c r="J398" s="26">
        <f>SUM($I$4:I398)</f>
        <v>55233310.999999993</v>
      </c>
      <c r="K398" s="44">
        <f t="shared" si="6"/>
        <v>6.0066930439228421E-5</v>
      </c>
      <c r="L398" s="22"/>
      <c r="M398" s="22"/>
    </row>
    <row r="399" spans="2:13" ht="12.75">
      <c r="B399" s="21">
        <v>45077</v>
      </c>
      <c r="C399" s="16"/>
      <c r="D399" s="25" t="s">
        <v>264</v>
      </c>
      <c r="E399" s="22"/>
      <c r="F399" s="22"/>
      <c r="G399" s="25"/>
      <c r="H399" s="25"/>
      <c r="I399" s="92">
        <v>348.15</v>
      </c>
      <c r="J399" s="26">
        <f>SUM($I$4:I399)</f>
        <v>55233659.149999991</v>
      </c>
      <c r="K399" s="44">
        <f t="shared" si="6"/>
        <v>4.5050003732033409E-6</v>
      </c>
      <c r="L399" s="22"/>
      <c r="M399" s="22"/>
    </row>
    <row r="400" spans="2:13" ht="12.75">
      <c r="B400" s="21">
        <v>45078</v>
      </c>
      <c r="C400" s="16"/>
      <c r="D400" s="25" t="s">
        <v>271</v>
      </c>
      <c r="E400" s="22"/>
      <c r="F400" s="22"/>
      <c r="G400" s="25"/>
      <c r="H400" s="25"/>
      <c r="I400" s="92">
        <v>7474675.1799999997</v>
      </c>
      <c r="J400" s="26">
        <f>SUM($I$4:I400)</f>
        <v>62708334.329999991</v>
      </c>
      <c r="K400" s="44">
        <f t="shared" si="6"/>
        <v>9.6720995190216139E-2</v>
      </c>
      <c r="L400" s="22"/>
      <c r="M400" s="22"/>
    </row>
    <row r="401" spans="2:13" ht="12.75">
      <c r="B401" s="21">
        <v>45078</v>
      </c>
      <c r="C401" s="16"/>
      <c r="D401" s="25" t="s">
        <v>268</v>
      </c>
      <c r="E401" s="22"/>
      <c r="F401" s="22"/>
      <c r="G401" s="25"/>
      <c r="H401" s="25"/>
      <c r="I401" s="92">
        <v>618.13</v>
      </c>
      <c r="J401" s="26">
        <f>SUM($I$4:I401)</f>
        <v>62708952.459999993</v>
      </c>
      <c r="K401" s="44">
        <f t="shared" si="6"/>
        <v>7.9984945589205263E-6</v>
      </c>
      <c r="L401" s="22"/>
      <c r="M401" s="22"/>
    </row>
    <row r="402" spans="2:13" ht="12.75">
      <c r="B402" s="21">
        <v>45078</v>
      </c>
      <c r="C402" s="16"/>
      <c r="D402" s="25" t="s">
        <v>268</v>
      </c>
      <c r="E402" s="22"/>
      <c r="F402" s="22"/>
      <c r="G402" s="25"/>
      <c r="H402" s="25"/>
      <c r="I402" s="92">
        <v>660</v>
      </c>
      <c r="J402" s="26">
        <f>SUM($I$4:I402)</f>
        <v>62709612.459999993</v>
      </c>
      <c r="K402" s="44">
        <f t="shared" si="6"/>
        <v>8.5402850676840591E-6</v>
      </c>
      <c r="L402" s="22"/>
      <c r="M402" s="22"/>
    </row>
    <row r="403" spans="2:13" ht="12.75">
      <c r="B403" s="21">
        <v>45078</v>
      </c>
      <c r="C403" s="16"/>
      <c r="D403" s="25" t="s">
        <v>268</v>
      </c>
      <c r="E403" s="22"/>
      <c r="F403" s="22"/>
      <c r="G403" s="25"/>
      <c r="H403" s="25"/>
      <c r="I403" s="92">
        <v>49.5</v>
      </c>
      <c r="J403" s="26">
        <f>SUM($I$4:I403)</f>
        <v>62709661.959999993</v>
      </c>
      <c r="K403" s="44">
        <f t="shared" si="6"/>
        <v>6.4052138007630443E-7</v>
      </c>
      <c r="L403" s="22"/>
      <c r="M403" s="22"/>
    </row>
    <row r="404" spans="2:13" ht="12.75">
      <c r="B404" s="21">
        <v>45079</v>
      </c>
      <c r="C404" s="16"/>
      <c r="D404" s="25" t="s">
        <v>295</v>
      </c>
      <c r="E404" s="22"/>
      <c r="F404" s="22"/>
      <c r="G404" s="25"/>
      <c r="H404" s="25"/>
      <c r="I404" s="92">
        <v>5500</v>
      </c>
      <c r="J404" s="26">
        <f>SUM($I$4:I404)</f>
        <v>62715161.959999993</v>
      </c>
      <c r="K404" s="44">
        <f t="shared" si="6"/>
        <v>7.1169042230700486E-5</v>
      </c>
      <c r="L404" s="22"/>
      <c r="M404" s="22"/>
    </row>
    <row r="405" spans="2:13" ht="12.75">
      <c r="B405" s="21">
        <v>45079</v>
      </c>
      <c r="C405" s="16"/>
      <c r="D405" s="25" t="s">
        <v>294</v>
      </c>
      <c r="E405" s="22"/>
      <c r="F405" s="22"/>
      <c r="G405" s="25"/>
      <c r="H405" s="25"/>
      <c r="I405" s="92">
        <v>6500</v>
      </c>
      <c r="J405" s="26">
        <f>SUM($I$4:I405)</f>
        <v>62721661.959999993</v>
      </c>
      <c r="K405" s="44">
        <f t="shared" si="6"/>
        <v>8.4108868090827847E-5</v>
      </c>
      <c r="L405" s="22"/>
      <c r="M405" s="22"/>
    </row>
    <row r="406" spans="2:13" ht="12.75">
      <c r="B406" s="21">
        <v>45079</v>
      </c>
      <c r="C406" s="16"/>
      <c r="D406" s="25" t="s">
        <v>287</v>
      </c>
      <c r="E406" s="22"/>
      <c r="F406" s="22"/>
      <c r="G406" s="25"/>
      <c r="H406" s="25"/>
      <c r="I406" s="92">
        <v>56390</v>
      </c>
      <c r="J406" s="26">
        <f>SUM($I$4:I406)</f>
        <v>62778051.959999993</v>
      </c>
      <c r="K406" s="44">
        <f t="shared" si="6"/>
        <v>7.296767802525819E-4</v>
      </c>
      <c r="L406" s="22"/>
      <c r="M406" s="22"/>
    </row>
    <row r="407" spans="2:13" ht="12.75">
      <c r="B407" s="21">
        <v>45079</v>
      </c>
      <c r="C407" s="16"/>
      <c r="D407" s="25" t="s">
        <v>286</v>
      </c>
      <c r="E407" s="22"/>
      <c r="F407" s="22"/>
      <c r="G407" s="25"/>
      <c r="H407" s="25"/>
      <c r="I407" s="92">
        <v>102250</v>
      </c>
      <c r="J407" s="26">
        <f>SUM($I$4:I407)</f>
        <v>62880301.959999993</v>
      </c>
      <c r="K407" s="44">
        <f t="shared" si="6"/>
        <v>1.3230971941980228E-3</v>
      </c>
      <c r="L407" s="22"/>
      <c r="M407" s="22"/>
    </row>
    <row r="408" spans="2:13" ht="12.75">
      <c r="B408" s="21">
        <v>45079</v>
      </c>
      <c r="C408" s="16"/>
      <c r="D408" s="25" t="s">
        <v>273</v>
      </c>
      <c r="E408" s="22"/>
      <c r="F408" s="22"/>
      <c r="G408" s="25"/>
      <c r="H408" s="25"/>
      <c r="I408" s="92">
        <v>20000</v>
      </c>
      <c r="J408" s="26">
        <f>SUM($I$4:I408)</f>
        <v>62900301.959999993</v>
      </c>
      <c r="K408" s="44">
        <f t="shared" si="6"/>
        <v>2.5879651720254722E-4</v>
      </c>
      <c r="L408" s="22"/>
      <c r="M408" s="22"/>
    </row>
    <row r="409" spans="2:13" ht="12.75">
      <c r="B409" s="21">
        <v>45079</v>
      </c>
      <c r="C409" s="16"/>
      <c r="D409" s="25" t="s">
        <v>290</v>
      </c>
      <c r="E409" s="22"/>
      <c r="F409" s="22"/>
      <c r="G409" s="25"/>
      <c r="H409" s="25"/>
      <c r="I409" s="92">
        <v>152000</v>
      </c>
      <c r="J409" s="26">
        <f>SUM($I$4:I409)</f>
        <v>63052301.959999993</v>
      </c>
      <c r="K409" s="44">
        <f t="shared" si="6"/>
        <v>1.9668535307393589E-3</v>
      </c>
      <c r="L409" s="22"/>
      <c r="M409" s="22"/>
    </row>
    <row r="410" spans="2:13" ht="12.75">
      <c r="B410" s="21">
        <v>45079</v>
      </c>
      <c r="C410" s="16"/>
      <c r="D410" s="25" t="s">
        <v>268</v>
      </c>
      <c r="E410" s="22"/>
      <c r="F410" s="22"/>
      <c r="G410" s="25"/>
      <c r="H410" s="25"/>
      <c r="I410" s="92">
        <v>50</v>
      </c>
      <c r="J410" s="26">
        <f>SUM($I$4:I410)</f>
        <v>63052351.959999993</v>
      </c>
      <c r="K410" s="44">
        <f t="shared" si="6"/>
        <v>6.4699129300636808E-7</v>
      </c>
      <c r="L410" s="22"/>
      <c r="M410" s="22"/>
    </row>
    <row r="411" spans="2:13" ht="12.75">
      <c r="B411" s="21">
        <v>45079</v>
      </c>
      <c r="C411" s="16"/>
      <c r="D411" s="25" t="s">
        <v>268</v>
      </c>
      <c r="E411" s="22"/>
      <c r="F411" s="22"/>
      <c r="G411" s="25"/>
      <c r="H411" s="25"/>
      <c r="I411" s="92">
        <v>3.75</v>
      </c>
      <c r="J411" s="26">
        <f>SUM($I$4:I411)</f>
        <v>63052355.709999993</v>
      </c>
      <c r="K411" s="44">
        <f t="shared" si="6"/>
        <v>4.8524346975477608E-8</v>
      </c>
      <c r="L411" s="22"/>
      <c r="M411" s="22"/>
    </row>
    <row r="412" spans="2:13" ht="12.75">
      <c r="B412" s="21">
        <v>45079</v>
      </c>
      <c r="C412" s="16"/>
      <c r="D412" s="25" t="s">
        <v>271</v>
      </c>
      <c r="E412" s="22"/>
      <c r="F412" s="22"/>
      <c r="G412" s="25"/>
      <c r="H412" s="25"/>
      <c r="I412" s="92">
        <v>60000</v>
      </c>
      <c r="J412" s="26">
        <f>SUM($I$4:I412)</f>
        <v>63112355.709999993</v>
      </c>
      <c r="K412" s="44">
        <f t="shared" si="6"/>
        <v>7.7638955160764167E-4</v>
      </c>
      <c r="L412" s="22"/>
      <c r="M412" s="22"/>
    </row>
    <row r="413" spans="2:13" ht="12.75">
      <c r="B413" s="21">
        <v>45079</v>
      </c>
      <c r="C413" s="16"/>
      <c r="D413" s="25" t="s">
        <v>268</v>
      </c>
      <c r="E413" s="22"/>
      <c r="F413" s="22"/>
      <c r="G413" s="25"/>
      <c r="H413" s="25"/>
      <c r="I413" s="92">
        <v>50</v>
      </c>
      <c r="J413" s="26">
        <f>SUM($I$4:I413)</f>
        <v>63112405.709999993</v>
      </c>
      <c r="K413" s="44">
        <f t="shared" si="6"/>
        <v>6.4699129300636808E-7</v>
      </c>
      <c r="L413" s="22"/>
      <c r="M413" s="22"/>
    </row>
    <row r="414" spans="2:13" ht="12.75">
      <c r="B414" s="21">
        <v>45079</v>
      </c>
      <c r="C414" s="16"/>
      <c r="D414" s="25" t="s">
        <v>268</v>
      </c>
      <c r="E414" s="22"/>
      <c r="F414" s="22"/>
      <c r="G414" s="25"/>
      <c r="H414" s="25"/>
      <c r="I414" s="92">
        <v>3.75</v>
      </c>
      <c r="J414" s="26">
        <f>SUM($I$4:I414)</f>
        <v>63112409.459999993</v>
      </c>
      <c r="K414" s="44">
        <f t="shared" si="6"/>
        <v>4.8524346975477608E-8</v>
      </c>
      <c r="L414" s="22"/>
      <c r="M414" s="22"/>
    </row>
    <row r="415" spans="2:13" ht="12.75">
      <c r="B415" s="21">
        <v>45079</v>
      </c>
      <c r="C415" s="16"/>
      <c r="D415" s="25" t="s">
        <v>268</v>
      </c>
      <c r="E415" s="22"/>
      <c r="F415" s="22"/>
      <c r="G415" s="25"/>
      <c r="H415" s="25"/>
      <c r="I415" s="92">
        <v>30000</v>
      </c>
      <c r="J415" s="26">
        <f>SUM($I$4:I415)</f>
        <v>63142409.459999993</v>
      </c>
      <c r="K415" s="44">
        <f t="shared" si="6"/>
        <v>3.8819477580382083E-4</v>
      </c>
      <c r="L415" s="22"/>
      <c r="M415" s="22"/>
    </row>
    <row r="416" spans="2:13" ht="12.75">
      <c r="B416" s="21">
        <v>45079</v>
      </c>
      <c r="C416" s="16"/>
      <c r="D416" s="25" t="s">
        <v>268</v>
      </c>
      <c r="E416" s="22"/>
      <c r="F416" s="22"/>
      <c r="G416" s="25"/>
      <c r="H416" s="25"/>
      <c r="I416" s="92">
        <v>25</v>
      </c>
      <c r="J416" s="26">
        <f>SUM($I$4:I416)</f>
        <v>63142434.459999993</v>
      </c>
      <c r="K416" s="44">
        <f t="shared" si="6"/>
        <v>3.2349564650318404E-7</v>
      </c>
      <c r="L416" s="22"/>
      <c r="M416" s="22"/>
    </row>
    <row r="417" spans="2:13" ht="12.75">
      <c r="B417" s="21">
        <v>45079</v>
      </c>
      <c r="C417" s="16"/>
      <c r="D417" s="25" t="s">
        <v>268</v>
      </c>
      <c r="E417" s="22"/>
      <c r="F417" s="22"/>
      <c r="G417" s="25"/>
      <c r="H417" s="25"/>
      <c r="I417" s="92">
        <v>1.87</v>
      </c>
      <c r="J417" s="26">
        <f>SUM($I$4:I417)</f>
        <v>63142436.329999991</v>
      </c>
      <c r="K417" s="44">
        <f t="shared" si="6"/>
        <v>2.4197474358438168E-8</v>
      </c>
      <c r="L417" s="22"/>
      <c r="M417" s="22"/>
    </row>
    <row r="418" spans="2:13" ht="12.75">
      <c r="B418" s="21">
        <v>45084</v>
      </c>
      <c r="C418" s="16"/>
      <c r="D418" s="25" t="s">
        <v>276</v>
      </c>
      <c r="E418" s="22"/>
      <c r="F418" s="22"/>
      <c r="G418" s="25"/>
      <c r="H418" s="25"/>
      <c r="I418" s="92">
        <v>860400</v>
      </c>
      <c r="J418" s="26">
        <f>SUM($I$4:I418)</f>
        <v>64002836.329999991</v>
      </c>
      <c r="K418" s="44">
        <f t="shared" si="6"/>
        <v>1.1133426170053582E-2</v>
      </c>
      <c r="L418" s="22"/>
      <c r="M418" s="22"/>
    </row>
    <row r="419" spans="2:13" ht="12.75">
      <c r="B419" s="21">
        <v>45084</v>
      </c>
      <c r="C419" s="16"/>
      <c r="D419" s="25" t="s">
        <v>268</v>
      </c>
      <c r="E419" s="22"/>
      <c r="F419" s="22"/>
      <c r="G419" s="25"/>
      <c r="H419" s="25"/>
      <c r="I419" s="92">
        <v>50</v>
      </c>
      <c r="J419" s="26">
        <f>SUM($I$4:I419)</f>
        <v>64002886.329999991</v>
      </c>
      <c r="K419" s="44">
        <f t="shared" si="6"/>
        <v>6.4699129300636808E-7</v>
      </c>
      <c r="L419" s="22"/>
      <c r="M419" s="22"/>
    </row>
    <row r="420" spans="2:13" ht="12.75">
      <c r="B420" s="21">
        <v>45084</v>
      </c>
      <c r="C420" s="16"/>
      <c r="D420" s="25" t="s">
        <v>271</v>
      </c>
      <c r="E420" s="22"/>
      <c r="F420" s="22"/>
      <c r="G420" s="25"/>
      <c r="H420" s="25"/>
      <c r="I420" s="92">
        <v>14000.82</v>
      </c>
      <c r="J420" s="26">
        <f>SUM($I$4:I420)</f>
        <v>64016887.149999991</v>
      </c>
      <c r="K420" s="44">
        <f t="shared" si="6"/>
        <v>1.8116817269898835E-4</v>
      </c>
      <c r="L420" s="22"/>
      <c r="M420" s="22"/>
    </row>
    <row r="421" spans="2:13" ht="12.75">
      <c r="B421" s="21">
        <v>45084</v>
      </c>
      <c r="C421" s="16"/>
      <c r="D421" s="25" t="s">
        <v>268</v>
      </c>
      <c r="E421" s="22"/>
      <c r="F421" s="22"/>
      <c r="G421" s="25"/>
      <c r="H421" s="25"/>
      <c r="I421" s="92">
        <v>25</v>
      </c>
      <c r="J421" s="26">
        <f>SUM($I$4:I421)</f>
        <v>64016912.149999991</v>
      </c>
      <c r="K421" s="44">
        <f t="shared" si="6"/>
        <v>3.2349564650318404E-7</v>
      </c>
      <c r="L421" s="22"/>
      <c r="M421" s="22"/>
    </row>
    <row r="422" spans="2:13" ht="12.75">
      <c r="B422" s="21">
        <v>45084</v>
      </c>
      <c r="C422" s="16"/>
      <c r="D422" s="25" t="s">
        <v>268</v>
      </c>
      <c r="E422" s="22"/>
      <c r="F422" s="22"/>
      <c r="G422" s="25"/>
      <c r="H422" s="25"/>
      <c r="I422" s="92">
        <v>1.87</v>
      </c>
      <c r="J422" s="26">
        <f>SUM($I$4:I422)</f>
        <v>64016914.019999988</v>
      </c>
      <c r="K422" s="44">
        <f t="shared" si="6"/>
        <v>2.4197474358438168E-8</v>
      </c>
      <c r="L422" s="22"/>
      <c r="M422" s="22"/>
    </row>
    <row r="423" spans="2:13" ht="12.75">
      <c r="B423" s="21">
        <v>45084</v>
      </c>
      <c r="C423" s="16"/>
      <c r="D423" s="25" t="s">
        <v>271</v>
      </c>
      <c r="E423" s="22"/>
      <c r="F423" s="22"/>
      <c r="G423" s="25"/>
      <c r="H423" s="25"/>
      <c r="I423" s="92">
        <v>57819.67</v>
      </c>
      <c r="J423" s="26">
        <f>SUM($I$4:I423)</f>
        <v>64074733.68999999</v>
      </c>
      <c r="K423" s="44">
        <f t="shared" si="6"/>
        <v>7.4817646109003023E-4</v>
      </c>
      <c r="L423" s="22"/>
      <c r="M423" s="22"/>
    </row>
    <row r="424" spans="2:13" ht="12.75">
      <c r="B424" s="21">
        <v>45084</v>
      </c>
      <c r="C424" s="16"/>
      <c r="D424" s="25" t="s">
        <v>268</v>
      </c>
      <c r="E424" s="22"/>
      <c r="F424" s="22"/>
      <c r="G424" s="25"/>
      <c r="H424" s="25"/>
      <c r="I424" s="92">
        <v>50</v>
      </c>
      <c r="J424" s="26">
        <f>SUM($I$4:I424)</f>
        <v>64074783.68999999</v>
      </c>
      <c r="K424" s="44">
        <f t="shared" si="6"/>
        <v>6.4699129300636808E-7</v>
      </c>
      <c r="L424" s="22"/>
      <c r="M424" s="22"/>
    </row>
    <row r="425" spans="2:13" ht="12.75">
      <c r="B425" s="21">
        <v>45084</v>
      </c>
      <c r="C425" s="16"/>
      <c r="D425" s="25" t="s">
        <v>268</v>
      </c>
      <c r="E425" s="22"/>
      <c r="F425" s="22"/>
      <c r="G425" s="25"/>
      <c r="H425" s="25"/>
      <c r="I425" s="92">
        <v>3.75</v>
      </c>
      <c r="J425" s="26">
        <f>SUM($I$4:I425)</f>
        <v>64074787.43999999</v>
      </c>
      <c r="K425" s="44">
        <f t="shared" si="6"/>
        <v>4.8524346975477608E-8</v>
      </c>
      <c r="L425" s="22"/>
      <c r="M425" s="22"/>
    </row>
    <row r="426" spans="2:13" ht="12.75">
      <c r="B426" s="21">
        <v>45084</v>
      </c>
      <c r="C426" s="16"/>
      <c r="D426" s="25" t="s">
        <v>268</v>
      </c>
      <c r="E426" s="22"/>
      <c r="F426" s="22"/>
      <c r="G426" s="25"/>
      <c r="H426" s="25"/>
      <c r="I426" s="92">
        <v>100</v>
      </c>
      <c r="J426" s="26">
        <f>SUM($I$4:I426)</f>
        <v>64074887.43999999</v>
      </c>
      <c r="K426" s="44">
        <f t="shared" si="6"/>
        <v>1.2939825860127362E-6</v>
      </c>
      <c r="L426" s="22"/>
      <c r="M426" s="22"/>
    </row>
    <row r="427" spans="2:13" ht="12.75">
      <c r="B427" s="21">
        <v>45084</v>
      </c>
      <c r="C427" s="16"/>
      <c r="D427" s="25" t="s">
        <v>286</v>
      </c>
      <c r="E427" s="22"/>
      <c r="F427" s="22"/>
      <c r="G427" s="25"/>
      <c r="H427" s="25"/>
      <c r="I427" s="92">
        <v>5911.25</v>
      </c>
      <c r="J427" s="26">
        <f>SUM($I$4:I427)</f>
        <v>64080798.68999999</v>
      </c>
      <c r="K427" s="44">
        <f t="shared" si="6"/>
        <v>7.6490545615677863E-5</v>
      </c>
      <c r="L427" s="22"/>
      <c r="M427" s="22"/>
    </row>
    <row r="428" spans="2:13" ht="12.75">
      <c r="B428" s="21">
        <v>45084</v>
      </c>
      <c r="C428" s="16"/>
      <c r="D428" s="25" t="s">
        <v>271</v>
      </c>
      <c r="E428" s="22"/>
      <c r="F428" s="22"/>
      <c r="G428" s="25"/>
      <c r="H428" s="25"/>
      <c r="I428" s="92">
        <v>8250.51</v>
      </c>
      <c r="J428" s="26">
        <f>SUM($I$4:I428)</f>
        <v>64089049.199999988</v>
      </c>
      <c r="K428" s="44">
        <f t="shared" si="6"/>
        <v>1.067601626572394E-4</v>
      </c>
      <c r="L428" s="22"/>
      <c r="M428" s="22"/>
    </row>
    <row r="429" spans="2:13" ht="12.75">
      <c r="B429" s="21">
        <v>45084</v>
      </c>
      <c r="C429" s="16"/>
      <c r="D429" s="25" t="s">
        <v>268</v>
      </c>
      <c r="E429" s="22"/>
      <c r="F429" s="22"/>
      <c r="G429" s="25"/>
      <c r="H429" s="25"/>
      <c r="I429" s="92">
        <v>25</v>
      </c>
      <c r="J429" s="26">
        <f>SUM($I$4:I429)</f>
        <v>64089074.199999988</v>
      </c>
      <c r="K429" s="44">
        <f t="shared" si="6"/>
        <v>3.2349564650318404E-7</v>
      </c>
      <c r="L429" s="22"/>
      <c r="M429" s="22"/>
    </row>
    <row r="430" spans="2:13" ht="12.75">
      <c r="B430" s="21">
        <v>45084</v>
      </c>
      <c r="C430" s="16"/>
      <c r="D430" s="25" t="s">
        <v>268</v>
      </c>
      <c r="E430" s="22"/>
      <c r="F430" s="22"/>
      <c r="G430" s="25"/>
      <c r="H430" s="25"/>
      <c r="I430" s="92">
        <v>1.87</v>
      </c>
      <c r="J430" s="26">
        <f>SUM($I$4:I430)</f>
        <v>64089076.069999985</v>
      </c>
      <c r="K430" s="44">
        <f t="shared" si="6"/>
        <v>2.4197474358438168E-8</v>
      </c>
      <c r="L430" s="22"/>
      <c r="M430" s="22"/>
    </row>
    <row r="431" spans="2:13" ht="12.75">
      <c r="B431" s="21">
        <v>45084</v>
      </c>
      <c r="C431" s="16"/>
      <c r="D431" s="25" t="s">
        <v>272</v>
      </c>
      <c r="E431" s="22"/>
      <c r="F431" s="22"/>
      <c r="G431" s="25"/>
      <c r="H431" s="25"/>
      <c r="I431" s="92">
        <v>916507.66</v>
      </c>
      <c r="J431" s="26">
        <f>SUM($I$4:I431)</f>
        <v>65005583.729999982</v>
      </c>
      <c r="K431" s="44">
        <f t="shared" si="6"/>
        <v>1.1859449519872816E-2</v>
      </c>
      <c r="L431" s="22"/>
      <c r="M431" s="22"/>
    </row>
    <row r="432" spans="2:13" ht="12.75">
      <c r="B432" s="21">
        <v>45084</v>
      </c>
      <c r="C432" s="16"/>
      <c r="D432" s="25" t="s">
        <v>268</v>
      </c>
      <c r="E432" s="22"/>
      <c r="F432" s="22"/>
      <c r="G432" s="25"/>
      <c r="H432" s="25"/>
      <c r="I432" s="92">
        <v>100</v>
      </c>
      <c r="J432" s="26">
        <f>SUM($I$4:I432)</f>
        <v>65005683.729999982</v>
      </c>
      <c r="K432" s="44">
        <f t="shared" si="6"/>
        <v>1.2939825860127362E-6</v>
      </c>
      <c r="L432" s="22"/>
      <c r="M432" s="22"/>
    </row>
    <row r="433" spans="2:13" ht="12.75">
      <c r="B433" s="21">
        <v>45084</v>
      </c>
      <c r="C433" s="16"/>
      <c r="D433" s="25" t="s">
        <v>271</v>
      </c>
      <c r="E433" s="22"/>
      <c r="F433" s="22"/>
      <c r="G433" s="25"/>
      <c r="H433" s="25"/>
      <c r="I433" s="92">
        <v>109975.05</v>
      </c>
      <c r="J433" s="26">
        <f>SUM($I$4:I433)</f>
        <v>65115658.779999979</v>
      </c>
      <c r="K433" s="44">
        <f t="shared" si="6"/>
        <v>1.4230579959587997E-3</v>
      </c>
      <c r="L433" s="22"/>
      <c r="M433" s="22"/>
    </row>
    <row r="434" spans="2:13" ht="12.75">
      <c r="B434" s="21">
        <v>45084</v>
      </c>
      <c r="C434" s="16"/>
      <c r="D434" s="25" t="s">
        <v>268</v>
      </c>
      <c r="E434" s="22"/>
      <c r="F434" s="22"/>
      <c r="G434" s="25"/>
      <c r="H434" s="25"/>
      <c r="I434" s="92">
        <v>45</v>
      </c>
      <c r="J434" s="26">
        <f>SUM($I$4:I434)</f>
        <v>65115703.779999979</v>
      </c>
      <c r="K434" s="44">
        <f t="shared" si="6"/>
        <v>5.822921637057313E-7</v>
      </c>
      <c r="L434" s="22"/>
      <c r="M434" s="22"/>
    </row>
    <row r="435" spans="2:13" ht="12.75">
      <c r="B435" s="21">
        <v>45084</v>
      </c>
      <c r="C435" s="16"/>
      <c r="D435" s="25" t="s">
        <v>268</v>
      </c>
      <c r="E435" s="22"/>
      <c r="F435" s="22"/>
      <c r="G435" s="25"/>
      <c r="H435" s="25"/>
      <c r="I435" s="92">
        <v>3.38</v>
      </c>
      <c r="J435" s="26">
        <f>SUM($I$4:I435)</f>
        <v>65115707.159999982</v>
      </c>
      <c r="K435" s="44">
        <f t="shared" si="6"/>
        <v>4.373661140723048E-8</v>
      </c>
      <c r="L435" s="22"/>
      <c r="M435" s="22"/>
    </row>
    <row r="436" spans="2:13" ht="12.75">
      <c r="B436" s="21">
        <v>45084</v>
      </c>
      <c r="C436" s="16"/>
      <c r="D436" s="25" t="s">
        <v>271</v>
      </c>
      <c r="E436" s="22"/>
      <c r="F436" s="22"/>
      <c r="G436" s="25"/>
      <c r="H436" s="25"/>
      <c r="I436" s="92">
        <v>74774.58</v>
      </c>
      <c r="J436" s="26">
        <f>SUM($I$4:I436)</f>
        <v>65190481.73999998</v>
      </c>
      <c r="K436" s="44">
        <f t="shared" si="6"/>
        <v>9.6757004396416223E-4</v>
      </c>
      <c r="L436" s="22"/>
      <c r="M436" s="22"/>
    </row>
    <row r="437" spans="2:13" ht="12.75">
      <c r="B437" s="21">
        <v>45091</v>
      </c>
      <c r="C437" s="16"/>
      <c r="D437" s="25" t="s">
        <v>268</v>
      </c>
      <c r="E437" s="22"/>
      <c r="F437" s="22"/>
      <c r="G437" s="25"/>
      <c r="H437" s="25"/>
      <c r="I437" s="92">
        <v>100</v>
      </c>
      <c r="J437" s="26">
        <f>SUM($I$4:I437)</f>
        <v>65190581.73999998</v>
      </c>
      <c r="K437" s="44">
        <f t="shared" si="6"/>
        <v>1.2939825860127362E-6</v>
      </c>
      <c r="L437" s="22"/>
      <c r="M437" s="22"/>
    </row>
    <row r="438" spans="2:13" ht="12.75">
      <c r="B438" s="21">
        <v>45091</v>
      </c>
      <c r="C438" s="16"/>
      <c r="D438" s="25" t="s">
        <v>272</v>
      </c>
      <c r="E438" s="22"/>
      <c r="F438" s="22"/>
      <c r="G438" s="25"/>
      <c r="H438" s="25"/>
      <c r="I438" s="92">
        <v>3127.63</v>
      </c>
      <c r="J438" s="26">
        <f>SUM($I$4:I438)</f>
        <v>65193709.369999982</v>
      </c>
      <c r="K438" s="44">
        <f t="shared" si="6"/>
        <v>4.0470987554910139E-5</v>
      </c>
      <c r="L438" s="22"/>
      <c r="M438" s="22"/>
    </row>
    <row r="439" spans="2:13" ht="12.75">
      <c r="B439" s="21">
        <v>45091</v>
      </c>
      <c r="C439" s="16"/>
      <c r="D439" s="25" t="s">
        <v>278</v>
      </c>
      <c r="E439" s="22"/>
      <c r="F439" s="22"/>
      <c r="G439" s="25"/>
      <c r="H439" s="25"/>
      <c r="I439" s="92">
        <v>91210</v>
      </c>
      <c r="J439" s="26">
        <f>SUM($I$4:I439)</f>
        <v>65284919.369999982</v>
      </c>
      <c r="K439" s="44">
        <f t="shared" si="6"/>
        <v>1.1802415167022167E-3</v>
      </c>
      <c r="L439" s="22"/>
      <c r="M439" s="22"/>
    </row>
    <row r="440" spans="2:13" ht="12.75">
      <c r="B440" s="21">
        <v>45091</v>
      </c>
      <c r="C440" s="16"/>
      <c r="D440" s="25" t="s">
        <v>268</v>
      </c>
      <c r="E440" s="22"/>
      <c r="F440" s="22"/>
      <c r="G440" s="25"/>
      <c r="H440" s="25"/>
      <c r="I440" s="92">
        <v>50</v>
      </c>
      <c r="J440" s="26">
        <f>SUM($I$4:I440)</f>
        <v>65284969.369999982</v>
      </c>
      <c r="K440" s="44">
        <f t="shared" si="6"/>
        <v>6.4699129300636808E-7</v>
      </c>
      <c r="L440" s="22"/>
      <c r="M440" s="22"/>
    </row>
    <row r="441" spans="2:13" ht="12.75">
      <c r="B441" s="21">
        <v>45091</v>
      </c>
      <c r="C441" s="16"/>
      <c r="D441" s="25" t="s">
        <v>268</v>
      </c>
      <c r="E441" s="22"/>
      <c r="F441" s="22"/>
      <c r="G441" s="25"/>
      <c r="H441" s="25"/>
      <c r="I441" s="92">
        <v>3.75</v>
      </c>
      <c r="J441" s="26">
        <f>SUM($I$4:I441)</f>
        <v>65284973.119999982</v>
      </c>
      <c r="K441" s="44">
        <f t="shared" si="6"/>
        <v>4.8524346975477608E-8</v>
      </c>
      <c r="L441" s="22"/>
      <c r="M441" s="22"/>
    </row>
    <row r="442" spans="2:13" ht="12.75">
      <c r="B442" s="21">
        <v>45092</v>
      </c>
      <c r="C442" s="16"/>
      <c r="D442" s="25" t="s">
        <v>271</v>
      </c>
      <c r="E442" s="22"/>
      <c r="F442" s="22"/>
      <c r="G442" s="25"/>
      <c r="H442" s="25"/>
      <c r="I442" s="92">
        <v>63024.29</v>
      </c>
      <c r="J442" s="26">
        <f>SUM($I$4:I442)</f>
        <v>65347997.409999982</v>
      </c>
      <c r="K442" s="44">
        <f t="shared" si="6"/>
        <v>8.1552333755816628E-4</v>
      </c>
      <c r="L442" s="22"/>
      <c r="M442" s="22"/>
    </row>
    <row r="443" spans="2:13" ht="12.75">
      <c r="B443" s="21">
        <v>45092</v>
      </c>
      <c r="C443" s="16"/>
      <c r="D443" s="25" t="s">
        <v>268</v>
      </c>
      <c r="E443" s="22"/>
      <c r="F443" s="22"/>
      <c r="G443" s="25"/>
      <c r="H443" s="25"/>
      <c r="I443" s="92">
        <v>50</v>
      </c>
      <c r="J443" s="26">
        <f>SUM($I$4:I443)</f>
        <v>65348047.409999982</v>
      </c>
      <c r="K443" s="44">
        <f t="shared" si="6"/>
        <v>6.4699129300636808E-7</v>
      </c>
      <c r="L443" s="22"/>
      <c r="M443" s="22"/>
    </row>
    <row r="444" spans="2:13" ht="12.75">
      <c r="B444" s="21">
        <v>45098</v>
      </c>
      <c r="C444" s="16"/>
      <c r="D444" s="25" t="s">
        <v>271</v>
      </c>
      <c r="E444" s="22"/>
      <c r="F444" s="22"/>
      <c r="G444" s="25"/>
      <c r="H444" s="25"/>
      <c r="I444" s="92">
        <v>111093.66</v>
      </c>
      <c r="J444" s="26">
        <f>SUM($I$4:I444)</f>
        <v>65459141.069999978</v>
      </c>
      <c r="K444" s="44">
        <f t="shared" si="6"/>
        <v>1.4375326145641967E-3</v>
      </c>
      <c r="L444" s="22"/>
      <c r="M444" s="22"/>
    </row>
    <row r="445" spans="2:13" ht="12.75">
      <c r="B445" s="21">
        <v>45098</v>
      </c>
      <c r="C445" s="16"/>
      <c r="D445" s="25" t="s">
        <v>271</v>
      </c>
      <c r="E445" s="22"/>
      <c r="F445" s="22"/>
      <c r="G445" s="25"/>
      <c r="H445" s="25"/>
      <c r="I445" s="92">
        <v>100994.24000000001</v>
      </c>
      <c r="J445" s="26">
        <f>SUM($I$4:I445)</f>
        <v>65560135.30999998</v>
      </c>
      <c r="K445" s="44">
        <f t="shared" si="6"/>
        <v>1.3068478784759093E-3</v>
      </c>
      <c r="L445" s="22"/>
      <c r="M445" s="22"/>
    </row>
    <row r="446" spans="2:13" ht="12.75">
      <c r="B446" s="21">
        <v>45098</v>
      </c>
      <c r="C446" s="16"/>
      <c r="D446" s="25" t="s">
        <v>268</v>
      </c>
      <c r="E446" s="22"/>
      <c r="F446" s="22"/>
      <c r="G446" s="25"/>
      <c r="H446" s="25"/>
      <c r="I446" s="92">
        <v>50</v>
      </c>
      <c r="J446" s="26">
        <f>SUM($I$4:I446)</f>
        <v>65560185.30999998</v>
      </c>
      <c r="K446" s="44">
        <f t="shared" si="6"/>
        <v>6.4699129300636808E-7</v>
      </c>
      <c r="L446" s="22"/>
      <c r="M446" s="22"/>
    </row>
    <row r="447" spans="2:13" ht="12.75">
      <c r="B447" s="21">
        <v>45098</v>
      </c>
      <c r="C447" s="16"/>
      <c r="D447" s="25" t="s">
        <v>268</v>
      </c>
      <c r="E447" s="22"/>
      <c r="F447" s="22"/>
      <c r="G447" s="25"/>
      <c r="H447" s="25"/>
      <c r="I447" s="92">
        <v>3.75</v>
      </c>
      <c r="J447" s="26">
        <f>SUM($I$4:I447)</f>
        <v>65560189.05999998</v>
      </c>
      <c r="K447" s="44">
        <f t="shared" si="6"/>
        <v>4.8524346975477608E-8</v>
      </c>
      <c r="L447" s="22"/>
      <c r="M447" s="22"/>
    </row>
    <row r="448" spans="2:13" ht="12.75">
      <c r="B448" s="21">
        <v>45103</v>
      </c>
      <c r="C448" s="16"/>
      <c r="D448" s="25" t="s">
        <v>275</v>
      </c>
      <c r="E448" s="22"/>
      <c r="F448" s="22"/>
      <c r="G448" s="25"/>
      <c r="H448" s="25"/>
      <c r="I448" s="92">
        <v>124050</v>
      </c>
      <c r="J448" s="26">
        <f>SUM($I$4:I448)</f>
        <v>65684239.05999998</v>
      </c>
      <c r="K448" s="44">
        <f t="shared" si="6"/>
        <v>1.6051853979487992E-3</v>
      </c>
      <c r="L448" s="22"/>
      <c r="M448" s="22"/>
    </row>
    <row r="449" spans="2:13" ht="12.75">
      <c r="B449" s="21">
        <v>45103</v>
      </c>
      <c r="C449" s="16"/>
      <c r="D449" s="25" t="s">
        <v>275</v>
      </c>
      <c r="E449" s="22"/>
      <c r="F449" s="22"/>
      <c r="G449" s="25"/>
      <c r="H449" s="25"/>
      <c r="I449" s="92">
        <v>23700</v>
      </c>
      <c r="J449" s="26">
        <f>SUM($I$4:I449)</f>
        <v>65707939.05999998</v>
      </c>
      <c r="K449" s="44">
        <f t="shared" si="6"/>
        <v>3.0667387288501848E-4</v>
      </c>
      <c r="L449" s="22"/>
      <c r="M449" s="22"/>
    </row>
    <row r="450" spans="2:13" ht="12.75">
      <c r="B450" s="21">
        <v>45103</v>
      </c>
      <c r="C450" s="16"/>
      <c r="D450" s="25" t="s">
        <v>268</v>
      </c>
      <c r="E450" s="22"/>
      <c r="F450" s="22"/>
      <c r="G450" s="25"/>
      <c r="H450" s="25"/>
      <c r="I450" s="92">
        <v>25</v>
      </c>
      <c r="J450" s="26">
        <f>SUM($I$4:I450)</f>
        <v>65707964.05999998</v>
      </c>
      <c r="K450" s="44">
        <f t="shared" si="6"/>
        <v>3.2349564650318404E-7</v>
      </c>
      <c r="L450" s="22"/>
      <c r="M450" s="22"/>
    </row>
    <row r="451" spans="2:13" ht="12.75">
      <c r="B451" s="21">
        <v>45103</v>
      </c>
      <c r="C451" s="16"/>
      <c r="D451" s="25" t="s">
        <v>268</v>
      </c>
      <c r="E451" s="22"/>
      <c r="F451" s="22"/>
      <c r="G451" s="25"/>
      <c r="H451" s="25"/>
      <c r="I451" s="92">
        <v>1.87</v>
      </c>
      <c r="J451" s="26">
        <f>SUM($I$4:I451)</f>
        <v>65707965.929999977</v>
      </c>
      <c r="K451" s="44">
        <f t="shared" si="6"/>
        <v>2.4197474358438168E-8</v>
      </c>
      <c r="L451" s="22"/>
      <c r="M451" s="22"/>
    </row>
    <row r="452" spans="2:13" ht="12.75">
      <c r="B452" s="21">
        <v>45103</v>
      </c>
      <c r="C452" s="16"/>
      <c r="D452" s="25" t="s">
        <v>289</v>
      </c>
      <c r="E452" s="22"/>
      <c r="F452" s="22"/>
      <c r="G452" s="25"/>
      <c r="H452" s="25"/>
      <c r="I452" s="92">
        <v>300000</v>
      </c>
      <c r="J452" s="26">
        <f>SUM($I$4:I452)</f>
        <v>66007965.929999977</v>
      </c>
      <c r="K452" s="44">
        <f t="shared" si="6"/>
        <v>3.8819477580382083E-3</v>
      </c>
      <c r="L452" s="22"/>
      <c r="M452" s="22"/>
    </row>
    <row r="453" spans="2:13" ht="12.75">
      <c r="B453" s="21">
        <v>45103</v>
      </c>
      <c r="C453" s="16"/>
      <c r="D453" s="25" t="s">
        <v>271</v>
      </c>
      <c r="E453" s="22"/>
      <c r="F453" s="22"/>
      <c r="G453" s="25"/>
      <c r="H453" s="25"/>
      <c r="I453" s="92">
        <v>111093.66</v>
      </c>
      <c r="J453" s="26">
        <f>SUM($I$4:I453)</f>
        <v>66119059.589999974</v>
      </c>
      <c r="K453" s="44">
        <f t="shared" ref="K453:K516" si="7">IF(SUM($I$4:$I$830)=0,"",I453/SUM($I$4:$I$830))</f>
        <v>1.4375326145641967E-3</v>
      </c>
      <c r="L453" s="22"/>
      <c r="M453" s="22"/>
    </row>
    <row r="454" spans="2:13" ht="12.75">
      <c r="B454" s="21">
        <v>45103</v>
      </c>
      <c r="C454" s="16"/>
      <c r="D454" s="25" t="s">
        <v>268</v>
      </c>
      <c r="E454" s="22"/>
      <c r="F454" s="22"/>
      <c r="G454" s="25"/>
      <c r="H454" s="25"/>
      <c r="I454" s="92">
        <v>50</v>
      </c>
      <c r="J454" s="26">
        <f>SUM($I$4:I454)</f>
        <v>66119109.589999974</v>
      </c>
      <c r="K454" s="44">
        <f t="shared" si="7"/>
        <v>6.4699129300636808E-7</v>
      </c>
      <c r="L454" s="22"/>
      <c r="M454" s="22"/>
    </row>
    <row r="455" spans="2:13" ht="12.75">
      <c r="B455" s="21">
        <v>45103</v>
      </c>
      <c r="C455" s="16"/>
      <c r="D455" s="25" t="s">
        <v>268</v>
      </c>
      <c r="E455" s="22"/>
      <c r="F455" s="22"/>
      <c r="G455" s="25"/>
      <c r="H455" s="25"/>
      <c r="I455" s="92">
        <v>3.75</v>
      </c>
      <c r="J455" s="26">
        <f>SUM($I$4:I455)</f>
        <v>66119113.339999974</v>
      </c>
      <c r="K455" s="44">
        <f t="shared" si="7"/>
        <v>4.8524346975477608E-8</v>
      </c>
      <c r="L455" s="22"/>
      <c r="M455" s="22"/>
    </row>
    <row r="456" spans="2:13" ht="12.75">
      <c r="B456" s="21">
        <v>45103</v>
      </c>
      <c r="C456" s="16"/>
      <c r="D456" s="25" t="s">
        <v>280</v>
      </c>
      <c r="E456" s="22"/>
      <c r="F456" s="22"/>
      <c r="G456" s="25"/>
      <c r="H456" s="25"/>
      <c r="I456" s="92">
        <v>9505.93</v>
      </c>
      <c r="J456" s="26">
        <f>SUM($I$4:I456)</f>
        <v>66128619.269999973</v>
      </c>
      <c r="K456" s="44">
        <f t="shared" si="7"/>
        <v>1.230050788385605E-4</v>
      </c>
      <c r="L456" s="22"/>
      <c r="M456" s="22"/>
    </row>
    <row r="457" spans="2:13" ht="12.75">
      <c r="B457" s="21">
        <v>45107</v>
      </c>
      <c r="C457" s="16"/>
      <c r="D457" s="25" t="s">
        <v>268</v>
      </c>
      <c r="E457" s="22"/>
      <c r="F457" s="22"/>
      <c r="G457" s="25"/>
      <c r="H457" s="25"/>
      <c r="I457" s="92">
        <v>352</v>
      </c>
      <c r="J457" s="26">
        <f>SUM($I$4:I457)</f>
        <v>66128971.269999973</v>
      </c>
      <c r="K457" s="44">
        <f t="shared" si="7"/>
        <v>4.5548187027648312E-6</v>
      </c>
      <c r="L457" s="22"/>
      <c r="M457" s="22"/>
    </row>
    <row r="458" spans="2:13" ht="12.75">
      <c r="B458" s="21">
        <v>45107</v>
      </c>
      <c r="C458" s="16"/>
      <c r="D458" s="25" t="s">
        <v>268</v>
      </c>
      <c r="E458" s="22"/>
      <c r="F458" s="22"/>
      <c r="G458" s="25"/>
      <c r="H458" s="25"/>
      <c r="I458" s="92">
        <v>26.4</v>
      </c>
      <c r="J458" s="26">
        <f>SUM($I$4:I458)</f>
        <v>66128997.669999972</v>
      </c>
      <c r="K458" s="44">
        <f t="shared" si="7"/>
        <v>3.4161140270736235E-7</v>
      </c>
      <c r="L458" s="22"/>
      <c r="M458" s="22"/>
    </row>
    <row r="459" spans="2:13" ht="12.75">
      <c r="B459" s="21">
        <v>45107</v>
      </c>
      <c r="C459" s="16"/>
      <c r="D459" s="25" t="s">
        <v>276</v>
      </c>
      <c r="E459" s="22"/>
      <c r="F459" s="22"/>
      <c r="G459" s="25"/>
      <c r="H459" s="25"/>
      <c r="I459" s="92">
        <v>1200000</v>
      </c>
      <c r="J459" s="26">
        <f>SUM($I$4:I459)</f>
        <v>67328997.669999972</v>
      </c>
      <c r="K459" s="44">
        <f t="shared" si="7"/>
        <v>1.5527791032152833E-2</v>
      </c>
      <c r="L459" s="22"/>
      <c r="M459" s="22"/>
    </row>
    <row r="460" spans="2:13" ht="12.75">
      <c r="B460" s="21">
        <v>45107</v>
      </c>
      <c r="C460" s="16"/>
      <c r="D460" s="25" t="s">
        <v>268</v>
      </c>
      <c r="E460" s="22"/>
      <c r="F460" s="22"/>
      <c r="G460" s="25"/>
      <c r="H460" s="25"/>
      <c r="I460" s="92">
        <v>50</v>
      </c>
      <c r="J460" s="26">
        <f>SUM($I$4:I460)</f>
        <v>67329047.669999972</v>
      </c>
      <c r="K460" s="44">
        <f t="shared" si="7"/>
        <v>6.4699129300636808E-7</v>
      </c>
      <c r="L460" s="22"/>
      <c r="M460" s="22"/>
    </row>
    <row r="461" spans="2:13" ht="12.75">
      <c r="B461" s="21">
        <v>45107</v>
      </c>
      <c r="C461" s="16"/>
      <c r="D461" s="25" t="s">
        <v>276</v>
      </c>
      <c r="E461" s="22"/>
      <c r="F461" s="22"/>
      <c r="G461" s="25"/>
      <c r="H461" s="25"/>
      <c r="I461" s="92">
        <v>50000</v>
      </c>
      <c r="J461" s="26">
        <f>SUM($I$4:I461)</f>
        <v>67379047.669999972</v>
      </c>
      <c r="K461" s="44">
        <f t="shared" si="7"/>
        <v>6.4699129300636806E-4</v>
      </c>
      <c r="L461" s="22"/>
      <c r="M461" s="22"/>
    </row>
    <row r="462" spans="2:13" ht="12.75">
      <c r="B462" s="21">
        <v>45107</v>
      </c>
      <c r="C462" s="16"/>
      <c r="D462" s="25" t="s">
        <v>268</v>
      </c>
      <c r="E462" s="22"/>
      <c r="F462" s="22"/>
      <c r="G462" s="25"/>
      <c r="H462" s="25"/>
      <c r="I462" s="92">
        <v>50</v>
      </c>
      <c r="J462" s="26">
        <f>SUM($I$4:I462)</f>
        <v>67379097.669999972</v>
      </c>
      <c r="K462" s="44">
        <f t="shared" si="7"/>
        <v>6.4699129300636808E-7</v>
      </c>
      <c r="L462" s="22"/>
      <c r="M462" s="22"/>
    </row>
    <row r="463" spans="2:13" ht="12.75">
      <c r="B463" s="21">
        <v>45107</v>
      </c>
      <c r="C463" s="16"/>
      <c r="D463" s="25" t="s">
        <v>276</v>
      </c>
      <c r="E463" s="22"/>
      <c r="F463" s="22"/>
      <c r="G463" s="25"/>
      <c r="H463" s="25"/>
      <c r="I463" s="92">
        <v>50000</v>
      </c>
      <c r="J463" s="26">
        <f>SUM($I$4:I463)</f>
        <v>67429097.669999972</v>
      </c>
      <c r="K463" s="44">
        <f t="shared" si="7"/>
        <v>6.4699129300636806E-4</v>
      </c>
      <c r="L463" s="22"/>
      <c r="M463" s="22"/>
    </row>
    <row r="464" spans="2:13" ht="12.75">
      <c r="B464" s="21">
        <v>45107</v>
      </c>
      <c r="C464" s="16"/>
      <c r="D464" s="25" t="s">
        <v>268</v>
      </c>
      <c r="E464" s="22"/>
      <c r="F464" s="22"/>
      <c r="G464" s="25"/>
      <c r="H464" s="25"/>
      <c r="I464" s="92">
        <v>50</v>
      </c>
      <c r="J464" s="26">
        <f>SUM($I$4:I464)</f>
        <v>67429147.669999972</v>
      </c>
      <c r="K464" s="44">
        <f t="shared" si="7"/>
        <v>6.4699129300636808E-7</v>
      </c>
      <c r="L464" s="22"/>
      <c r="M464" s="22"/>
    </row>
    <row r="465" spans="2:13" ht="12.75">
      <c r="B465" s="21">
        <v>45107</v>
      </c>
      <c r="C465" s="16"/>
      <c r="D465" s="25" t="s">
        <v>275</v>
      </c>
      <c r="E465" s="22"/>
      <c r="F465" s="22"/>
      <c r="G465" s="25"/>
      <c r="H465" s="25"/>
      <c r="I465" s="92">
        <v>12600</v>
      </c>
      <c r="J465" s="26">
        <f>SUM($I$4:I465)</f>
        <v>67441747.669999972</v>
      </c>
      <c r="K465" s="44">
        <f t="shared" si="7"/>
        <v>1.6304180583760476E-4</v>
      </c>
      <c r="L465" s="22"/>
      <c r="M465" s="22"/>
    </row>
    <row r="466" spans="2:13" ht="12.75">
      <c r="B466" s="21">
        <v>45107</v>
      </c>
      <c r="C466" s="16"/>
      <c r="D466" s="25" t="s">
        <v>264</v>
      </c>
      <c r="E466" s="22"/>
      <c r="F466" s="22"/>
      <c r="G466" s="25"/>
      <c r="H466" s="25"/>
      <c r="I466" s="92">
        <v>11598.46</v>
      </c>
      <c r="J466" s="26">
        <f>SUM($I$4:I466)</f>
        <v>67453346.129999965</v>
      </c>
      <c r="K466" s="44">
        <f t="shared" si="7"/>
        <v>1.5008205264565279E-4</v>
      </c>
      <c r="L466" s="22"/>
      <c r="M466" s="22"/>
    </row>
    <row r="467" spans="2:13" ht="12.75">
      <c r="B467" s="21">
        <v>45107</v>
      </c>
      <c r="C467" s="16"/>
      <c r="D467" s="25" t="s">
        <v>264</v>
      </c>
      <c r="E467" s="22"/>
      <c r="F467" s="22"/>
      <c r="G467" s="25"/>
      <c r="H467" s="25"/>
      <c r="I467" s="92">
        <v>869.88</v>
      </c>
      <c r="J467" s="26">
        <f>SUM($I$4:I467)</f>
        <v>67454216.009999961</v>
      </c>
      <c r="K467" s="44">
        <f t="shared" si="7"/>
        <v>1.125609571920759E-5</v>
      </c>
      <c r="L467" s="22"/>
      <c r="M467" s="22"/>
    </row>
    <row r="468" spans="2:13" ht="12.75">
      <c r="B468" s="21">
        <v>44967</v>
      </c>
      <c r="C468" s="16"/>
      <c r="D468" s="25" t="s">
        <v>301</v>
      </c>
      <c r="E468" s="22"/>
      <c r="F468" s="22"/>
      <c r="G468" s="25"/>
      <c r="H468" s="25"/>
      <c r="I468" s="92">
        <v>20000</v>
      </c>
      <c r="J468" s="26">
        <f>SUM($I$4:I468)</f>
        <v>67474216.009999961</v>
      </c>
      <c r="K468" s="44">
        <f t="shared" si="7"/>
        <v>2.5879651720254722E-4</v>
      </c>
      <c r="L468" s="22"/>
      <c r="M468" s="22"/>
    </row>
    <row r="469" spans="2:13" ht="12.75">
      <c r="B469" s="21">
        <v>44967</v>
      </c>
      <c r="C469" s="16"/>
      <c r="D469" s="25" t="s">
        <v>302</v>
      </c>
      <c r="E469" s="22"/>
      <c r="F469" s="22"/>
      <c r="G469" s="25"/>
      <c r="H469" s="25"/>
      <c r="I469" s="92">
        <v>100</v>
      </c>
      <c r="J469" s="26">
        <f>SUM($I$4:I469)</f>
        <v>67474316.009999961</v>
      </c>
      <c r="K469" s="44">
        <f t="shared" si="7"/>
        <v>1.2939825860127362E-6</v>
      </c>
      <c r="L469" s="22"/>
      <c r="M469" s="22"/>
    </row>
    <row r="470" spans="2:13" ht="12.75">
      <c r="B470" s="21">
        <v>44967</v>
      </c>
      <c r="C470" s="16"/>
      <c r="D470" s="25" t="s">
        <v>302</v>
      </c>
      <c r="E470" s="22"/>
      <c r="F470" s="22"/>
      <c r="G470" s="25"/>
      <c r="H470" s="25"/>
      <c r="I470" s="92">
        <v>7.5</v>
      </c>
      <c r="J470" s="26">
        <f>SUM($I$4:I470)</f>
        <v>67474323.509999961</v>
      </c>
      <c r="K470" s="44">
        <f t="shared" si="7"/>
        <v>9.7048693950955217E-8</v>
      </c>
      <c r="L470" s="22"/>
      <c r="M470" s="22"/>
    </row>
    <row r="471" spans="2:13" ht="12.75">
      <c r="B471" s="21">
        <v>44999</v>
      </c>
      <c r="C471" s="16"/>
      <c r="D471" s="25" t="s">
        <v>301</v>
      </c>
      <c r="E471" s="22"/>
      <c r="F471" s="22"/>
      <c r="G471" s="25"/>
      <c r="H471" s="25"/>
      <c r="I471" s="92">
        <v>30000</v>
      </c>
      <c r="J471" s="26">
        <f>SUM($I$4:I471)</f>
        <v>67504323.509999961</v>
      </c>
      <c r="K471" s="44">
        <f t="shared" si="7"/>
        <v>3.8819477580382083E-4</v>
      </c>
      <c r="L471" s="22"/>
      <c r="M471" s="22"/>
    </row>
    <row r="472" spans="2:13" ht="12.75">
      <c r="B472" s="21">
        <v>44999</v>
      </c>
      <c r="C472" s="16"/>
      <c r="D472" s="25" t="s">
        <v>302</v>
      </c>
      <c r="E472" s="22"/>
      <c r="F472" s="22"/>
      <c r="G472" s="25"/>
      <c r="H472" s="25"/>
      <c r="I472" s="92">
        <v>150</v>
      </c>
      <c r="J472" s="26">
        <f>SUM($I$4:I472)</f>
        <v>67504473.509999961</v>
      </c>
      <c r="K472" s="44">
        <f t="shared" si="7"/>
        <v>1.9409738790191043E-6</v>
      </c>
      <c r="L472" s="22"/>
      <c r="M472" s="22"/>
    </row>
    <row r="473" spans="2:13" ht="12.75">
      <c r="B473" s="21">
        <v>44999</v>
      </c>
      <c r="C473" s="16"/>
      <c r="D473" s="25" t="s">
        <v>302</v>
      </c>
      <c r="E473" s="22"/>
      <c r="F473" s="22"/>
      <c r="G473" s="25"/>
      <c r="H473" s="25"/>
      <c r="I473" s="92">
        <v>11.25</v>
      </c>
      <c r="J473" s="26">
        <f>SUM($I$4:I473)</f>
        <v>67504484.759999961</v>
      </c>
      <c r="K473" s="44">
        <f t="shared" si="7"/>
        <v>1.4557304092643283E-7</v>
      </c>
      <c r="L473" s="22"/>
      <c r="M473" s="22"/>
    </row>
    <row r="474" spans="2:13" ht="12.75">
      <c r="B474" s="21">
        <v>45005</v>
      </c>
      <c r="C474" s="16"/>
      <c r="D474" s="25" t="s">
        <v>303</v>
      </c>
      <c r="E474" s="22"/>
      <c r="F474" s="22"/>
      <c r="G474" s="25"/>
      <c r="H474" s="25"/>
      <c r="I474" s="92">
        <v>500</v>
      </c>
      <c r="J474" s="26">
        <f>SUM($I$4:I474)</f>
        <v>67504984.759999961</v>
      </c>
      <c r="K474" s="44">
        <f t="shared" si="7"/>
        <v>6.4699129300636806E-6</v>
      </c>
      <c r="L474" s="22"/>
      <c r="M474" s="22"/>
    </row>
    <row r="475" spans="2:13" ht="12.75">
      <c r="B475" s="21">
        <v>45005</v>
      </c>
      <c r="C475" s="16"/>
      <c r="D475" s="25" t="s">
        <v>303</v>
      </c>
      <c r="E475" s="22"/>
      <c r="F475" s="22"/>
      <c r="G475" s="25"/>
      <c r="H475" s="25"/>
      <c r="I475" s="92">
        <v>2.5</v>
      </c>
      <c r="J475" s="26">
        <f>SUM($I$4:I475)</f>
        <v>67504987.259999961</v>
      </c>
      <c r="K475" s="44">
        <f t="shared" si="7"/>
        <v>3.2349564650318401E-8</v>
      </c>
      <c r="L475" s="22"/>
      <c r="M475" s="22"/>
    </row>
    <row r="476" spans="2:13" ht="12.75">
      <c r="B476" s="21">
        <v>45005</v>
      </c>
      <c r="C476" s="16"/>
      <c r="D476" s="25" t="s">
        <v>303</v>
      </c>
      <c r="E476" s="22"/>
      <c r="F476" s="22"/>
      <c r="G476" s="25"/>
      <c r="H476" s="25"/>
      <c r="I476" s="92">
        <v>0.19</v>
      </c>
      <c r="J476" s="26">
        <f>SUM($I$4:I476)</f>
        <v>67504987.449999958</v>
      </c>
      <c r="K476" s="44">
        <f t="shared" si="7"/>
        <v>2.4585669134241987E-9</v>
      </c>
      <c r="L476" s="22"/>
      <c r="M476" s="22"/>
    </row>
    <row r="477" spans="2:13" ht="12.75">
      <c r="B477" s="21">
        <v>45005</v>
      </c>
      <c r="C477" s="16"/>
      <c r="D477" s="25" t="s">
        <v>303</v>
      </c>
      <c r="E477" s="22"/>
      <c r="F477" s="22"/>
      <c r="G477" s="25"/>
      <c r="H477" s="25"/>
      <c r="I477" s="92">
        <v>12.99</v>
      </c>
      <c r="J477" s="26">
        <f>SUM($I$4:I477)</f>
        <v>67505000.439999953</v>
      </c>
      <c r="K477" s="44">
        <f t="shared" si="7"/>
        <v>1.6808833792305444E-7</v>
      </c>
      <c r="L477" s="22"/>
      <c r="M477" s="22"/>
    </row>
    <row r="478" spans="2:13" ht="12.75">
      <c r="B478" s="21">
        <v>45005</v>
      </c>
      <c r="C478" s="16"/>
      <c r="D478" s="25" t="s">
        <v>304</v>
      </c>
      <c r="E478" s="22"/>
      <c r="F478" s="22"/>
      <c r="G478" s="25"/>
      <c r="H478" s="25"/>
      <c r="I478" s="92">
        <v>25</v>
      </c>
      <c r="J478" s="26">
        <f>SUM($I$4:I478)</f>
        <v>67505025.439999953</v>
      </c>
      <c r="K478" s="44">
        <f t="shared" si="7"/>
        <v>3.2349564650318404E-7</v>
      </c>
      <c r="L478" s="22"/>
      <c r="M478" s="22"/>
    </row>
    <row r="479" spans="2:13" ht="12.75">
      <c r="B479" s="21">
        <v>45030</v>
      </c>
      <c r="C479" s="16"/>
      <c r="D479" s="25" t="s">
        <v>305</v>
      </c>
      <c r="E479" s="22"/>
      <c r="F479" s="22"/>
      <c r="G479" s="25"/>
      <c r="H479" s="25"/>
      <c r="I479" s="92">
        <v>1000</v>
      </c>
      <c r="J479" s="26">
        <f>SUM($I$4:I479)</f>
        <v>67506025.439999953</v>
      </c>
      <c r="K479" s="44">
        <f t="shared" si="7"/>
        <v>1.2939825860127361E-5</v>
      </c>
      <c r="L479" s="22"/>
      <c r="M479" s="22"/>
    </row>
    <row r="480" spans="2:13" ht="12.75">
      <c r="B480" s="21">
        <v>45030</v>
      </c>
      <c r="C480" s="16"/>
      <c r="D480" s="25" t="s">
        <v>302</v>
      </c>
      <c r="E480" s="22"/>
      <c r="F480" s="22"/>
      <c r="G480" s="25"/>
      <c r="H480" s="25"/>
      <c r="I480" s="92">
        <v>0.5</v>
      </c>
      <c r="J480" s="26">
        <f>SUM($I$4:I480)</f>
        <v>67506025.939999953</v>
      </c>
      <c r="K480" s="44">
        <f t="shared" si="7"/>
        <v>6.4699129300636806E-9</v>
      </c>
      <c r="L480" s="22"/>
      <c r="M480" s="22"/>
    </row>
    <row r="481" spans="2:13" ht="12.75">
      <c r="B481" s="21">
        <v>45030</v>
      </c>
      <c r="C481" s="16"/>
      <c r="D481" s="25" t="s">
        <v>302</v>
      </c>
      <c r="E481" s="22"/>
      <c r="F481" s="22"/>
      <c r="G481" s="25"/>
      <c r="H481" s="25"/>
      <c r="I481" s="92">
        <v>0.04</v>
      </c>
      <c r="J481" s="26">
        <f>SUM($I$4:I481)</f>
        <v>67506025.979999959</v>
      </c>
      <c r="K481" s="44">
        <f t="shared" si="7"/>
        <v>5.1759303440509444E-10</v>
      </c>
      <c r="L481" s="22"/>
      <c r="M481" s="22"/>
    </row>
    <row r="482" spans="2:13" ht="12.75">
      <c r="B482" s="21">
        <v>45034</v>
      </c>
      <c r="C482" s="16"/>
      <c r="D482" s="25" t="s">
        <v>301</v>
      </c>
      <c r="E482" s="22"/>
      <c r="F482" s="22"/>
      <c r="G482" s="25"/>
      <c r="H482" s="25"/>
      <c r="I482" s="92">
        <v>1500</v>
      </c>
      <c r="J482" s="26">
        <f>SUM($I$4:I482)</f>
        <v>67507525.979999959</v>
      </c>
      <c r="K482" s="44">
        <f t="shared" si="7"/>
        <v>1.9409738790191042E-5</v>
      </c>
      <c r="L482" s="22"/>
      <c r="M482" s="22"/>
    </row>
    <row r="483" spans="2:13" ht="12.75">
      <c r="B483" s="21">
        <v>45034</v>
      </c>
      <c r="C483" s="16"/>
      <c r="D483" s="25" t="s">
        <v>301</v>
      </c>
      <c r="E483" s="22"/>
      <c r="F483" s="22"/>
      <c r="G483" s="25"/>
      <c r="H483" s="25"/>
      <c r="I483" s="92">
        <v>25000</v>
      </c>
      <c r="J483" s="26">
        <f>SUM($I$4:I483)</f>
        <v>67532525.979999959</v>
      </c>
      <c r="K483" s="44">
        <f t="shared" si="7"/>
        <v>3.2349564650318403E-4</v>
      </c>
      <c r="L483" s="22"/>
      <c r="M483" s="22"/>
    </row>
    <row r="484" spans="2:13" ht="12.75">
      <c r="B484" s="21">
        <v>45034</v>
      </c>
      <c r="C484" s="16"/>
      <c r="D484" s="25" t="s">
        <v>302</v>
      </c>
      <c r="E484" s="22"/>
      <c r="F484" s="22"/>
      <c r="G484" s="25"/>
      <c r="H484" s="25"/>
      <c r="I484" s="92">
        <v>125</v>
      </c>
      <c r="J484" s="26">
        <f>SUM($I$4:I484)</f>
        <v>67532650.979999959</v>
      </c>
      <c r="K484" s="44">
        <f t="shared" si="7"/>
        <v>1.6174782325159201E-6</v>
      </c>
      <c r="L484" s="22"/>
      <c r="M484" s="22"/>
    </row>
    <row r="485" spans="2:13" ht="12.75">
      <c r="B485" s="21">
        <v>45034</v>
      </c>
      <c r="C485" s="16"/>
      <c r="D485" s="25" t="s">
        <v>302</v>
      </c>
      <c r="E485" s="22"/>
      <c r="F485" s="22"/>
      <c r="G485" s="25"/>
      <c r="H485" s="25"/>
      <c r="I485" s="92">
        <v>9.3800000000000008</v>
      </c>
      <c r="J485" s="26">
        <f>SUM($I$4:I485)</f>
        <v>67532660.359999955</v>
      </c>
      <c r="K485" s="44">
        <f t="shared" si="7"/>
        <v>1.2137556656799467E-7</v>
      </c>
      <c r="L485" s="22"/>
      <c r="M485" s="22"/>
    </row>
    <row r="486" spans="2:13" ht="12.75">
      <c r="B486" s="21">
        <v>45077</v>
      </c>
      <c r="C486" s="16"/>
      <c r="D486" s="25" t="s">
        <v>301</v>
      </c>
      <c r="E486" s="22"/>
      <c r="F486" s="22"/>
      <c r="G486" s="25"/>
      <c r="H486" s="25"/>
      <c r="I486" s="92">
        <v>20000</v>
      </c>
      <c r="J486" s="26">
        <f>SUM($I$4:I486)</f>
        <v>67552660.359999955</v>
      </c>
      <c r="K486" s="44">
        <f t="shared" si="7"/>
        <v>2.5879651720254722E-4</v>
      </c>
      <c r="L486" s="22"/>
      <c r="M486" s="22"/>
    </row>
    <row r="487" spans="2:13" ht="12.75">
      <c r="B487" s="21">
        <v>45077</v>
      </c>
      <c r="C487" s="16"/>
      <c r="D487" s="25" t="s">
        <v>302</v>
      </c>
      <c r="E487" s="22"/>
      <c r="F487" s="22"/>
      <c r="G487" s="25"/>
      <c r="H487" s="25"/>
      <c r="I487" s="92">
        <v>100</v>
      </c>
      <c r="J487" s="26">
        <f>SUM($I$4:I487)</f>
        <v>67552760.359999955</v>
      </c>
      <c r="K487" s="44">
        <f t="shared" si="7"/>
        <v>1.2939825860127362E-6</v>
      </c>
      <c r="L487" s="22"/>
      <c r="M487" s="22"/>
    </row>
    <row r="488" spans="2:13" ht="12.75">
      <c r="B488" s="21">
        <v>45077</v>
      </c>
      <c r="C488" s="16"/>
      <c r="D488" s="25" t="s">
        <v>302</v>
      </c>
      <c r="E488" s="22"/>
      <c r="F488" s="22"/>
      <c r="G488" s="25"/>
      <c r="H488" s="25"/>
      <c r="I488" s="92">
        <v>7.5</v>
      </c>
      <c r="J488" s="26">
        <f>SUM($I$4:I488)</f>
        <v>67552767.859999955</v>
      </c>
      <c r="K488" s="44">
        <f t="shared" si="7"/>
        <v>9.7048693950955217E-8</v>
      </c>
      <c r="L488" s="22"/>
      <c r="M488" s="22"/>
    </row>
    <row r="489" spans="2:13" ht="12.75">
      <c r="B489" s="21">
        <v>45092</v>
      </c>
      <c r="C489" s="16"/>
      <c r="D489" s="25" t="s">
        <v>301</v>
      </c>
      <c r="E489" s="22"/>
      <c r="F489" s="22"/>
      <c r="G489" s="25"/>
      <c r="H489" s="25"/>
      <c r="I489" s="92">
        <v>10000</v>
      </c>
      <c r="J489" s="26">
        <f>SUM($I$4:I489)</f>
        <v>67562767.859999955</v>
      </c>
      <c r="K489" s="44">
        <f t="shared" si="7"/>
        <v>1.2939825860127361E-4</v>
      </c>
      <c r="L489" s="22"/>
      <c r="M489" s="22"/>
    </row>
    <row r="490" spans="2:13" ht="12.75">
      <c r="B490" s="21">
        <v>45092</v>
      </c>
      <c r="C490" s="16"/>
      <c r="D490" s="25" t="s">
        <v>302</v>
      </c>
      <c r="E490" s="22"/>
      <c r="F490" s="22"/>
      <c r="G490" s="25"/>
      <c r="H490" s="25"/>
      <c r="I490" s="92">
        <v>50</v>
      </c>
      <c r="J490" s="26">
        <f>SUM($I$4:I490)</f>
        <v>67562817.859999955</v>
      </c>
      <c r="K490" s="44">
        <f t="shared" si="7"/>
        <v>6.4699129300636808E-7</v>
      </c>
      <c r="L490" s="22"/>
      <c r="M490" s="22"/>
    </row>
    <row r="491" spans="2:13" ht="12.75">
      <c r="B491" s="21">
        <v>45092</v>
      </c>
      <c r="C491" s="16"/>
      <c r="D491" s="25" t="s">
        <v>302</v>
      </c>
      <c r="E491" s="22"/>
      <c r="F491" s="22"/>
      <c r="G491" s="25"/>
      <c r="H491" s="25"/>
      <c r="I491" s="92">
        <v>3.75</v>
      </c>
      <c r="J491" s="26">
        <f>SUM($I$4:I491)</f>
        <v>67562821.609999955</v>
      </c>
      <c r="K491" s="44">
        <f t="shared" si="7"/>
        <v>4.8524346975477608E-8</v>
      </c>
      <c r="L491" s="22"/>
      <c r="M491" s="22"/>
    </row>
    <row r="492" spans="2:13" ht="12.75">
      <c r="B492" s="21">
        <v>44935</v>
      </c>
      <c r="C492" s="16"/>
      <c r="D492" s="25" t="s">
        <v>306</v>
      </c>
      <c r="E492" s="22"/>
      <c r="F492" s="22"/>
      <c r="G492" s="25"/>
      <c r="H492" s="25"/>
      <c r="I492" s="92">
        <v>15000</v>
      </c>
      <c r="J492" s="26">
        <f>SUM($I$4:I492)</f>
        <v>67577821.609999955</v>
      </c>
      <c r="K492" s="44">
        <f t="shared" si="7"/>
        <v>1.9409738790191042E-4</v>
      </c>
      <c r="L492" s="22"/>
      <c r="M492" s="22"/>
    </row>
    <row r="493" spans="2:13" ht="12.75">
      <c r="B493" s="21">
        <v>44935</v>
      </c>
      <c r="C493" s="16"/>
      <c r="D493" s="25" t="s">
        <v>288</v>
      </c>
      <c r="E493" s="22"/>
      <c r="F493" s="22"/>
      <c r="G493" s="25"/>
      <c r="H493" s="25"/>
      <c r="I493" s="92">
        <v>40000</v>
      </c>
      <c r="J493" s="26">
        <f>SUM($I$4:I493)</f>
        <v>67617821.609999955</v>
      </c>
      <c r="K493" s="44">
        <f t="shared" si="7"/>
        <v>5.1759303440509444E-4</v>
      </c>
      <c r="L493" s="22"/>
      <c r="M493" s="22"/>
    </row>
    <row r="494" spans="2:13" ht="12.75">
      <c r="B494" s="21">
        <v>44935</v>
      </c>
      <c r="C494" s="16"/>
      <c r="D494" s="25" t="s">
        <v>288</v>
      </c>
      <c r="E494" s="22"/>
      <c r="F494" s="22"/>
      <c r="G494" s="25"/>
      <c r="H494" s="25"/>
      <c r="I494" s="92">
        <v>40000</v>
      </c>
      <c r="J494" s="26">
        <f>SUM($I$4:I494)</f>
        <v>67657821.609999955</v>
      </c>
      <c r="K494" s="44">
        <f t="shared" si="7"/>
        <v>5.1759303440509444E-4</v>
      </c>
      <c r="L494" s="22"/>
      <c r="M494" s="22"/>
    </row>
    <row r="495" spans="2:13" ht="12.75">
      <c r="B495" s="21">
        <v>44935</v>
      </c>
      <c r="C495" s="16"/>
      <c r="D495" s="25" t="s">
        <v>288</v>
      </c>
      <c r="E495" s="22"/>
      <c r="F495" s="22"/>
      <c r="G495" s="25"/>
      <c r="H495" s="25"/>
      <c r="I495" s="92">
        <v>20000</v>
      </c>
      <c r="J495" s="26">
        <f>SUM($I$4:I495)</f>
        <v>67677821.609999955</v>
      </c>
      <c r="K495" s="44">
        <f t="shared" si="7"/>
        <v>2.5879651720254722E-4</v>
      </c>
      <c r="L495" s="22"/>
      <c r="M495" s="22"/>
    </row>
    <row r="496" spans="2:13" ht="12.75">
      <c r="B496" s="21">
        <v>44935</v>
      </c>
      <c r="C496" s="16"/>
      <c r="D496" s="25" t="s">
        <v>306</v>
      </c>
      <c r="E496" s="22"/>
      <c r="F496" s="22"/>
      <c r="G496" s="25"/>
      <c r="H496" s="25"/>
      <c r="I496" s="92">
        <v>15000</v>
      </c>
      <c r="J496" s="26">
        <f>SUM($I$4:I496)</f>
        <v>67692821.609999955</v>
      </c>
      <c r="K496" s="44">
        <f t="shared" si="7"/>
        <v>1.9409738790191042E-4</v>
      </c>
      <c r="L496" s="22"/>
      <c r="M496" s="22"/>
    </row>
    <row r="497" spans="2:13" ht="12.75">
      <c r="B497" s="21">
        <v>44935</v>
      </c>
      <c r="C497" s="16"/>
      <c r="D497" s="25" t="s">
        <v>306</v>
      </c>
      <c r="E497" s="22"/>
      <c r="F497" s="22"/>
      <c r="G497" s="25"/>
      <c r="H497" s="25"/>
      <c r="I497" s="92">
        <v>32730</v>
      </c>
      <c r="J497" s="26">
        <f>SUM($I$4:I497)</f>
        <v>67725551.609999955</v>
      </c>
      <c r="K497" s="44">
        <f t="shared" si="7"/>
        <v>4.2352050040196854E-4</v>
      </c>
      <c r="L497" s="22"/>
      <c r="M497" s="22"/>
    </row>
    <row r="498" spans="2:13" ht="12.75">
      <c r="B498" s="21">
        <v>44937</v>
      </c>
      <c r="C498" s="16"/>
      <c r="D498" s="25" t="s">
        <v>288</v>
      </c>
      <c r="E498" s="22"/>
      <c r="F498" s="22"/>
      <c r="G498" s="25"/>
      <c r="H498" s="25"/>
      <c r="I498" s="92">
        <v>40000</v>
      </c>
      <c r="J498" s="26">
        <f>SUM($I$4:I498)</f>
        <v>67765551.609999955</v>
      </c>
      <c r="K498" s="44">
        <f t="shared" si="7"/>
        <v>5.1759303440509444E-4</v>
      </c>
      <c r="L498" s="22"/>
      <c r="M498" s="22"/>
    </row>
    <row r="499" spans="2:13" ht="12.75">
      <c r="B499" s="21">
        <v>44937</v>
      </c>
      <c r="C499" s="16"/>
      <c r="D499" s="25" t="s">
        <v>288</v>
      </c>
      <c r="E499" s="22"/>
      <c r="F499" s="22"/>
      <c r="G499" s="25"/>
      <c r="H499" s="25"/>
      <c r="I499" s="92">
        <v>40000</v>
      </c>
      <c r="J499" s="26">
        <f>SUM($I$4:I499)</f>
        <v>67805551.609999955</v>
      </c>
      <c r="K499" s="44">
        <f t="shared" si="7"/>
        <v>5.1759303440509444E-4</v>
      </c>
      <c r="L499" s="22"/>
      <c r="M499" s="22"/>
    </row>
    <row r="500" spans="2:13" ht="12.75">
      <c r="B500" s="21">
        <v>44937</v>
      </c>
      <c r="C500" s="16"/>
      <c r="D500" s="25" t="s">
        <v>288</v>
      </c>
      <c r="E500" s="22"/>
      <c r="F500" s="22"/>
      <c r="G500" s="25"/>
      <c r="H500" s="25"/>
      <c r="I500" s="92">
        <v>10000</v>
      </c>
      <c r="J500" s="26">
        <f>SUM($I$4:I500)</f>
        <v>67815551.609999955</v>
      </c>
      <c r="K500" s="44">
        <f t="shared" si="7"/>
        <v>1.2939825860127361E-4</v>
      </c>
      <c r="L500" s="22"/>
      <c r="M500" s="22"/>
    </row>
    <row r="501" spans="2:13" ht="12.75">
      <c r="B501" s="21">
        <v>44938</v>
      </c>
      <c r="C501" s="16"/>
      <c r="D501" s="25" t="s">
        <v>288</v>
      </c>
      <c r="E501" s="22"/>
      <c r="F501" s="22"/>
      <c r="G501" s="25"/>
      <c r="H501" s="25"/>
      <c r="I501" s="92">
        <v>40000</v>
      </c>
      <c r="J501" s="26">
        <f>SUM($I$4:I501)</f>
        <v>67855551.609999955</v>
      </c>
      <c r="K501" s="44">
        <f t="shared" si="7"/>
        <v>5.1759303440509444E-4</v>
      </c>
      <c r="L501" s="22"/>
      <c r="M501" s="22"/>
    </row>
    <row r="502" spans="2:13" ht="12.75">
      <c r="B502" s="21">
        <v>44938</v>
      </c>
      <c r="C502" s="16"/>
      <c r="D502" s="25" t="s">
        <v>288</v>
      </c>
      <c r="E502" s="22"/>
      <c r="F502" s="22"/>
      <c r="G502" s="25"/>
      <c r="H502" s="25"/>
      <c r="I502" s="92">
        <v>40000</v>
      </c>
      <c r="J502" s="26">
        <f>SUM($I$4:I502)</f>
        <v>67895551.609999955</v>
      </c>
      <c r="K502" s="44">
        <f t="shared" si="7"/>
        <v>5.1759303440509444E-4</v>
      </c>
      <c r="L502" s="22"/>
      <c r="M502" s="22"/>
    </row>
    <row r="503" spans="2:13" ht="12.75">
      <c r="B503" s="21">
        <v>44938</v>
      </c>
      <c r="C503" s="16"/>
      <c r="D503" s="25" t="s">
        <v>288</v>
      </c>
      <c r="E503" s="22"/>
      <c r="F503" s="22"/>
      <c r="G503" s="25"/>
      <c r="H503" s="25"/>
      <c r="I503" s="92">
        <v>20000</v>
      </c>
      <c r="J503" s="26">
        <f>SUM($I$4:I503)</f>
        <v>67915551.609999955</v>
      </c>
      <c r="K503" s="44">
        <f t="shared" si="7"/>
        <v>2.5879651720254722E-4</v>
      </c>
      <c r="L503" s="22"/>
      <c r="M503" s="22"/>
    </row>
    <row r="504" spans="2:13" ht="12.75">
      <c r="B504" s="21">
        <v>44939</v>
      </c>
      <c r="C504" s="16"/>
      <c r="D504" s="25" t="s">
        <v>288</v>
      </c>
      <c r="E504" s="22"/>
      <c r="F504" s="22"/>
      <c r="G504" s="25"/>
      <c r="H504" s="25"/>
      <c r="I504" s="92">
        <v>40000</v>
      </c>
      <c r="J504" s="26">
        <f>SUM($I$4:I504)</f>
        <v>67955551.609999955</v>
      </c>
      <c r="K504" s="44">
        <f t="shared" si="7"/>
        <v>5.1759303440509444E-4</v>
      </c>
      <c r="L504" s="22"/>
      <c r="M504" s="22"/>
    </row>
    <row r="505" spans="2:13" ht="12.75">
      <c r="B505" s="21">
        <v>44939</v>
      </c>
      <c r="C505" s="16"/>
      <c r="D505" s="25" t="s">
        <v>288</v>
      </c>
      <c r="E505" s="22"/>
      <c r="F505" s="22"/>
      <c r="G505" s="25"/>
      <c r="H505" s="25"/>
      <c r="I505" s="92">
        <v>40000</v>
      </c>
      <c r="J505" s="26">
        <f>SUM($I$4:I505)</f>
        <v>67995551.609999955</v>
      </c>
      <c r="K505" s="44">
        <f t="shared" si="7"/>
        <v>5.1759303440509444E-4</v>
      </c>
      <c r="L505" s="22"/>
      <c r="M505" s="22"/>
    </row>
    <row r="506" spans="2:13" ht="12.75">
      <c r="B506" s="21">
        <v>44939</v>
      </c>
      <c r="C506" s="16"/>
      <c r="D506" s="25" t="s">
        <v>288</v>
      </c>
      <c r="E506" s="22"/>
      <c r="F506" s="22"/>
      <c r="G506" s="25"/>
      <c r="H506" s="25"/>
      <c r="I506" s="92">
        <v>40000</v>
      </c>
      <c r="J506" s="26">
        <f>SUM($I$4:I506)</f>
        <v>68035551.609999955</v>
      </c>
      <c r="K506" s="44">
        <f t="shared" si="7"/>
        <v>5.1759303440509444E-4</v>
      </c>
      <c r="L506" s="22"/>
      <c r="M506" s="22"/>
    </row>
    <row r="507" spans="2:13" ht="12.75">
      <c r="B507" s="21">
        <v>44939</v>
      </c>
      <c r="C507" s="16"/>
      <c r="D507" s="25" t="s">
        <v>288</v>
      </c>
      <c r="E507" s="22"/>
      <c r="F507" s="22"/>
      <c r="G507" s="25"/>
      <c r="H507" s="25"/>
      <c r="I507" s="92">
        <v>4000</v>
      </c>
      <c r="J507" s="26">
        <f>SUM($I$4:I507)</f>
        <v>68039551.609999955</v>
      </c>
      <c r="K507" s="44">
        <f t="shared" si="7"/>
        <v>5.1759303440509444E-5</v>
      </c>
      <c r="L507" s="22"/>
      <c r="M507" s="22"/>
    </row>
    <row r="508" spans="2:13" ht="12.75">
      <c r="B508" s="21">
        <v>44944</v>
      </c>
      <c r="C508" s="16"/>
      <c r="D508" s="25" t="s">
        <v>306</v>
      </c>
      <c r="E508" s="22"/>
      <c r="F508" s="22"/>
      <c r="G508" s="25"/>
      <c r="H508" s="25"/>
      <c r="I508" s="92">
        <v>15000</v>
      </c>
      <c r="J508" s="26">
        <f>SUM($I$4:I508)</f>
        <v>68054551.609999955</v>
      </c>
      <c r="K508" s="44">
        <f t="shared" si="7"/>
        <v>1.9409738790191042E-4</v>
      </c>
      <c r="L508" s="22"/>
      <c r="M508" s="22"/>
    </row>
    <row r="509" spans="2:13" ht="12.75">
      <c r="B509" s="21">
        <v>44949</v>
      </c>
      <c r="C509" s="16"/>
      <c r="D509" s="25" t="s">
        <v>288</v>
      </c>
      <c r="E509" s="22"/>
      <c r="F509" s="22"/>
      <c r="G509" s="25"/>
      <c r="H509" s="25"/>
      <c r="I509" s="92">
        <v>40000</v>
      </c>
      <c r="J509" s="26">
        <f>SUM($I$4:I509)</f>
        <v>68094551.609999955</v>
      </c>
      <c r="K509" s="44">
        <f t="shared" si="7"/>
        <v>5.1759303440509444E-4</v>
      </c>
      <c r="L509" s="22"/>
      <c r="M509" s="22"/>
    </row>
    <row r="510" spans="2:13" ht="12.75">
      <c r="B510" s="21">
        <v>44950</v>
      </c>
      <c r="C510" s="16"/>
      <c r="D510" s="25" t="s">
        <v>308</v>
      </c>
      <c r="E510" s="22"/>
      <c r="F510" s="22"/>
      <c r="G510" s="25"/>
      <c r="H510" s="25"/>
      <c r="I510" s="92">
        <v>15000</v>
      </c>
      <c r="J510" s="26">
        <f>SUM($I$4:I510)</f>
        <v>68109551.609999955</v>
      </c>
      <c r="K510" s="44">
        <f t="shared" si="7"/>
        <v>1.9409738790191042E-4</v>
      </c>
      <c r="L510" s="22"/>
      <c r="M510" s="22"/>
    </row>
    <row r="511" spans="2:13" ht="12.75">
      <c r="B511" s="21">
        <v>44951</v>
      </c>
      <c r="C511" s="16"/>
      <c r="D511" s="25" t="s">
        <v>309</v>
      </c>
      <c r="E511" s="22"/>
      <c r="F511" s="22"/>
      <c r="G511" s="25"/>
      <c r="H511" s="25"/>
      <c r="I511" s="92">
        <v>21700</v>
      </c>
      <c r="J511" s="26">
        <f>SUM($I$4:I511)</f>
        <v>68131251.609999955</v>
      </c>
      <c r="K511" s="44">
        <f t="shared" si="7"/>
        <v>2.8079422116476376E-4</v>
      </c>
      <c r="L511" s="22"/>
      <c r="M511" s="22"/>
    </row>
    <row r="512" spans="2:13" ht="12.75">
      <c r="B512" s="21">
        <v>44952</v>
      </c>
      <c r="C512" s="16"/>
      <c r="D512" s="25" t="s">
        <v>288</v>
      </c>
      <c r="E512" s="22"/>
      <c r="F512" s="22"/>
      <c r="G512" s="25"/>
      <c r="H512" s="25"/>
      <c r="I512" s="92">
        <v>10000</v>
      </c>
      <c r="J512" s="26">
        <f>SUM($I$4:I512)</f>
        <v>68141251.609999955</v>
      </c>
      <c r="K512" s="44">
        <f t="shared" si="7"/>
        <v>1.2939825860127361E-4</v>
      </c>
      <c r="L512" s="22"/>
      <c r="M512" s="22"/>
    </row>
    <row r="513" spans="2:13" ht="12.75">
      <c r="B513" s="21">
        <v>44953</v>
      </c>
      <c r="C513" s="16"/>
      <c r="D513" s="25" t="s">
        <v>306</v>
      </c>
      <c r="E513" s="22"/>
      <c r="F513" s="22"/>
      <c r="G513" s="25"/>
      <c r="H513" s="25"/>
      <c r="I513" s="92">
        <v>23490</v>
      </c>
      <c r="J513" s="26">
        <f>SUM($I$4:I513)</f>
        <v>68164741.609999955</v>
      </c>
      <c r="K513" s="44">
        <f t="shared" si="7"/>
        <v>3.0395650945439173E-4</v>
      </c>
      <c r="L513" s="22"/>
      <c r="M513" s="22"/>
    </row>
    <row r="514" spans="2:13" ht="12.75">
      <c r="B514" s="21">
        <v>44954</v>
      </c>
      <c r="C514" s="16"/>
      <c r="D514" s="25" t="s">
        <v>306</v>
      </c>
      <c r="E514" s="22"/>
      <c r="F514" s="22"/>
      <c r="G514" s="25"/>
      <c r="H514" s="25"/>
      <c r="I514" s="92">
        <v>15000</v>
      </c>
      <c r="J514" s="26">
        <f>SUM($I$4:I514)</f>
        <v>68179741.609999955</v>
      </c>
      <c r="K514" s="44">
        <f t="shared" si="7"/>
        <v>1.9409738790191042E-4</v>
      </c>
      <c r="L514" s="22"/>
      <c r="M514" s="22"/>
    </row>
    <row r="515" spans="2:13" ht="12.75">
      <c r="B515" s="21">
        <v>44957</v>
      </c>
      <c r="C515" s="16"/>
      <c r="D515" s="25" t="s">
        <v>306</v>
      </c>
      <c r="E515" s="22"/>
      <c r="F515" s="22"/>
      <c r="G515" s="25"/>
      <c r="H515" s="25"/>
      <c r="I515" s="92">
        <v>15000</v>
      </c>
      <c r="J515" s="26">
        <f>SUM($I$4:I515)</f>
        <v>68194741.609999955</v>
      </c>
      <c r="K515" s="44">
        <f t="shared" si="7"/>
        <v>1.9409738790191042E-4</v>
      </c>
      <c r="L515" s="22"/>
      <c r="M515" s="22"/>
    </row>
    <row r="516" spans="2:13" ht="12.75">
      <c r="B516" s="21">
        <v>44957</v>
      </c>
      <c r="C516" s="16"/>
      <c r="D516" s="25" t="s">
        <v>306</v>
      </c>
      <c r="E516" s="22"/>
      <c r="F516" s="22"/>
      <c r="G516" s="25"/>
      <c r="H516" s="25"/>
      <c r="I516" s="92">
        <v>30000</v>
      </c>
      <c r="J516" s="26">
        <f>SUM($I$4:I516)</f>
        <v>68224741.609999955</v>
      </c>
      <c r="K516" s="44">
        <f t="shared" si="7"/>
        <v>3.8819477580382083E-4</v>
      </c>
      <c r="L516" s="22"/>
      <c r="M516" s="22"/>
    </row>
    <row r="517" spans="2:13" ht="12.75">
      <c r="B517" s="21">
        <v>44957</v>
      </c>
      <c r="C517" s="16"/>
      <c r="D517" s="25" t="s">
        <v>309</v>
      </c>
      <c r="E517" s="22"/>
      <c r="F517" s="22"/>
      <c r="G517" s="25"/>
      <c r="H517" s="25"/>
      <c r="I517" s="92">
        <v>9120</v>
      </c>
      <c r="J517" s="26">
        <f>SUM($I$4:I517)</f>
        <v>68233861.609999955</v>
      </c>
      <c r="K517" s="44">
        <f t="shared" ref="K517:K580" si="8">IF(SUM($I$4:$I$830)=0,"",I517/SUM($I$4:$I$830))</f>
        <v>1.1801121184436154E-4</v>
      </c>
      <c r="L517" s="22"/>
      <c r="M517" s="22"/>
    </row>
    <row r="518" spans="2:13" ht="12.75">
      <c r="B518" s="21">
        <v>44957</v>
      </c>
      <c r="C518" s="16"/>
      <c r="D518" s="25" t="s">
        <v>309</v>
      </c>
      <c r="E518" s="22"/>
      <c r="F518" s="22"/>
      <c r="G518" s="25"/>
      <c r="H518" s="25"/>
      <c r="I518" s="92">
        <v>380</v>
      </c>
      <c r="J518" s="26">
        <f>SUM($I$4:I518)</f>
        <v>68234241.609999955</v>
      </c>
      <c r="K518" s="44">
        <f t="shared" si="8"/>
        <v>4.9171338268483971E-6</v>
      </c>
      <c r="L518" s="22"/>
      <c r="M518" s="22"/>
    </row>
    <row r="519" spans="2:13" ht="12.75">
      <c r="B519" s="21">
        <v>44958</v>
      </c>
      <c r="C519" s="16"/>
      <c r="D519" s="25" t="s">
        <v>309</v>
      </c>
      <c r="E519" s="22"/>
      <c r="F519" s="22"/>
      <c r="G519" s="25"/>
      <c r="H519" s="25"/>
      <c r="I519" s="92">
        <v>21500</v>
      </c>
      <c r="J519" s="26">
        <f>SUM($I$4:I519)</f>
        <v>68255741.609999955</v>
      </c>
      <c r="K519" s="44">
        <f t="shared" si="8"/>
        <v>2.7820625599273826E-4</v>
      </c>
      <c r="L519" s="22"/>
      <c r="M519" s="22"/>
    </row>
    <row r="520" spans="2:13" ht="12.75">
      <c r="B520" s="21">
        <v>44959</v>
      </c>
      <c r="C520" s="16"/>
      <c r="D520" s="25" t="s">
        <v>309</v>
      </c>
      <c r="E520" s="22"/>
      <c r="F520" s="22"/>
      <c r="G520" s="25"/>
      <c r="H520" s="25"/>
      <c r="I520" s="92">
        <v>49920</v>
      </c>
      <c r="J520" s="26">
        <f>SUM($I$4:I520)</f>
        <v>68305661.609999955</v>
      </c>
      <c r="K520" s="44">
        <f t="shared" si="8"/>
        <v>6.4595610693755792E-4</v>
      </c>
      <c r="L520" s="22"/>
      <c r="M520" s="22"/>
    </row>
    <row r="521" spans="2:13" ht="12.75">
      <c r="B521" s="21">
        <v>44960</v>
      </c>
      <c r="C521" s="16"/>
      <c r="D521" s="25" t="s">
        <v>306</v>
      </c>
      <c r="E521" s="22"/>
      <c r="F521" s="22"/>
      <c r="G521" s="25"/>
      <c r="H521" s="25"/>
      <c r="I521" s="92">
        <v>15000</v>
      </c>
      <c r="J521" s="26">
        <f>SUM($I$4:I521)</f>
        <v>68320661.609999955</v>
      </c>
      <c r="K521" s="44">
        <f t="shared" si="8"/>
        <v>1.9409738790191042E-4</v>
      </c>
      <c r="L521" s="22"/>
      <c r="M521" s="22"/>
    </row>
    <row r="522" spans="2:13" ht="12.75">
      <c r="B522" s="21">
        <v>44960</v>
      </c>
      <c r="C522" s="16"/>
      <c r="D522" s="25" t="s">
        <v>309</v>
      </c>
      <c r="E522" s="22"/>
      <c r="F522" s="22"/>
      <c r="G522" s="25"/>
      <c r="H522" s="25"/>
      <c r="I522" s="92">
        <v>2550</v>
      </c>
      <c r="J522" s="26">
        <f>SUM($I$4:I522)</f>
        <v>68323211.609999955</v>
      </c>
      <c r="K522" s="44">
        <f t="shared" si="8"/>
        <v>3.2996555943324769E-5</v>
      </c>
      <c r="L522" s="22"/>
      <c r="M522" s="22"/>
    </row>
    <row r="523" spans="2:13" ht="12.75">
      <c r="B523" s="21">
        <v>44963</v>
      </c>
      <c r="C523" s="16"/>
      <c r="D523" s="25" t="s">
        <v>306</v>
      </c>
      <c r="E523" s="22"/>
      <c r="F523" s="22"/>
      <c r="G523" s="25"/>
      <c r="H523" s="25"/>
      <c r="I523" s="92">
        <v>6800</v>
      </c>
      <c r="J523" s="26">
        <f>SUM($I$4:I523)</f>
        <v>68330011.609999955</v>
      </c>
      <c r="K523" s="44">
        <f t="shared" si="8"/>
        <v>8.7990815848866061E-5</v>
      </c>
      <c r="L523" s="22"/>
      <c r="M523" s="22"/>
    </row>
    <row r="524" spans="2:13" ht="12.75">
      <c r="B524" s="21">
        <v>44964</v>
      </c>
      <c r="C524" s="16"/>
      <c r="D524" s="25" t="s">
        <v>306</v>
      </c>
      <c r="E524" s="22"/>
      <c r="F524" s="22"/>
      <c r="G524" s="25"/>
      <c r="H524" s="25"/>
      <c r="I524" s="92">
        <v>10000</v>
      </c>
      <c r="J524" s="26">
        <f>SUM($I$4:I524)</f>
        <v>68340011.609999955</v>
      </c>
      <c r="K524" s="44">
        <f t="shared" si="8"/>
        <v>1.2939825860127361E-4</v>
      </c>
      <c r="L524" s="22"/>
      <c r="M524" s="22"/>
    </row>
    <row r="525" spans="2:13" ht="12.75">
      <c r="B525" s="21">
        <v>44964</v>
      </c>
      <c r="C525" s="16"/>
      <c r="D525" s="25" t="s">
        <v>285</v>
      </c>
      <c r="E525" s="22"/>
      <c r="F525" s="22"/>
      <c r="G525" s="25"/>
      <c r="H525" s="25"/>
      <c r="I525" s="92">
        <v>23090</v>
      </c>
      <c r="J525" s="26">
        <f>SUM($I$4:I525)</f>
        <v>68363101.609999955</v>
      </c>
      <c r="K525" s="44">
        <f t="shared" si="8"/>
        <v>2.987805791103408E-4</v>
      </c>
      <c r="L525" s="22"/>
      <c r="M525" s="22"/>
    </row>
    <row r="526" spans="2:13" ht="12.75">
      <c r="B526" s="21">
        <v>44964</v>
      </c>
      <c r="C526" s="16"/>
      <c r="D526" s="25" t="s">
        <v>306</v>
      </c>
      <c r="E526" s="22"/>
      <c r="F526" s="22"/>
      <c r="G526" s="25"/>
      <c r="H526" s="25"/>
      <c r="I526" s="92">
        <v>15000</v>
      </c>
      <c r="J526" s="26">
        <f>SUM($I$4:I526)</f>
        <v>68378101.609999955</v>
      </c>
      <c r="K526" s="44">
        <f t="shared" si="8"/>
        <v>1.9409738790191042E-4</v>
      </c>
      <c r="L526" s="22"/>
      <c r="M526" s="22"/>
    </row>
    <row r="527" spans="2:13" ht="12.75">
      <c r="B527" s="21">
        <v>44964</v>
      </c>
      <c r="C527" s="16"/>
      <c r="D527" s="25" t="s">
        <v>285</v>
      </c>
      <c r="E527" s="22"/>
      <c r="F527" s="22"/>
      <c r="G527" s="25"/>
      <c r="H527" s="25"/>
      <c r="I527" s="92">
        <v>24000</v>
      </c>
      <c r="J527" s="26">
        <f>SUM($I$4:I527)</f>
        <v>68402101.609999955</v>
      </c>
      <c r="K527" s="44">
        <f t="shared" si="8"/>
        <v>3.1055582064305667E-4</v>
      </c>
      <c r="L527" s="22"/>
      <c r="M527" s="22"/>
    </row>
    <row r="528" spans="2:13" ht="12.75">
      <c r="B528" s="21">
        <v>44966</v>
      </c>
      <c r="C528" s="16"/>
      <c r="D528" s="25" t="s">
        <v>309</v>
      </c>
      <c r="E528" s="22"/>
      <c r="F528" s="22"/>
      <c r="G528" s="25"/>
      <c r="H528" s="25"/>
      <c r="I528" s="92">
        <v>168000</v>
      </c>
      <c r="J528" s="26">
        <f>SUM($I$4:I528)</f>
        <v>68570101.609999955</v>
      </c>
      <c r="K528" s="44">
        <f t="shared" si="8"/>
        <v>2.1738907445013967E-3</v>
      </c>
      <c r="L528" s="22"/>
      <c r="M528" s="22"/>
    </row>
    <row r="529" spans="2:13" ht="12.75">
      <c r="B529" s="21">
        <v>44966</v>
      </c>
      <c r="C529" s="16"/>
      <c r="D529" s="25" t="s">
        <v>264</v>
      </c>
      <c r="E529" s="22"/>
      <c r="F529" s="22"/>
      <c r="G529" s="25"/>
      <c r="H529" s="25"/>
      <c r="I529" s="92">
        <v>20</v>
      </c>
      <c r="J529" s="26">
        <f>SUM($I$4:I529)</f>
        <v>68570121.609999955</v>
      </c>
      <c r="K529" s="44">
        <f t="shared" si="8"/>
        <v>2.5879651720254721E-7</v>
      </c>
      <c r="L529" s="22"/>
      <c r="M529" s="22"/>
    </row>
    <row r="530" spans="2:13" ht="12.75">
      <c r="B530" s="21">
        <v>44966</v>
      </c>
      <c r="C530" s="16"/>
      <c r="D530" s="25" t="s">
        <v>264</v>
      </c>
      <c r="E530" s="22"/>
      <c r="F530" s="22"/>
      <c r="G530" s="25"/>
      <c r="H530" s="25"/>
      <c r="I530" s="92">
        <v>1.5</v>
      </c>
      <c r="J530" s="26">
        <f>SUM($I$4:I530)</f>
        <v>68570123.109999955</v>
      </c>
      <c r="K530" s="44">
        <f t="shared" si="8"/>
        <v>1.9409738790191043E-8</v>
      </c>
      <c r="L530" s="22"/>
      <c r="M530" s="22"/>
    </row>
    <row r="531" spans="2:13" ht="12.75">
      <c r="B531" s="21">
        <v>44966</v>
      </c>
      <c r="C531" s="16"/>
      <c r="D531" s="25" t="s">
        <v>309</v>
      </c>
      <c r="E531" s="22"/>
      <c r="F531" s="22"/>
      <c r="G531" s="25"/>
      <c r="H531" s="25"/>
      <c r="I531" s="92">
        <v>6800</v>
      </c>
      <c r="J531" s="26">
        <f>SUM($I$4:I531)</f>
        <v>68576923.109999955</v>
      </c>
      <c r="K531" s="44">
        <f t="shared" si="8"/>
        <v>8.7990815848866061E-5</v>
      </c>
      <c r="L531" s="22"/>
      <c r="M531" s="22"/>
    </row>
    <row r="532" spans="2:13" ht="12.75">
      <c r="B532" s="21">
        <v>44966</v>
      </c>
      <c r="C532" s="16"/>
      <c r="D532" s="25" t="s">
        <v>309</v>
      </c>
      <c r="E532" s="22"/>
      <c r="F532" s="22"/>
      <c r="G532" s="25"/>
      <c r="H532" s="25"/>
      <c r="I532" s="92">
        <v>5550</v>
      </c>
      <c r="J532" s="26">
        <f>SUM($I$4:I532)</f>
        <v>68582473.109999955</v>
      </c>
      <c r="K532" s="44">
        <f t="shared" si="8"/>
        <v>7.181603352370686E-5</v>
      </c>
      <c r="L532" s="22"/>
      <c r="M532" s="22"/>
    </row>
    <row r="533" spans="2:13" ht="12.75">
      <c r="B533" s="21">
        <v>44966</v>
      </c>
      <c r="C533" s="16"/>
      <c r="D533" s="25" t="s">
        <v>306</v>
      </c>
      <c r="E533" s="22"/>
      <c r="F533" s="22"/>
      <c r="G533" s="25"/>
      <c r="H533" s="25"/>
      <c r="I533" s="92">
        <v>47867.4</v>
      </c>
      <c r="J533" s="26">
        <f>SUM($I$4:I533)</f>
        <v>68630340.509999961</v>
      </c>
      <c r="K533" s="44">
        <f t="shared" si="8"/>
        <v>6.1939582037706046E-4</v>
      </c>
      <c r="L533" s="22"/>
      <c r="M533" s="22"/>
    </row>
    <row r="534" spans="2:13" ht="12.75">
      <c r="B534" s="21">
        <v>44966</v>
      </c>
      <c r="C534" s="16"/>
      <c r="D534" s="25" t="s">
        <v>309</v>
      </c>
      <c r="E534" s="22"/>
      <c r="F534" s="22"/>
      <c r="G534" s="25"/>
      <c r="H534" s="25"/>
      <c r="I534" s="92">
        <v>2500</v>
      </c>
      <c r="J534" s="26">
        <f>SUM($I$4:I534)</f>
        <v>68632840.509999961</v>
      </c>
      <c r="K534" s="44">
        <f t="shared" si="8"/>
        <v>3.2349564650318403E-5</v>
      </c>
      <c r="L534" s="22"/>
      <c r="M534" s="22"/>
    </row>
    <row r="535" spans="2:13" ht="12.75">
      <c r="B535" s="21">
        <v>44967</v>
      </c>
      <c r="C535" s="16"/>
      <c r="D535" s="25" t="s">
        <v>306</v>
      </c>
      <c r="E535" s="22"/>
      <c r="F535" s="22"/>
      <c r="G535" s="25"/>
      <c r="H535" s="25"/>
      <c r="I535" s="92">
        <v>15000</v>
      </c>
      <c r="J535" s="26">
        <f>SUM($I$4:I535)</f>
        <v>68647840.509999961</v>
      </c>
      <c r="K535" s="44">
        <f t="shared" si="8"/>
        <v>1.9409738790191042E-4</v>
      </c>
      <c r="L535" s="22"/>
      <c r="M535" s="22"/>
    </row>
    <row r="536" spans="2:13" ht="12.75">
      <c r="B536" s="21">
        <v>44971</v>
      </c>
      <c r="C536" s="16"/>
      <c r="D536" s="25" t="s">
        <v>309</v>
      </c>
      <c r="E536" s="22"/>
      <c r="F536" s="22"/>
      <c r="G536" s="25"/>
      <c r="H536" s="25"/>
      <c r="I536" s="92">
        <v>6800</v>
      </c>
      <c r="J536" s="26">
        <f>SUM($I$4:I536)</f>
        <v>68654640.509999961</v>
      </c>
      <c r="K536" s="44">
        <f t="shared" si="8"/>
        <v>8.7990815848866061E-5</v>
      </c>
      <c r="L536" s="22"/>
      <c r="M536" s="22"/>
    </row>
    <row r="537" spans="2:13" ht="12.75">
      <c r="B537" s="21">
        <v>44972</v>
      </c>
      <c r="C537" s="16"/>
      <c r="D537" s="25" t="s">
        <v>306</v>
      </c>
      <c r="E537" s="22"/>
      <c r="F537" s="22"/>
      <c r="G537" s="25"/>
      <c r="H537" s="25"/>
      <c r="I537" s="92">
        <v>9840</v>
      </c>
      <c r="J537" s="26">
        <f>SUM($I$4:I537)</f>
        <v>68664480.509999961</v>
      </c>
      <c r="K537" s="44">
        <f t="shared" si="8"/>
        <v>1.2732788646365324E-4</v>
      </c>
      <c r="L537" s="22"/>
      <c r="M537" s="22"/>
    </row>
    <row r="538" spans="2:13" ht="12.75">
      <c r="B538" s="21">
        <v>44972</v>
      </c>
      <c r="C538" s="16"/>
      <c r="D538" s="25" t="s">
        <v>306</v>
      </c>
      <c r="E538" s="22"/>
      <c r="F538" s="22"/>
      <c r="G538" s="25"/>
      <c r="H538" s="25"/>
      <c r="I538" s="92">
        <v>9840</v>
      </c>
      <c r="J538" s="26">
        <f>SUM($I$4:I538)</f>
        <v>68674320.509999961</v>
      </c>
      <c r="K538" s="44">
        <f t="shared" si="8"/>
        <v>1.2732788646365324E-4</v>
      </c>
      <c r="L538" s="22"/>
      <c r="M538" s="22"/>
    </row>
    <row r="539" spans="2:13" ht="12.75">
      <c r="B539" s="21">
        <v>44972</v>
      </c>
      <c r="C539" s="16"/>
      <c r="D539" s="25" t="s">
        <v>306</v>
      </c>
      <c r="E539" s="22"/>
      <c r="F539" s="22"/>
      <c r="G539" s="25"/>
      <c r="H539" s="25"/>
      <c r="I539" s="92">
        <v>9840</v>
      </c>
      <c r="J539" s="26">
        <f>SUM($I$4:I539)</f>
        <v>68684160.509999961</v>
      </c>
      <c r="K539" s="44">
        <f t="shared" si="8"/>
        <v>1.2732788646365324E-4</v>
      </c>
      <c r="L539" s="22"/>
      <c r="M539" s="22"/>
    </row>
    <row r="540" spans="2:13" ht="12.75">
      <c r="B540" s="21">
        <v>44972</v>
      </c>
      <c r="C540" s="16"/>
      <c r="D540" s="25" t="s">
        <v>306</v>
      </c>
      <c r="E540" s="22"/>
      <c r="F540" s="22"/>
      <c r="G540" s="25"/>
      <c r="H540" s="25"/>
      <c r="I540" s="92">
        <v>15000</v>
      </c>
      <c r="J540" s="26">
        <f>SUM($I$4:I540)</f>
        <v>68699160.509999961</v>
      </c>
      <c r="K540" s="44">
        <f t="shared" si="8"/>
        <v>1.9409738790191042E-4</v>
      </c>
      <c r="L540" s="22"/>
      <c r="M540" s="22"/>
    </row>
    <row r="541" spans="2:13" ht="12.75">
      <c r="B541" s="21">
        <v>44972</v>
      </c>
      <c r="C541" s="16"/>
      <c r="D541" s="25" t="s">
        <v>264</v>
      </c>
      <c r="E541" s="22"/>
      <c r="F541" s="22"/>
      <c r="G541" s="25"/>
      <c r="H541" s="25"/>
      <c r="I541" s="92">
        <v>53.75</v>
      </c>
      <c r="J541" s="26">
        <f>SUM($I$4:I541)</f>
        <v>68699214.259999961</v>
      </c>
      <c r="K541" s="44">
        <f t="shared" si="8"/>
        <v>6.9551563998184569E-7</v>
      </c>
      <c r="L541" s="22"/>
      <c r="M541" s="22"/>
    </row>
    <row r="542" spans="2:13" ht="12.75">
      <c r="B542" s="21">
        <v>44972</v>
      </c>
      <c r="C542" s="16"/>
      <c r="D542" s="25" t="s">
        <v>309</v>
      </c>
      <c r="E542" s="22"/>
      <c r="F542" s="22"/>
      <c r="G542" s="25"/>
      <c r="H542" s="25"/>
      <c r="I542" s="92">
        <v>60000</v>
      </c>
      <c r="J542" s="26">
        <f>SUM($I$4:I542)</f>
        <v>68759214.259999961</v>
      </c>
      <c r="K542" s="44">
        <f t="shared" si="8"/>
        <v>7.7638955160764167E-4</v>
      </c>
      <c r="L542" s="22"/>
      <c r="M542" s="22"/>
    </row>
    <row r="543" spans="2:13" ht="12.75">
      <c r="B543" s="21">
        <v>44973</v>
      </c>
      <c r="C543" s="16"/>
      <c r="D543" s="25" t="s">
        <v>306</v>
      </c>
      <c r="E543" s="22"/>
      <c r="F543" s="22"/>
      <c r="G543" s="25"/>
      <c r="H543" s="25"/>
      <c r="I543" s="92">
        <v>3400</v>
      </c>
      <c r="J543" s="26">
        <f>SUM($I$4:I543)</f>
        <v>68762614.259999961</v>
      </c>
      <c r="K543" s="44">
        <f t="shared" si="8"/>
        <v>4.399540792443303E-5</v>
      </c>
      <c r="L543" s="22"/>
      <c r="M543" s="22"/>
    </row>
    <row r="544" spans="2:13" ht="12.75">
      <c r="B544" s="21">
        <v>44974</v>
      </c>
      <c r="C544" s="16"/>
      <c r="D544" s="25" t="s">
        <v>306</v>
      </c>
      <c r="E544" s="22"/>
      <c r="F544" s="22"/>
      <c r="G544" s="25"/>
      <c r="H544" s="25"/>
      <c r="I544" s="92">
        <v>15000</v>
      </c>
      <c r="J544" s="26">
        <f>SUM($I$4:I544)</f>
        <v>68777614.259999961</v>
      </c>
      <c r="K544" s="44">
        <f t="shared" si="8"/>
        <v>1.9409738790191042E-4</v>
      </c>
      <c r="L544" s="22"/>
      <c r="M544" s="22"/>
    </row>
    <row r="545" spans="2:13" ht="12.75">
      <c r="B545" s="21">
        <v>44977</v>
      </c>
      <c r="C545" s="16"/>
      <c r="D545" s="25" t="s">
        <v>309</v>
      </c>
      <c r="E545" s="22"/>
      <c r="F545" s="22"/>
      <c r="G545" s="25"/>
      <c r="H545" s="25"/>
      <c r="I545" s="92">
        <v>45000</v>
      </c>
      <c r="J545" s="26">
        <f>SUM($I$4:I545)</f>
        <v>68822614.259999961</v>
      </c>
      <c r="K545" s="44">
        <f t="shared" si="8"/>
        <v>5.8229216370573125E-4</v>
      </c>
      <c r="L545" s="22"/>
      <c r="M545" s="22"/>
    </row>
    <row r="546" spans="2:13" ht="12.75">
      <c r="B546" s="21">
        <v>44977</v>
      </c>
      <c r="C546" s="16"/>
      <c r="D546" s="25" t="s">
        <v>309</v>
      </c>
      <c r="E546" s="22"/>
      <c r="F546" s="22"/>
      <c r="G546" s="25"/>
      <c r="H546" s="25"/>
      <c r="I546" s="92">
        <v>6400</v>
      </c>
      <c r="J546" s="26">
        <f>SUM($I$4:I546)</f>
        <v>68829014.259999961</v>
      </c>
      <c r="K546" s="44">
        <f t="shared" si="8"/>
        <v>8.2814885504815114E-5</v>
      </c>
      <c r="L546" s="22"/>
      <c r="M546" s="22"/>
    </row>
    <row r="547" spans="2:13" ht="12.75">
      <c r="B547" s="21">
        <v>44979</v>
      </c>
      <c r="C547" s="16"/>
      <c r="D547" s="25" t="s">
        <v>306</v>
      </c>
      <c r="E547" s="22"/>
      <c r="F547" s="22"/>
      <c r="G547" s="25"/>
      <c r="H547" s="25"/>
      <c r="I547" s="92">
        <v>15000</v>
      </c>
      <c r="J547" s="26">
        <f>SUM($I$4:I547)</f>
        <v>68844014.259999961</v>
      </c>
      <c r="K547" s="44">
        <f t="shared" si="8"/>
        <v>1.9409738790191042E-4</v>
      </c>
      <c r="L547" s="22"/>
      <c r="M547" s="22"/>
    </row>
    <row r="548" spans="2:13" ht="12.75">
      <c r="B548" s="21">
        <v>44980</v>
      </c>
      <c r="C548" s="16"/>
      <c r="D548" s="25" t="s">
        <v>309</v>
      </c>
      <c r="E548" s="22"/>
      <c r="F548" s="22"/>
      <c r="G548" s="25"/>
      <c r="H548" s="25"/>
      <c r="I548" s="92">
        <v>4000</v>
      </c>
      <c r="J548" s="26">
        <f>SUM($I$4:I548)</f>
        <v>68848014.259999961</v>
      </c>
      <c r="K548" s="44">
        <f t="shared" si="8"/>
        <v>5.1759303440509444E-5</v>
      </c>
      <c r="L548" s="22"/>
      <c r="M548" s="22"/>
    </row>
    <row r="549" spans="2:13" ht="12.75">
      <c r="B549" s="21">
        <v>44985</v>
      </c>
      <c r="C549" s="16"/>
      <c r="D549" s="25" t="s">
        <v>306</v>
      </c>
      <c r="E549" s="22"/>
      <c r="F549" s="22"/>
      <c r="G549" s="25"/>
      <c r="H549" s="25"/>
      <c r="I549" s="92">
        <v>15000</v>
      </c>
      <c r="J549" s="26">
        <f>SUM($I$4:I549)</f>
        <v>68863014.259999961</v>
      </c>
      <c r="K549" s="44">
        <f t="shared" si="8"/>
        <v>1.9409738790191042E-4</v>
      </c>
      <c r="L549" s="22"/>
      <c r="M549" s="22"/>
    </row>
    <row r="550" spans="2:13" ht="12.75">
      <c r="B550" s="21">
        <v>44987</v>
      </c>
      <c r="C550" s="16"/>
      <c r="D550" s="25" t="s">
        <v>306</v>
      </c>
      <c r="E550" s="22"/>
      <c r="F550" s="22"/>
      <c r="G550" s="25"/>
      <c r="H550" s="25"/>
      <c r="I550" s="92">
        <v>14620</v>
      </c>
      <c r="J550" s="26">
        <f>SUM($I$4:I550)</f>
        <v>68877634.259999961</v>
      </c>
      <c r="K550" s="44">
        <f t="shared" si="8"/>
        <v>1.8918025407506202E-4</v>
      </c>
      <c r="L550" s="22"/>
      <c r="M550" s="22"/>
    </row>
    <row r="551" spans="2:13" ht="12.75">
      <c r="B551" s="21">
        <v>44987</v>
      </c>
      <c r="C551" s="16"/>
      <c r="D551" s="25" t="s">
        <v>309</v>
      </c>
      <c r="E551" s="22"/>
      <c r="F551" s="22"/>
      <c r="G551" s="25"/>
      <c r="H551" s="25"/>
      <c r="I551" s="92">
        <v>58780</v>
      </c>
      <c r="J551" s="26">
        <f>SUM($I$4:I551)</f>
        <v>68936414.259999961</v>
      </c>
      <c r="K551" s="44">
        <f t="shared" si="8"/>
        <v>7.6060296405828631E-4</v>
      </c>
      <c r="L551" s="22"/>
      <c r="M551" s="22"/>
    </row>
    <row r="552" spans="2:13" ht="12.75">
      <c r="B552" s="21">
        <v>44987</v>
      </c>
      <c r="C552" s="16"/>
      <c r="D552" s="25" t="s">
        <v>306</v>
      </c>
      <c r="E552" s="22"/>
      <c r="F552" s="22"/>
      <c r="G552" s="25"/>
      <c r="H552" s="25"/>
      <c r="I552" s="92">
        <v>15000</v>
      </c>
      <c r="J552" s="26">
        <f>SUM($I$4:I552)</f>
        <v>68951414.259999961</v>
      </c>
      <c r="K552" s="44">
        <f t="shared" si="8"/>
        <v>1.9409738790191042E-4</v>
      </c>
      <c r="L552" s="22"/>
      <c r="M552" s="22"/>
    </row>
    <row r="553" spans="2:13" ht="12.75">
      <c r="B553" s="21">
        <v>44991</v>
      </c>
      <c r="C553" s="16"/>
      <c r="D553" s="25" t="s">
        <v>309</v>
      </c>
      <c r="E553" s="22"/>
      <c r="F553" s="22"/>
      <c r="G553" s="25"/>
      <c r="H553" s="25"/>
      <c r="I553" s="92">
        <v>47200</v>
      </c>
      <c r="J553" s="26">
        <f>SUM($I$4:I553)</f>
        <v>68998614.259999961</v>
      </c>
      <c r="K553" s="44">
        <f t="shared" si="8"/>
        <v>6.1075978059801147E-4</v>
      </c>
      <c r="L553" s="22"/>
      <c r="M553" s="22"/>
    </row>
    <row r="554" spans="2:13" ht="12.75">
      <c r="B554" s="21">
        <v>44991</v>
      </c>
      <c r="C554" s="16"/>
      <c r="D554" s="25" t="s">
        <v>309</v>
      </c>
      <c r="E554" s="22"/>
      <c r="F554" s="22"/>
      <c r="G554" s="25"/>
      <c r="H554" s="25"/>
      <c r="I554" s="92">
        <v>1980</v>
      </c>
      <c r="J554" s="26">
        <f>SUM($I$4:I554)</f>
        <v>69000594.259999961</v>
      </c>
      <c r="K554" s="44">
        <f t="shared" si="8"/>
        <v>2.5620855203052176E-5</v>
      </c>
      <c r="L554" s="22"/>
      <c r="M554" s="22"/>
    </row>
    <row r="555" spans="2:13" ht="12.75">
      <c r="B555" s="21">
        <v>44991</v>
      </c>
      <c r="C555" s="16"/>
      <c r="D555" s="25" t="s">
        <v>309</v>
      </c>
      <c r="E555" s="22"/>
      <c r="F555" s="22"/>
      <c r="G555" s="25"/>
      <c r="H555" s="25"/>
      <c r="I555" s="92">
        <v>69900</v>
      </c>
      <c r="J555" s="26">
        <f>SUM($I$4:I555)</f>
        <v>69070494.259999961</v>
      </c>
      <c r="K555" s="44">
        <f t="shared" si="8"/>
        <v>9.0449382762290253E-4</v>
      </c>
      <c r="L555" s="22"/>
      <c r="M555" s="22"/>
    </row>
    <row r="556" spans="2:13" ht="12.75">
      <c r="B556" s="21">
        <v>44991</v>
      </c>
      <c r="C556" s="16"/>
      <c r="D556" s="25" t="s">
        <v>264</v>
      </c>
      <c r="E556" s="22"/>
      <c r="F556" s="22"/>
      <c r="G556" s="25"/>
      <c r="H556" s="25"/>
      <c r="I556" s="92">
        <v>20</v>
      </c>
      <c r="J556" s="26">
        <f>SUM($I$4:I556)</f>
        <v>69070514.259999961</v>
      </c>
      <c r="K556" s="44">
        <f t="shared" si="8"/>
        <v>2.5879651720254721E-7</v>
      </c>
      <c r="L556" s="22"/>
      <c r="M556" s="22"/>
    </row>
    <row r="557" spans="2:13" ht="12.75">
      <c r="B557" s="21">
        <v>44991</v>
      </c>
      <c r="C557" s="16"/>
      <c r="D557" s="25" t="s">
        <v>264</v>
      </c>
      <c r="E557" s="22"/>
      <c r="F557" s="22"/>
      <c r="G557" s="25"/>
      <c r="H557" s="25"/>
      <c r="I557" s="92">
        <v>1.5</v>
      </c>
      <c r="J557" s="26">
        <f>SUM($I$4:I557)</f>
        <v>69070515.759999961</v>
      </c>
      <c r="K557" s="44">
        <f t="shared" si="8"/>
        <v>1.9409738790191043E-8</v>
      </c>
      <c r="L557" s="22"/>
      <c r="M557" s="22"/>
    </row>
    <row r="558" spans="2:13" ht="12.75">
      <c r="B558" s="21">
        <v>44992</v>
      </c>
      <c r="C558" s="16"/>
      <c r="D558" s="25" t="s">
        <v>306</v>
      </c>
      <c r="E558" s="22"/>
      <c r="F558" s="22"/>
      <c r="G558" s="25"/>
      <c r="H558" s="25"/>
      <c r="I558" s="92">
        <v>15000</v>
      </c>
      <c r="J558" s="26">
        <f>SUM($I$4:I558)</f>
        <v>69085515.759999961</v>
      </c>
      <c r="K558" s="44">
        <f t="shared" si="8"/>
        <v>1.9409738790191042E-4</v>
      </c>
      <c r="L558" s="22"/>
      <c r="M558" s="22"/>
    </row>
    <row r="559" spans="2:13" ht="12.75">
      <c r="B559" s="21">
        <v>44993</v>
      </c>
      <c r="C559" s="16"/>
      <c r="D559" s="25" t="s">
        <v>309</v>
      </c>
      <c r="E559" s="22"/>
      <c r="F559" s="22"/>
      <c r="G559" s="25"/>
      <c r="H559" s="25"/>
      <c r="I559" s="92">
        <v>47500</v>
      </c>
      <c r="J559" s="26">
        <f>SUM($I$4:I559)</f>
        <v>69133015.759999961</v>
      </c>
      <c r="K559" s="44">
        <f t="shared" si="8"/>
        <v>6.1464172835604971E-4</v>
      </c>
      <c r="L559" s="22"/>
      <c r="M559" s="22"/>
    </row>
    <row r="560" spans="2:13" ht="12.75">
      <c r="B560" s="21">
        <v>44994</v>
      </c>
      <c r="C560" s="16"/>
      <c r="D560" s="25" t="s">
        <v>309</v>
      </c>
      <c r="E560" s="22"/>
      <c r="F560" s="22"/>
      <c r="G560" s="25"/>
      <c r="H560" s="25"/>
      <c r="I560" s="92">
        <v>6880</v>
      </c>
      <c r="J560" s="26">
        <f>SUM($I$4:I560)</f>
        <v>69139895.759999961</v>
      </c>
      <c r="K560" s="44">
        <f t="shared" si="8"/>
        <v>8.9026001917676248E-5</v>
      </c>
      <c r="L560" s="22"/>
      <c r="M560" s="22"/>
    </row>
    <row r="561" spans="2:13" ht="12.75">
      <c r="B561" s="21">
        <v>44995</v>
      </c>
      <c r="C561" s="16"/>
      <c r="D561" s="25" t="s">
        <v>309</v>
      </c>
      <c r="E561" s="22"/>
      <c r="F561" s="22"/>
      <c r="G561" s="25"/>
      <c r="H561" s="25"/>
      <c r="I561" s="92">
        <v>46000</v>
      </c>
      <c r="J561" s="26">
        <f>SUM($I$4:I561)</f>
        <v>69185895.759999961</v>
      </c>
      <c r="K561" s="44">
        <f t="shared" si="8"/>
        <v>5.9523198956585861E-4</v>
      </c>
      <c r="L561" s="22"/>
      <c r="M561" s="22"/>
    </row>
    <row r="562" spans="2:13" ht="12.75">
      <c r="B562" s="21">
        <v>44998</v>
      </c>
      <c r="C562" s="16"/>
      <c r="D562" s="25" t="s">
        <v>306</v>
      </c>
      <c r="E562" s="22"/>
      <c r="F562" s="22"/>
      <c r="G562" s="25"/>
      <c r="H562" s="25"/>
      <c r="I562" s="92">
        <v>15000</v>
      </c>
      <c r="J562" s="26">
        <f>SUM($I$4:I562)</f>
        <v>69200895.759999961</v>
      </c>
      <c r="K562" s="44">
        <f t="shared" si="8"/>
        <v>1.9409738790191042E-4</v>
      </c>
      <c r="L562" s="22"/>
      <c r="M562" s="22"/>
    </row>
    <row r="563" spans="2:13" ht="12.75">
      <c r="B563" s="21">
        <v>44998</v>
      </c>
      <c r="C563" s="16"/>
      <c r="D563" s="25" t="s">
        <v>309</v>
      </c>
      <c r="E563" s="22"/>
      <c r="F563" s="22"/>
      <c r="G563" s="25"/>
      <c r="H563" s="25"/>
      <c r="I563" s="92">
        <v>6880</v>
      </c>
      <c r="J563" s="26">
        <f>SUM($I$4:I563)</f>
        <v>69207775.759999961</v>
      </c>
      <c r="K563" s="44">
        <f t="shared" si="8"/>
        <v>8.9026001917676248E-5</v>
      </c>
      <c r="L563" s="22"/>
      <c r="M563" s="22"/>
    </row>
    <row r="564" spans="2:13" ht="12.75">
      <c r="B564" s="21">
        <v>44998</v>
      </c>
      <c r="C564" s="16"/>
      <c r="D564" s="25" t="s">
        <v>309</v>
      </c>
      <c r="E564" s="22"/>
      <c r="F564" s="22"/>
      <c r="G564" s="25"/>
      <c r="H564" s="25"/>
      <c r="I564" s="92">
        <v>21050</v>
      </c>
      <c r="J564" s="26">
        <f>SUM($I$4:I564)</f>
        <v>69228825.759999961</v>
      </c>
      <c r="K564" s="44">
        <f t="shared" si="8"/>
        <v>2.7238333435568096E-4</v>
      </c>
      <c r="L564" s="22"/>
      <c r="M564" s="22"/>
    </row>
    <row r="565" spans="2:13" ht="12.75">
      <c r="B565" s="21">
        <v>45001</v>
      </c>
      <c r="C565" s="16"/>
      <c r="D565" s="25" t="s">
        <v>306</v>
      </c>
      <c r="E565" s="22"/>
      <c r="F565" s="22"/>
      <c r="G565" s="25"/>
      <c r="H565" s="25"/>
      <c r="I565" s="92">
        <v>15000</v>
      </c>
      <c r="J565" s="26">
        <f>SUM($I$4:I565)</f>
        <v>69243825.759999961</v>
      </c>
      <c r="K565" s="44">
        <f t="shared" si="8"/>
        <v>1.9409738790191042E-4</v>
      </c>
      <c r="L565" s="22"/>
      <c r="M565" s="22"/>
    </row>
    <row r="566" spans="2:13" ht="12.75">
      <c r="B566" s="21">
        <v>45001</v>
      </c>
      <c r="C566" s="16"/>
      <c r="D566" s="25" t="s">
        <v>309</v>
      </c>
      <c r="E566" s="22"/>
      <c r="F566" s="22"/>
      <c r="G566" s="25"/>
      <c r="H566" s="25"/>
      <c r="I566" s="92">
        <v>51831</v>
      </c>
      <c r="J566" s="26">
        <f>SUM($I$4:I566)</f>
        <v>69295656.759999961</v>
      </c>
      <c r="K566" s="44">
        <f t="shared" si="8"/>
        <v>6.7068411415626133E-4</v>
      </c>
      <c r="L566" s="22"/>
      <c r="M566" s="22"/>
    </row>
    <row r="567" spans="2:13" ht="12.75">
      <c r="B567" s="21">
        <v>45001</v>
      </c>
      <c r="C567" s="16"/>
      <c r="D567" s="25" t="s">
        <v>309</v>
      </c>
      <c r="E567" s="22"/>
      <c r="F567" s="22"/>
      <c r="G567" s="25"/>
      <c r="H567" s="25"/>
      <c r="I567" s="92">
        <v>4000</v>
      </c>
      <c r="J567" s="26">
        <f>SUM($I$4:I567)</f>
        <v>69299656.759999961</v>
      </c>
      <c r="K567" s="44">
        <f t="shared" si="8"/>
        <v>5.1759303440509444E-5</v>
      </c>
      <c r="L567" s="22"/>
      <c r="M567" s="22"/>
    </row>
    <row r="568" spans="2:13" ht="12.75">
      <c r="B568" s="21">
        <v>45005</v>
      </c>
      <c r="C568" s="16"/>
      <c r="D568" s="25" t="s">
        <v>306</v>
      </c>
      <c r="E568" s="22"/>
      <c r="F568" s="22"/>
      <c r="G568" s="25"/>
      <c r="H568" s="25"/>
      <c r="I568" s="92">
        <v>15000</v>
      </c>
      <c r="J568" s="26">
        <f>SUM($I$4:I568)</f>
        <v>69314656.759999961</v>
      </c>
      <c r="K568" s="44">
        <f t="shared" si="8"/>
        <v>1.9409738790191042E-4</v>
      </c>
      <c r="L568" s="22"/>
      <c r="M568" s="22"/>
    </row>
    <row r="569" spans="2:13" ht="12.75">
      <c r="B569" s="21">
        <v>45005</v>
      </c>
      <c r="C569" s="16"/>
      <c r="D569" s="25" t="s">
        <v>309</v>
      </c>
      <c r="E569" s="22"/>
      <c r="F569" s="22"/>
      <c r="G569" s="25"/>
      <c r="H569" s="25"/>
      <c r="I569" s="92">
        <v>6400</v>
      </c>
      <c r="J569" s="26">
        <f>SUM($I$4:I569)</f>
        <v>69321056.759999961</v>
      </c>
      <c r="K569" s="44">
        <f t="shared" si="8"/>
        <v>8.2814885504815114E-5</v>
      </c>
      <c r="L569" s="22"/>
      <c r="M569" s="22"/>
    </row>
    <row r="570" spans="2:13" ht="12.75">
      <c r="B570" s="21">
        <v>45005</v>
      </c>
      <c r="C570" s="16"/>
      <c r="D570" s="25" t="s">
        <v>309</v>
      </c>
      <c r="E570" s="22"/>
      <c r="F570" s="22"/>
      <c r="G570" s="25"/>
      <c r="H570" s="25"/>
      <c r="I570" s="92">
        <v>11000</v>
      </c>
      <c r="J570" s="26">
        <f>SUM($I$4:I570)</f>
        <v>69332056.759999961</v>
      </c>
      <c r="K570" s="44">
        <f t="shared" si="8"/>
        <v>1.4233808446140097E-4</v>
      </c>
      <c r="L570" s="22"/>
      <c r="M570" s="22"/>
    </row>
    <row r="571" spans="2:13" ht="12.75">
      <c r="B571" s="21">
        <v>45005</v>
      </c>
      <c r="C571" s="16"/>
      <c r="D571" s="25" t="s">
        <v>309</v>
      </c>
      <c r="E571" s="22"/>
      <c r="F571" s="22"/>
      <c r="G571" s="25"/>
      <c r="H571" s="25"/>
      <c r="I571" s="92">
        <v>2200</v>
      </c>
      <c r="J571" s="26">
        <f>SUM($I$4:I571)</f>
        <v>69334256.759999961</v>
      </c>
      <c r="K571" s="44">
        <f t="shared" si="8"/>
        <v>2.8467616892280196E-5</v>
      </c>
      <c r="L571" s="22"/>
      <c r="M571" s="22"/>
    </row>
    <row r="572" spans="2:13" ht="12.75">
      <c r="B572" s="21">
        <v>45007</v>
      </c>
      <c r="C572" s="16"/>
      <c r="D572" s="25" t="s">
        <v>309</v>
      </c>
      <c r="E572" s="22"/>
      <c r="F572" s="22"/>
      <c r="G572" s="25"/>
      <c r="H572" s="25"/>
      <c r="I572" s="92">
        <v>20200</v>
      </c>
      <c r="J572" s="26">
        <f>SUM($I$4:I572)</f>
        <v>69354456.759999961</v>
      </c>
      <c r="K572" s="44">
        <f t="shared" si="8"/>
        <v>2.6138448237457272E-4</v>
      </c>
      <c r="L572" s="22"/>
      <c r="M572" s="22"/>
    </row>
    <row r="573" spans="2:13" ht="12.75">
      <c r="B573" s="21">
        <v>45007</v>
      </c>
      <c r="C573" s="16"/>
      <c r="D573" s="25" t="s">
        <v>264</v>
      </c>
      <c r="E573" s="22"/>
      <c r="F573" s="22"/>
      <c r="G573" s="25"/>
      <c r="H573" s="25"/>
      <c r="I573" s="92">
        <v>20</v>
      </c>
      <c r="J573" s="26">
        <f>SUM($I$4:I573)</f>
        <v>69354476.759999961</v>
      </c>
      <c r="K573" s="44">
        <f t="shared" si="8"/>
        <v>2.5879651720254721E-7</v>
      </c>
      <c r="L573" s="22"/>
      <c r="M573" s="22"/>
    </row>
    <row r="574" spans="2:13" ht="12.75">
      <c r="B574" s="21">
        <v>45007</v>
      </c>
      <c r="C574" s="16"/>
      <c r="D574" s="25" t="s">
        <v>264</v>
      </c>
      <c r="E574" s="22"/>
      <c r="F574" s="22"/>
      <c r="G574" s="25"/>
      <c r="H574" s="25"/>
      <c r="I574" s="92">
        <v>1.5</v>
      </c>
      <c r="J574" s="26">
        <f>SUM($I$4:I574)</f>
        <v>69354478.259999961</v>
      </c>
      <c r="K574" s="44">
        <f t="shared" si="8"/>
        <v>1.9409738790191043E-8</v>
      </c>
      <c r="L574" s="22"/>
      <c r="M574" s="22"/>
    </row>
    <row r="575" spans="2:13" ht="12.75">
      <c r="B575" s="21">
        <v>45007</v>
      </c>
      <c r="C575" s="16"/>
      <c r="D575" s="25" t="s">
        <v>309</v>
      </c>
      <c r="E575" s="22"/>
      <c r="F575" s="22"/>
      <c r="G575" s="25"/>
      <c r="H575" s="25"/>
      <c r="I575" s="92">
        <v>19600</v>
      </c>
      <c r="J575" s="26">
        <f>SUM($I$4:I575)</f>
        <v>69374078.259999961</v>
      </c>
      <c r="K575" s="44">
        <f t="shared" si="8"/>
        <v>2.5362058685849629E-4</v>
      </c>
      <c r="L575" s="22"/>
      <c r="M575" s="22"/>
    </row>
    <row r="576" spans="2:13" ht="12.75">
      <c r="B576" s="21">
        <v>45007</v>
      </c>
      <c r="C576" s="16"/>
      <c r="D576" s="25" t="s">
        <v>264</v>
      </c>
      <c r="E576" s="22"/>
      <c r="F576" s="22"/>
      <c r="G576" s="25"/>
      <c r="H576" s="25"/>
      <c r="I576" s="92">
        <v>20</v>
      </c>
      <c r="J576" s="26">
        <f>SUM($I$4:I576)</f>
        <v>69374098.259999961</v>
      </c>
      <c r="K576" s="44">
        <f t="shared" si="8"/>
        <v>2.5879651720254721E-7</v>
      </c>
      <c r="L576" s="22"/>
      <c r="M576" s="22"/>
    </row>
    <row r="577" spans="2:13" ht="12.75">
      <c r="B577" s="21">
        <v>45007</v>
      </c>
      <c r="C577" s="16"/>
      <c r="D577" s="25" t="s">
        <v>264</v>
      </c>
      <c r="E577" s="22"/>
      <c r="F577" s="22"/>
      <c r="G577" s="25"/>
      <c r="H577" s="25"/>
      <c r="I577" s="92">
        <v>1.5</v>
      </c>
      <c r="J577" s="26">
        <f>SUM($I$4:I577)</f>
        <v>69374099.759999961</v>
      </c>
      <c r="K577" s="44">
        <f t="shared" si="8"/>
        <v>1.9409738790191043E-8</v>
      </c>
      <c r="L577" s="22"/>
      <c r="M577" s="22"/>
    </row>
    <row r="578" spans="2:13" ht="12.75">
      <c r="B578" s="21">
        <v>45008</v>
      </c>
      <c r="C578" s="16"/>
      <c r="D578" s="25" t="s">
        <v>309</v>
      </c>
      <c r="E578" s="22"/>
      <c r="F578" s="22"/>
      <c r="G578" s="25"/>
      <c r="H578" s="25"/>
      <c r="I578" s="92">
        <v>6400</v>
      </c>
      <c r="J578" s="26">
        <f>SUM($I$4:I578)</f>
        <v>69380499.759999961</v>
      </c>
      <c r="K578" s="44">
        <f t="shared" si="8"/>
        <v>8.2814885504815114E-5</v>
      </c>
      <c r="L578" s="22"/>
      <c r="M578" s="22"/>
    </row>
    <row r="579" spans="2:13" ht="12.75">
      <c r="B579" s="21">
        <v>45008</v>
      </c>
      <c r="C579" s="16"/>
      <c r="D579" s="25" t="s">
        <v>309</v>
      </c>
      <c r="E579" s="22"/>
      <c r="F579" s="22"/>
      <c r="G579" s="25"/>
      <c r="H579" s="25"/>
      <c r="I579" s="92">
        <v>50917</v>
      </c>
      <c r="J579" s="26">
        <f>SUM($I$4:I579)</f>
        <v>69431416.759999961</v>
      </c>
      <c r="K579" s="44">
        <f t="shared" si="8"/>
        <v>6.5885711332010482E-4</v>
      </c>
      <c r="L579" s="22"/>
      <c r="M579" s="22"/>
    </row>
    <row r="580" spans="2:13" ht="12.75">
      <c r="B580" s="21">
        <v>45008</v>
      </c>
      <c r="C580" s="16"/>
      <c r="D580" s="25" t="s">
        <v>309</v>
      </c>
      <c r="E580" s="22"/>
      <c r="F580" s="22"/>
      <c r="G580" s="25"/>
      <c r="H580" s="25"/>
      <c r="I580" s="92">
        <v>19262</v>
      </c>
      <c r="J580" s="26">
        <f>SUM($I$4:I580)</f>
        <v>69450678.759999961</v>
      </c>
      <c r="K580" s="44">
        <f t="shared" si="8"/>
        <v>2.4924692571777322E-4</v>
      </c>
      <c r="L580" s="22"/>
      <c r="M580" s="22"/>
    </row>
    <row r="581" spans="2:13" ht="12.75">
      <c r="B581" s="21">
        <v>45009</v>
      </c>
      <c r="C581" s="16"/>
      <c r="D581" s="25" t="s">
        <v>306</v>
      </c>
      <c r="E581" s="22"/>
      <c r="F581" s="22"/>
      <c r="G581" s="25"/>
      <c r="H581" s="25"/>
      <c r="I581" s="92">
        <v>15000</v>
      </c>
      <c r="J581" s="26">
        <f>SUM($I$4:I581)</f>
        <v>69465678.759999961</v>
      </c>
      <c r="K581" s="44">
        <f t="shared" ref="K581:K644" si="9">IF(SUM($I$4:$I$830)=0,"",I581/SUM($I$4:$I$830))</f>
        <v>1.9409738790191042E-4</v>
      </c>
      <c r="L581" s="22"/>
      <c r="M581" s="22"/>
    </row>
    <row r="582" spans="2:13" ht="12.75">
      <c r="B582" s="21">
        <v>45012</v>
      </c>
      <c r="C582" s="16"/>
      <c r="D582" s="25" t="s">
        <v>306</v>
      </c>
      <c r="E582" s="22"/>
      <c r="F582" s="22"/>
      <c r="G582" s="25"/>
      <c r="H582" s="25"/>
      <c r="I582" s="92">
        <v>15000</v>
      </c>
      <c r="J582" s="26">
        <f>SUM($I$4:I582)</f>
        <v>69480678.759999961</v>
      </c>
      <c r="K582" s="44">
        <f t="shared" si="9"/>
        <v>1.9409738790191042E-4</v>
      </c>
      <c r="L582" s="22"/>
      <c r="M582" s="22"/>
    </row>
    <row r="583" spans="2:13" ht="12.75">
      <c r="B583" s="21">
        <v>45014</v>
      </c>
      <c r="C583" s="16"/>
      <c r="D583" s="25" t="s">
        <v>309</v>
      </c>
      <c r="E583" s="22"/>
      <c r="F583" s="22"/>
      <c r="G583" s="25"/>
      <c r="H583" s="25"/>
      <c r="I583" s="92">
        <v>6400</v>
      </c>
      <c r="J583" s="26">
        <f>SUM($I$4:I583)</f>
        <v>69487078.759999961</v>
      </c>
      <c r="K583" s="44">
        <f t="shared" si="9"/>
        <v>8.2814885504815114E-5</v>
      </c>
      <c r="L583" s="22"/>
      <c r="M583" s="22"/>
    </row>
    <row r="584" spans="2:13" ht="12.75">
      <c r="B584" s="21">
        <v>45014</v>
      </c>
      <c r="C584" s="16"/>
      <c r="D584" s="25" t="s">
        <v>309</v>
      </c>
      <c r="E584" s="22"/>
      <c r="F584" s="22"/>
      <c r="G584" s="25"/>
      <c r="H584" s="25"/>
      <c r="I584" s="92">
        <v>400</v>
      </c>
      <c r="J584" s="26">
        <f>SUM($I$4:I584)</f>
        <v>69487478.759999961</v>
      </c>
      <c r="K584" s="44">
        <f t="shared" si="9"/>
        <v>5.1759303440509446E-6</v>
      </c>
      <c r="L584" s="22"/>
      <c r="M584" s="22"/>
    </row>
    <row r="585" spans="2:13" ht="12.75">
      <c r="B585" s="21">
        <v>45014</v>
      </c>
      <c r="C585" s="16"/>
      <c r="D585" s="25" t="s">
        <v>288</v>
      </c>
      <c r="E585" s="22"/>
      <c r="F585" s="22"/>
      <c r="G585" s="25"/>
      <c r="H585" s="25"/>
      <c r="I585" s="92">
        <v>10000</v>
      </c>
      <c r="J585" s="26">
        <f>SUM($I$4:I585)</f>
        <v>69497478.759999961</v>
      </c>
      <c r="K585" s="44">
        <f t="shared" si="9"/>
        <v>1.2939825860127361E-4</v>
      </c>
      <c r="L585" s="22"/>
      <c r="M585" s="22"/>
    </row>
    <row r="586" spans="2:13" ht="12.75">
      <c r="B586" s="21">
        <v>45014</v>
      </c>
      <c r="C586" s="16"/>
      <c r="D586" s="25" t="s">
        <v>288</v>
      </c>
      <c r="E586" s="22"/>
      <c r="F586" s="22"/>
      <c r="G586" s="25"/>
      <c r="H586" s="25"/>
      <c r="I586" s="92">
        <v>10000</v>
      </c>
      <c r="J586" s="26">
        <f>SUM($I$4:I586)</f>
        <v>69507478.759999961</v>
      </c>
      <c r="K586" s="44">
        <f t="shared" si="9"/>
        <v>1.2939825860127361E-4</v>
      </c>
      <c r="L586" s="22"/>
      <c r="M586" s="22"/>
    </row>
    <row r="587" spans="2:13" ht="12.75">
      <c r="B587" s="21">
        <v>45014</v>
      </c>
      <c r="C587" s="16"/>
      <c r="D587" s="25" t="s">
        <v>306</v>
      </c>
      <c r="E587" s="22"/>
      <c r="F587" s="22"/>
      <c r="G587" s="25"/>
      <c r="H587" s="25"/>
      <c r="I587" s="92">
        <v>15000</v>
      </c>
      <c r="J587" s="26">
        <f>SUM($I$4:I587)</f>
        <v>69522478.759999961</v>
      </c>
      <c r="K587" s="44">
        <f t="shared" si="9"/>
        <v>1.9409738790191042E-4</v>
      </c>
      <c r="L587" s="22"/>
      <c r="M587" s="22"/>
    </row>
    <row r="588" spans="2:13" ht="12.75">
      <c r="B588" s="21">
        <v>45015</v>
      </c>
      <c r="C588" s="16"/>
      <c r="D588" s="25" t="s">
        <v>309</v>
      </c>
      <c r="E588" s="22"/>
      <c r="F588" s="22"/>
      <c r="G588" s="25"/>
      <c r="H588" s="25"/>
      <c r="I588" s="92">
        <v>174410</v>
      </c>
      <c r="J588" s="26">
        <f>SUM($I$4:I588)</f>
        <v>69696888.759999961</v>
      </c>
      <c r="K588" s="44">
        <f t="shared" si="9"/>
        <v>2.2568350282648132E-3</v>
      </c>
      <c r="L588" s="22"/>
      <c r="M588" s="22"/>
    </row>
    <row r="589" spans="2:13" ht="12.75">
      <c r="B589" s="21">
        <v>45015</v>
      </c>
      <c r="C589" s="16"/>
      <c r="D589" s="25" t="s">
        <v>264</v>
      </c>
      <c r="E589" s="22"/>
      <c r="F589" s="22"/>
      <c r="G589" s="25"/>
      <c r="H589" s="25"/>
      <c r="I589" s="92">
        <v>20</v>
      </c>
      <c r="J589" s="26">
        <f>SUM($I$4:I589)</f>
        <v>69696908.759999961</v>
      </c>
      <c r="K589" s="44">
        <f t="shared" si="9"/>
        <v>2.5879651720254721E-7</v>
      </c>
      <c r="L589" s="22"/>
      <c r="M589" s="22"/>
    </row>
    <row r="590" spans="2:13" ht="12.75">
      <c r="B590" s="21">
        <v>45015</v>
      </c>
      <c r="C590" s="16"/>
      <c r="D590" s="25" t="s">
        <v>264</v>
      </c>
      <c r="E590" s="22"/>
      <c r="F590" s="22"/>
      <c r="G590" s="25"/>
      <c r="H590" s="25"/>
      <c r="I590" s="92">
        <v>1.5</v>
      </c>
      <c r="J590" s="26">
        <f>SUM($I$4:I590)</f>
        <v>69696910.259999961</v>
      </c>
      <c r="K590" s="44">
        <f t="shared" si="9"/>
        <v>1.9409738790191043E-8</v>
      </c>
      <c r="L590" s="22"/>
      <c r="M590" s="22"/>
    </row>
    <row r="591" spans="2:13" ht="12.75">
      <c r="B591" s="21">
        <v>45015</v>
      </c>
      <c r="C591" s="16"/>
      <c r="D591" s="25" t="s">
        <v>288</v>
      </c>
      <c r="E591" s="22"/>
      <c r="F591" s="22"/>
      <c r="G591" s="25"/>
      <c r="H591" s="25"/>
      <c r="I591" s="92">
        <v>14000</v>
      </c>
      <c r="J591" s="26">
        <f>SUM($I$4:I591)</f>
        <v>69710910.259999961</v>
      </c>
      <c r="K591" s="44">
        <f t="shared" si="9"/>
        <v>1.8115756204178306E-4</v>
      </c>
      <c r="L591" s="22"/>
      <c r="M591" s="22"/>
    </row>
    <row r="592" spans="2:13" ht="12.75">
      <c r="B592" s="21">
        <v>45015</v>
      </c>
      <c r="C592" s="16"/>
      <c r="D592" s="25" t="s">
        <v>275</v>
      </c>
      <c r="E592" s="22"/>
      <c r="F592" s="22"/>
      <c r="G592" s="25"/>
      <c r="H592" s="25"/>
      <c r="I592" s="92">
        <v>67500</v>
      </c>
      <c r="J592" s="26">
        <f>SUM($I$4:I592)</f>
        <v>69778410.259999961</v>
      </c>
      <c r="K592" s="44">
        <f t="shared" si="9"/>
        <v>8.7343824555859693E-4</v>
      </c>
      <c r="L592" s="22"/>
      <c r="M592" s="22"/>
    </row>
    <row r="593" spans="2:13" ht="12.75">
      <c r="B593" s="21">
        <v>45015</v>
      </c>
      <c r="C593" s="16"/>
      <c r="D593" s="25" t="s">
        <v>309</v>
      </c>
      <c r="E593" s="22"/>
      <c r="F593" s="22"/>
      <c r="G593" s="25"/>
      <c r="H593" s="25"/>
      <c r="I593" s="92">
        <v>5410</v>
      </c>
      <c r="J593" s="26">
        <f>SUM($I$4:I593)</f>
        <v>69783820.259999961</v>
      </c>
      <c r="K593" s="44">
        <f t="shared" si="9"/>
        <v>7.0004457903289033E-5</v>
      </c>
      <c r="L593" s="22"/>
      <c r="M593" s="22"/>
    </row>
    <row r="594" spans="2:13" ht="12.75">
      <c r="B594" s="21">
        <v>45019</v>
      </c>
      <c r="C594" s="16"/>
      <c r="D594" s="25" t="s">
        <v>306</v>
      </c>
      <c r="E594" s="22"/>
      <c r="F594" s="22"/>
      <c r="G594" s="25"/>
      <c r="H594" s="25"/>
      <c r="I594" s="92">
        <v>15000</v>
      </c>
      <c r="J594" s="26">
        <f>SUM($I$4:I594)</f>
        <v>69798820.259999961</v>
      </c>
      <c r="K594" s="44">
        <f t="shared" si="9"/>
        <v>1.9409738790191042E-4</v>
      </c>
      <c r="L594" s="22"/>
      <c r="M594" s="22"/>
    </row>
    <row r="595" spans="2:13" ht="12.75">
      <c r="B595" s="21">
        <v>45019</v>
      </c>
      <c r="C595" s="16"/>
      <c r="D595" s="25" t="s">
        <v>309</v>
      </c>
      <c r="E595" s="22"/>
      <c r="F595" s="22"/>
      <c r="G595" s="25"/>
      <c r="H595" s="25"/>
      <c r="I595" s="92">
        <v>6400</v>
      </c>
      <c r="J595" s="26">
        <f>SUM($I$4:I595)</f>
        <v>69805220.259999961</v>
      </c>
      <c r="K595" s="44">
        <f t="shared" si="9"/>
        <v>8.2814885504815114E-5</v>
      </c>
      <c r="L595" s="22"/>
      <c r="M595" s="22"/>
    </row>
    <row r="596" spans="2:13" ht="12.75">
      <c r="B596" s="21">
        <v>45019</v>
      </c>
      <c r="C596" s="16"/>
      <c r="D596" s="25" t="s">
        <v>288</v>
      </c>
      <c r="E596" s="22"/>
      <c r="F596" s="22"/>
      <c r="G596" s="25"/>
      <c r="H596" s="25"/>
      <c r="I596" s="92">
        <v>20000</v>
      </c>
      <c r="J596" s="26">
        <f>SUM($I$4:I596)</f>
        <v>69825220.259999961</v>
      </c>
      <c r="K596" s="44">
        <f t="shared" si="9"/>
        <v>2.5879651720254722E-4</v>
      </c>
      <c r="L596" s="22"/>
      <c r="M596" s="22"/>
    </row>
    <row r="597" spans="2:13" ht="12.75">
      <c r="B597" s="21">
        <v>45020</v>
      </c>
      <c r="C597" s="16"/>
      <c r="D597" s="25" t="s">
        <v>309</v>
      </c>
      <c r="E597" s="22"/>
      <c r="F597" s="22"/>
      <c r="G597" s="25"/>
      <c r="H597" s="25"/>
      <c r="I597" s="92">
        <v>68730</v>
      </c>
      <c r="J597" s="26">
        <f>SUM($I$4:I597)</f>
        <v>69893950.259999961</v>
      </c>
      <c r="K597" s="44">
        <f t="shared" si="9"/>
        <v>8.893542313665536E-4</v>
      </c>
      <c r="L597" s="22"/>
      <c r="M597" s="22"/>
    </row>
    <row r="598" spans="2:13" ht="12.75">
      <c r="B598" s="21">
        <v>45021</v>
      </c>
      <c r="C598" s="16"/>
      <c r="D598" s="25" t="s">
        <v>306</v>
      </c>
      <c r="E598" s="22"/>
      <c r="F598" s="22"/>
      <c r="G598" s="25"/>
      <c r="H598" s="25"/>
      <c r="I598" s="92">
        <v>15000</v>
      </c>
      <c r="J598" s="26">
        <f>SUM($I$4:I598)</f>
        <v>69908950.259999961</v>
      </c>
      <c r="K598" s="44">
        <f t="shared" si="9"/>
        <v>1.9409738790191042E-4</v>
      </c>
      <c r="L598" s="22"/>
      <c r="M598" s="22"/>
    </row>
    <row r="599" spans="2:13" ht="12.75">
      <c r="B599" s="21">
        <v>45021</v>
      </c>
      <c r="C599" s="16"/>
      <c r="D599" s="25" t="s">
        <v>309</v>
      </c>
      <c r="E599" s="22"/>
      <c r="F599" s="22"/>
      <c r="G599" s="25"/>
      <c r="H599" s="25"/>
      <c r="I599" s="92">
        <v>4800</v>
      </c>
      <c r="J599" s="26">
        <f>SUM($I$4:I599)</f>
        <v>69913750.259999961</v>
      </c>
      <c r="K599" s="44">
        <f t="shared" si="9"/>
        <v>6.2111164128611339E-5</v>
      </c>
      <c r="L599" s="22"/>
      <c r="M599" s="22"/>
    </row>
    <row r="600" spans="2:13" ht="12.75">
      <c r="B600" s="21">
        <v>45021</v>
      </c>
      <c r="C600" s="16"/>
      <c r="D600" s="25" t="s">
        <v>309</v>
      </c>
      <c r="E600" s="22"/>
      <c r="F600" s="22"/>
      <c r="G600" s="25"/>
      <c r="H600" s="25"/>
      <c r="I600" s="92">
        <v>16500</v>
      </c>
      <c r="J600" s="26">
        <f>SUM($I$4:I600)</f>
        <v>69930250.259999961</v>
      </c>
      <c r="K600" s="44">
        <f t="shared" si="9"/>
        <v>2.1350712669210146E-4</v>
      </c>
      <c r="L600" s="22"/>
      <c r="M600" s="22"/>
    </row>
    <row r="601" spans="2:13" ht="12.75">
      <c r="B601" s="21">
        <v>45021</v>
      </c>
      <c r="C601" s="16"/>
      <c r="D601" s="25" t="s">
        <v>309</v>
      </c>
      <c r="E601" s="22"/>
      <c r="F601" s="22"/>
      <c r="G601" s="25"/>
      <c r="H601" s="25"/>
      <c r="I601" s="92">
        <v>23000</v>
      </c>
      <c r="J601" s="26">
        <f>SUM($I$4:I601)</f>
        <v>69953250.259999961</v>
      </c>
      <c r="K601" s="44">
        <f t="shared" si="9"/>
        <v>2.9761599478292931E-4</v>
      </c>
      <c r="L601" s="22"/>
      <c r="M601" s="22"/>
    </row>
    <row r="602" spans="2:13" ht="12.75">
      <c r="B602" s="21">
        <v>45021</v>
      </c>
      <c r="C602" s="16"/>
      <c r="D602" s="25" t="s">
        <v>264</v>
      </c>
      <c r="E602" s="22"/>
      <c r="F602" s="22"/>
      <c r="G602" s="25"/>
      <c r="H602" s="25"/>
      <c r="I602" s="92">
        <v>20</v>
      </c>
      <c r="J602" s="26">
        <f>SUM($I$4:I602)</f>
        <v>69953270.259999961</v>
      </c>
      <c r="K602" s="44">
        <f t="shared" si="9"/>
        <v>2.5879651720254721E-7</v>
      </c>
      <c r="L602" s="22"/>
      <c r="M602" s="22"/>
    </row>
    <row r="603" spans="2:13" ht="12.75">
      <c r="B603" s="21">
        <v>45021</v>
      </c>
      <c r="C603" s="16"/>
      <c r="D603" s="25" t="s">
        <v>264</v>
      </c>
      <c r="E603" s="22"/>
      <c r="F603" s="22"/>
      <c r="G603" s="25"/>
      <c r="H603" s="25"/>
      <c r="I603" s="92">
        <v>1.5</v>
      </c>
      <c r="J603" s="26">
        <f>SUM($I$4:I603)</f>
        <v>69953271.759999961</v>
      </c>
      <c r="K603" s="44">
        <f t="shared" si="9"/>
        <v>1.9409738790191043E-8</v>
      </c>
      <c r="L603" s="22"/>
      <c r="M603" s="22"/>
    </row>
    <row r="604" spans="2:13" ht="12.75">
      <c r="B604" s="21">
        <v>45021</v>
      </c>
      <c r="C604" s="16"/>
      <c r="D604" s="25" t="s">
        <v>288</v>
      </c>
      <c r="E604" s="22"/>
      <c r="F604" s="22"/>
      <c r="G604" s="25"/>
      <c r="H604" s="25"/>
      <c r="I604" s="92">
        <v>20000</v>
      </c>
      <c r="J604" s="26">
        <f>SUM($I$4:I604)</f>
        <v>69973271.759999961</v>
      </c>
      <c r="K604" s="44">
        <f t="shared" si="9"/>
        <v>2.5879651720254722E-4</v>
      </c>
      <c r="L604" s="22"/>
      <c r="M604" s="22"/>
    </row>
    <row r="605" spans="2:13" ht="12.75">
      <c r="B605" s="21">
        <v>45027</v>
      </c>
      <c r="C605" s="16"/>
      <c r="D605" s="25" t="s">
        <v>309</v>
      </c>
      <c r="E605" s="22"/>
      <c r="F605" s="22"/>
      <c r="G605" s="25"/>
      <c r="H605" s="25"/>
      <c r="I605" s="92">
        <v>6400</v>
      </c>
      <c r="J605" s="26">
        <f>SUM($I$4:I605)</f>
        <v>69979671.759999961</v>
      </c>
      <c r="K605" s="44">
        <f t="shared" si="9"/>
        <v>8.2814885504815114E-5</v>
      </c>
      <c r="L605" s="22"/>
      <c r="M605" s="22"/>
    </row>
    <row r="606" spans="2:13" ht="12.75">
      <c r="B606" s="21">
        <v>45027</v>
      </c>
      <c r="C606" s="16"/>
      <c r="D606" s="25" t="s">
        <v>306</v>
      </c>
      <c r="E606" s="22"/>
      <c r="F606" s="22"/>
      <c r="G606" s="25"/>
      <c r="H606" s="25"/>
      <c r="I606" s="92">
        <v>15000</v>
      </c>
      <c r="J606" s="26">
        <f>SUM($I$4:I606)</f>
        <v>69994671.759999961</v>
      </c>
      <c r="K606" s="44">
        <f t="shared" si="9"/>
        <v>1.9409738790191042E-4</v>
      </c>
      <c r="L606" s="22"/>
      <c r="M606" s="22"/>
    </row>
    <row r="607" spans="2:13" ht="12.75">
      <c r="B607" s="21">
        <v>45027</v>
      </c>
      <c r="C607" s="16"/>
      <c r="D607" s="25" t="s">
        <v>288</v>
      </c>
      <c r="E607" s="22"/>
      <c r="F607" s="22"/>
      <c r="G607" s="25"/>
      <c r="H607" s="25"/>
      <c r="I607" s="92">
        <v>20000</v>
      </c>
      <c r="J607" s="26">
        <f>SUM($I$4:I607)</f>
        <v>70014671.759999961</v>
      </c>
      <c r="K607" s="44">
        <f t="shared" si="9"/>
        <v>2.5879651720254722E-4</v>
      </c>
      <c r="L607" s="22"/>
      <c r="M607" s="22"/>
    </row>
    <row r="608" spans="2:13" ht="12.75">
      <c r="B608" s="21">
        <v>45028</v>
      </c>
      <c r="C608" s="16"/>
      <c r="D608" s="25" t="s">
        <v>288</v>
      </c>
      <c r="E608" s="22"/>
      <c r="F608" s="22"/>
      <c r="G608" s="25"/>
      <c r="H608" s="25"/>
      <c r="I608" s="92">
        <v>20000</v>
      </c>
      <c r="J608" s="26">
        <f>SUM($I$4:I608)</f>
        <v>70034671.759999961</v>
      </c>
      <c r="K608" s="44">
        <f t="shared" si="9"/>
        <v>2.5879651720254722E-4</v>
      </c>
      <c r="L608" s="22"/>
      <c r="M608" s="22"/>
    </row>
    <row r="609" spans="2:13" ht="12.75">
      <c r="B609" s="21">
        <v>45028</v>
      </c>
      <c r="C609" s="16"/>
      <c r="D609" s="25" t="s">
        <v>288</v>
      </c>
      <c r="E609" s="22"/>
      <c r="F609" s="22"/>
      <c r="G609" s="25"/>
      <c r="H609" s="25"/>
      <c r="I609" s="92">
        <v>20000</v>
      </c>
      <c r="J609" s="26">
        <f>SUM($I$4:I609)</f>
        <v>70054671.759999961</v>
      </c>
      <c r="K609" s="44">
        <f t="shared" si="9"/>
        <v>2.5879651720254722E-4</v>
      </c>
      <c r="L609" s="22"/>
      <c r="M609" s="22"/>
    </row>
    <row r="610" spans="2:13" ht="12.75">
      <c r="B610" s="21">
        <v>45028</v>
      </c>
      <c r="C610" s="16"/>
      <c r="D610" s="25" t="s">
        <v>309</v>
      </c>
      <c r="E610" s="22"/>
      <c r="F610" s="22"/>
      <c r="G610" s="25"/>
      <c r="H610" s="25"/>
      <c r="I610" s="92">
        <v>51290</v>
      </c>
      <c r="J610" s="26">
        <f>SUM($I$4:I610)</f>
        <v>70105961.759999961</v>
      </c>
      <c r="K610" s="44">
        <f t="shared" si="9"/>
        <v>6.6368366836593235E-4</v>
      </c>
      <c r="L610" s="22"/>
      <c r="M610" s="22"/>
    </row>
    <row r="611" spans="2:13" ht="12.75">
      <c r="B611" s="21">
        <v>45028</v>
      </c>
      <c r="C611" s="16"/>
      <c r="D611" s="25" t="s">
        <v>309</v>
      </c>
      <c r="E611" s="22"/>
      <c r="F611" s="22"/>
      <c r="G611" s="25"/>
      <c r="H611" s="25"/>
      <c r="I611" s="92">
        <v>17200</v>
      </c>
      <c r="J611" s="26">
        <f>SUM($I$4:I611)</f>
        <v>70123161.759999961</v>
      </c>
      <c r="K611" s="44">
        <f t="shared" si="9"/>
        <v>2.2256500479419061E-4</v>
      </c>
      <c r="L611" s="22"/>
      <c r="M611" s="22"/>
    </row>
    <row r="612" spans="2:13" ht="12.75">
      <c r="B612" s="21">
        <v>45029</v>
      </c>
      <c r="C612" s="16"/>
      <c r="D612" s="25" t="s">
        <v>309</v>
      </c>
      <c r="E612" s="22"/>
      <c r="F612" s="22"/>
      <c r="G612" s="25"/>
      <c r="H612" s="25"/>
      <c r="I612" s="92">
        <v>6400</v>
      </c>
      <c r="J612" s="26">
        <f>SUM($I$4:I612)</f>
        <v>70129561.759999961</v>
      </c>
      <c r="K612" s="44">
        <f t="shared" si="9"/>
        <v>8.2814885504815114E-5</v>
      </c>
      <c r="L612" s="22"/>
      <c r="M612" s="22"/>
    </row>
    <row r="613" spans="2:13" ht="12.75">
      <c r="B613" s="21">
        <v>45031</v>
      </c>
      <c r="C613" s="16"/>
      <c r="D613" s="25" t="s">
        <v>306</v>
      </c>
      <c r="E613" s="22"/>
      <c r="F613" s="22"/>
      <c r="G613" s="25"/>
      <c r="H613" s="25"/>
      <c r="I613" s="92">
        <v>15000</v>
      </c>
      <c r="J613" s="26">
        <f>SUM($I$4:I613)</f>
        <v>70144561.759999961</v>
      </c>
      <c r="K613" s="44">
        <f t="shared" si="9"/>
        <v>1.9409738790191042E-4</v>
      </c>
      <c r="L613" s="22"/>
      <c r="M613" s="22"/>
    </row>
    <row r="614" spans="2:13" ht="12.75">
      <c r="B614" s="21">
        <v>45033</v>
      </c>
      <c r="C614" s="16"/>
      <c r="D614" s="25" t="s">
        <v>288</v>
      </c>
      <c r="E614" s="22"/>
      <c r="F614" s="22"/>
      <c r="G614" s="25"/>
      <c r="H614" s="25"/>
      <c r="I614" s="92">
        <v>20000</v>
      </c>
      <c r="J614" s="26">
        <f>SUM($I$4:I614)</f>
        <v>70164561.759999961</v>
      </c>
      <c r="K614" s="44">
        <f t="shared" si="9"/>
        <v>2.5879651720254722E-4</v>
      </c>
      <c r="L614" s="22"/>
      <c r="M614" s="22"/>
    </row>
    <row r="615" spans="2:13" ht="12.75">
      <c r="B615" s="21">
        <v>45034</v>
      </c>
      <c r="C615" s="16"/>
      <c r="D615" s="25" t="s">
        <v>309</v>
      </c>
      <c r="E615" s="22"/>
      <c r="F615" s="22"/>
      <c r="G615" s="25"/>
      <c r="H615" s="25"/>
      <c r="I615" s="92">
        <v>6400</v>
      </c>
      <c r="J615" s="26">
        <f>SUM($I$4:I615)</f>
        <v>70170961.759999961</v>
      </c>
      <c r="K615" s="44">
        <f t="shared" si="9"/>
        <v>8.2814885504815114E-5</v>
      </c>
      <c r="L615" s="22"/>
      <c r="M615" s="22"/>
    </row>
    <row r="616" spans="2:13" ht="12.75">
      <c r="B616" s="21">
        <v>45034</v>
      </c>
      <c r="C616" s="16"/>
      <c r="D616" s="25" t="s">
        <v>309</v>
      </c>
      <c r="E616" s="22"/>
      <c r="F616" s="22"/>
      <c r="G616" s="25"/>
      <c r="H616" s="25"/>
      <c r="I616" s="92">
        <v>45550</v>
      </c>
      <c r="J616" s="26">
        <f>SUM($I$4:I616)</f>
        <v>70216511.759999961</v>
      </c>
      <c r="K616" s="44">
        <f t="shared" si="9"/>
        <v>5.894090679288013E-4</v>
      </c>
      <c r="L616" s="22"/>
      <c r="M616" s="22"/>
    </row>
    <row r="617" spans="2:13" ht="12.75">
      <c r="B617" s="21">
        <v>45034</v>
      </c>
      <c r="C617" s="16"/>
      <c r="D617" s="25" t="s">
        <v>285</v>
      </c>
      <c r="E617" s="22"/>
      <c r="F617" s="22"/>
      <c r="G617" s="25"/>
      <c r="H617" s="25"/>
      <c r="I617" s="92">
        <v>15500</v>
      </c>
      <c r="J617" s="26">
        <f>SUM($I$4:I617)</f>
        <v>70232011.759999961</v>
      </c>
      <c r="K617" s="44">
        <f t="shared" si="9"/>
        <v>2.005673008319741E-4</v>
      </c>
      <c r="L617" s="22"/>
      <c r="M617" s="22"/>
    </row>
    <row r="618" spans="2:13" ht="12.75">
      <c r="B618" s="21">
        <v>45034</v>
      </c>
      <c r="C618" s="16"/>
      <c r="D618" s="25" t="s">
        <v>306</v>
      </c>
      <c r="E618" s="22"/>
      <c r="F618" s="22"/>
      <c r="G618" s="25"/>
      <c r="H618" s="25"/>
      <c r="I618" s="92">
        <v>15000</v>
      </c>
      <c r="J618" s="26">
        <f>SUM($I$4:I618)</f>
        <v>70247011.759999961</v>
      </c>
      <c r="K618" s="44">
        <f t="shared" si="9"/>
        <v>1.9409738790191042E-4</v>
      </c>
      <c r="L618" s="22"/>
      <c r="M618" s="22"/>
    </row>
    <row r="619" spans="2:13" ht="12.75">
      <c r="B619" s="21">
        <v>45035</v>
      </c>
      <c r="C619" s="16"/>
      <c r="D619" s="25" t="s">
        <v>309</v>
      </c>
      <c r="E619" s="22"/>
      <c r="F619" s="22"/>
      <c r="G619" s="25"/>
      <c r="H619" s="25"/>
      <c r="I619" s="92">
        <v>4700</v>
      </c>
      <c r="J619" s="26">
        <f>SUM($I$4:I619)</f>
        <v>70251711.759999961</v>
      </c>
      <c r="K619" s="44">
        <f t="shared" si="9"/>
        <v>6.0817181542598599E-5</v>
      </c>
      <c r="L619" s="22"/>
      <c r="M619" s="22"/>
    </row>
    <row r="620" spans="2:13" ht="12.75">
      <c r="B620" s="21">
        <v>45035</v>
      </c>
      <c r="C620" s="16"/>
      <c r="D620" s="25" t="s">
        <v>288</v>
      </c>
      <c r="E620" s="22"/>
      <c r="F620" s="22"/>
      <c r="G620" s="25"/>
      <c r="H620" s="25"/>
      <c r="I620" s="92">
        <v>20000</v>
      </c>
      <c r="J620" s="26">
        <f>SUM($I$4:I620)</f>
        <v>70271711.759999961</v>
      </c>
      <c r="K620" s="44">
        <f t="shared" si="9"/>
        <v>2.5879651720254722E-4</v>
      </c>
      <c r="L620" s="22"/>
      <c r="M620" s="22"/>
    </row>
    <row r="621" spans="2:13" ht="12.75">
      <c r="B621" s="21">
        <v>45036</v>
      </c>
      <c r="C621" s="16"/>
      <c r="D621" s="25" t="s">
        <v>309</v>
      </c>
      <c r="E621" s="22"/>
      <c r="F621" s="22"/>
      <c r="G621" s="25"/>
      <c r="H621" s="25"/>
      <c r="I621" s="92">
        <v>4800</v>
      </c>
      <c r="J621" s="26">
        <f>SUM($I$4:I621)</f>
        <v>70276511.759999961</v>
      </c>
      <c r="K621" s="44">
        <f t="shared" si="9"/>
        <v>6.2111164128611339E-5</v>
      </c>
      <c r="L621" s="22"/>
      <c r="M621" s="22"/>
    </row>
    <row r="622" spans="2:13" ht="12.75">
      <c r="B622" s="21">
        <v>45036</v>
      </c>
      <c r="C622" s="16"/>
      <c r="D622" s="25" t="s">
        <v>309</v>
      </c>
      <c r="E622" s="22"/>
      <c r="F622" s="22"/>
      <c r="G622" s="25"/>
      <c r="H622" s="25"/>
      <c r="I622" s="92">
        <v>4800</v>
      </c>
      <c r="J622" s="26">
        <f>SUM($I$4:I622)</f>
        <v>70281311.759999961</v>
      </c>
      <c r="K622" s="44">
        <f t="shared" si="9"/>
        <v>6.2111164128611339E-5</v>
      </c>
      <c r="L622" s="22"/>
      <c r="M622" s="22"/>
    </row>
    <row r="623" spans="2:13" ht="12.75">
      <c r="B623" s="21">
        <v>45036</v>
      </c>
      <c r="C623" s="16"/>
      <c r="D623" s="25" t="s">
        <v>309</v>
      </c>
      <c r="E623" s="22"/>
      <c r="F623" s="22"/>
      <c r="G623" s="25"/>
      <c r="H623" s="25"/>
      <c r="I623" s="92">
        <v>46200</v>
      </c>
      <c r="J623" s="26">
        <f>SUM($I$4:I623)</f>
        <v>70327511.759999961</v>
      </c>
      <c r="K623" s="44">
        <f t="shared" si="9"/>
        <v>5.9781995473788411E-4</v>
      </c>
      <c r="L623" s="22"/>
      <c r="M623" s="22"/>
    </row>
    <row r="624" spans="2:13" ht="12.75">
      <c r="B624" s="21">
        <v>45036</v>
      </c>
      <c r="C624" s="16"/>
      <c r="D624" s="25" t="s">
        <v>306</v>
      </c>
      <c r="E624" s="22"/>
      <c r="F624" s="22"/>
      <c r="G624" s="25"/>
      <c r="H624" s="25"/>
      <c r="I624" s="92">
        <v>15000</v>
      </c>
      <c r="J624" s="26">
        <f>SUM($I$4:I624)</f>
        <v>70342511.759999961</v>
      </c>
      <c r="K624" s="44">
        <f t="shared" si="9"/>
        <v>1.9409738790191042E-4</v>
      </c>
      <c r="L624" s="22"/>
      <c r="M624" s="22"/>
    </row>
    <row r="625" spans="2:13" ht="12.75">
      <c r="B625" s="21">
        <v>45042</v>
      </c>
      <c r="C625" s="16"/>
      <c r="D625" s="25" t="s">
        <v>306</v>
      </c>
      <c r="E625" s="22"/>
      <c r="F625" s="22"/>
      <c r="G625" s="25"/>
      <c r="H625" s="25"/>
      <c r="I625" s="92">
        <v>15000</v>
      </c>
      <c r="J625" s="26">
        <f>SUM($I$4:I625)</f>
        <v>70357511.759999961</v>
      </c>
      <c r="K625" s="44">
        <f t="shared" si="9"/>
        <v>1.9409738790191042E-4</v>
      </c>
      <c r="L625" s="22"/>
      <c r="M625" s="22"/>
    </row>
    <row r="626" spans="2:13" ht="12.75">
      <c r="B626" s="21">
        <v>45042</v>
      </c>
      <c r="C626" s="16"/>
      <c r="D626" s="25" t="s">
        <v>288</v>
      </c>
      <c r="E626" s="22"/>
      <c r="F626" s="22"/>
      <c r="G626" s="25"/>
      <c r="H626" s="25"/>
      <c r="I626" s="92">
        <v>10000</v>
      </c>
      <c r="J626" s="26">
        <f>SUM($I$4:I626)</f>
        <v>70367511.759999961</v>
      </c>
      <c r="K626" s="44">
        <f t="shared" si="9"/>
        <v>1.2939825860127361E-4</v>
      </c>
      <c r="L626" s="22"/>
      <c r="M626" s="22"/>
    </row>
    <row r="627" spans="2:13" ht="12.75">
      <c r="B627" s="21">
        <v>45042</v>
      </c>
      <c r="C627" s="16"/>
      <c r="D627" s="25" t="s">
        <v>288</v>
      </c>
      <c r="E627" s="22"/>
      <c r="F627" s="22"/>
      <c r="G627" s="25"/>
      <c r="H627" s="25"/>
      <c r="I627" s="92">
        <v>10000</v>
      </c>
      <c r="J627" s="26">
        <f>SUM($I$4:I627)</f>
        <v>70377511.759999961</v>
      </c>
      <c r="K627" s="44">
        <f t="shared" si="9"/>
        <v>1.2939825860127361E-4</v>
      </c>
      <c r="L627" s="22"/>
      <c r="M627" s="22"/>
    </row>
    <row r="628" spans="2:13" ht="12.75">
      <c r="B628" s="21">
        <v>45043</v>
      </c>
      <c r="C628" s="16"/>
      <c r="D628" s="25" t="s">
        <v>288</v>
      </c>
      <c r="E628" s="22"/>
      <c r="F628" s="22"/>
      <c r="G628" s="25"/>
      <c r="H628" s="25"/>
      <c r="I628" s="92">
        <v>20000</v>
      </c>
      <c r="J628" s="26">
        <f>SUM($I$4:I628)</f>
        <v>70397511.759999961</v>
      </c>
      <c r="K628" s="44">
        <f t="shared" si="9"/>
        <v>2.5879651720254722E-4</v>
      </c>
      <c r="L628" s="22"/>
      <c r="M628" s="22"/>
    </row>
    <row r="629" spans="2:13" ht="12.75">
      <c r="B629" s="21">
        <v>45044</v>
      </c>
      <c r="C629" s="16"/>
      <c r="D629" s="25" t="s">
        <v>306</v>
      </c>
      <c r="E629" s="22"/>
      <c r="F629" s="22"/>
      <c r="G629" s="25"/>
      <c r="H629" s="25"/>
      <c r="I629" s="92">
        <v>15000</v>
      </c>
      <c r="J629" s="26">
        <f>SUM($I$4:I629)</f>
        <v>70412511.759999961</v>
      </c>
      <c r="K629" s="44">
        <f t="shared" si="9"/>
        <v>1.9409738790191042E-4</v>
      </c>
      <c r="L629" s="22"/>
      <c r="M629" s="22"/>
    </row>
    <row r="630" spans="2:13" ht="12.75">
      <c r="B630" s="21">
        <v>45046</v>
      </c>
      <c r="C630" s="16"/>
      <c r="D630" s="25" t="s">
        <v>309</v>
      </c>
      <c r="E630" s="22"/>
      <c r="F630" s="22"/>
      <c r="G630" s="25"/>
      <c r="H630" s="25"/>
      <c r="I630" s="92">
        <v>171300</v>
      </c>
      <c r="J630" s="26">
        <f>SUM($I$4:I630)</f>
        <v>70583811.759999961</v>
      </c>
      <c r="K630" s="44">
        <f t="shared" si="9"/>
        <v>2.216592169839817E-3</v>
      </c>
      <c r="L630" s="22"/>
      <c r="M630" s="22"/>
    </row>
    <row r="631" spans="2:13" ht="12.75">
      <c r="B631" s="21">
        <v>45048</v>
      </c>
      <c r="C631" s="16"/>
      <c r="D631" s="25" t="s">
        <v>309</v>
      </c>
      <c r="E631" s="22"/>
      <c r="F631" s="22"/>
      <c r="G631" s="25"/>
      <c r="H631" s="25"/>
      <c r="I631" s="92">
        <v>5600</v>
      </c>
      <c r="J631" s="26">
        <f>SUM($I$4:I631)</f>
        <v>70589411.759999961</v>
      </c>
      <c r="K631" s="44">
        <f t="shared" si="9"/>
        <v>7.246302481671322E-5</v>
      </c>
      <c r="L631" s="22"/>
      <c r="M631" s="22"/>
    </row>
    <row r="632" spans="2:13" ht="12.75">
      <c r="B632" s="21">
        <v>45048</v>
      </c>
      <c r="C632" s="16"/>
      <c r="D632" s="25" t="s">
        <v>309</v>
      </c>
      <c r="E632" s="22"/>
      <c r="F632" s="22"/>
      <c r="G632" s="25"/>
      <c r="H632" s="25"/>
      <c r="I632" s="92">
        <v>5600</v>
      </c>
      <c r="J632" s="26">
        <f>SUM($I$4:I632)</f>
        <v>70595011.759999961</v>
      </c>
      <c r="K632" s="44">
        <f t="shared" si="9"/>
        <v>7.246302481671322E-5</v>
      </c>
      <c r="L632" s="22"/>
      <c r="M632" s="22"/>
    </row>
    <row r="633" spans="2:13" ht="12.75">
      <c r="B633" s="21">
        <v>45048</v>
      </c>
      <c r="C633" s="16"/>
      <c r="D633" s="25" t="s">
        <v>309</v>
      </c>
      <c r="E633" s="22"/>
      <c r="F633" s="22"/>
      <c r="G633" s="25"/>
      <c r="H633" s="25"/>
      <c r="I633" s="92">
        <v>15500</v>
      </c>
      <c r="J633" s="26">
        <f>SUM($I$4:I633)</f>
        <v>70610511.759999961</v>
      </c>
      <c r="K633" s="44">
        <f t="shared" si="9"/>
        <v>2.005673008319741E-4</v>
      </c>
      <c r="L633" s="22"/>
      <c r="M633" s="22"/>
    </row>
    <row r="634" spans="2:13" ht="12.75">
      <c r="B634" s="21">
        <v>45048</v>
      </c>
      <c r="C634" s="16"/>
      <c r="D634" s="25" t="s">
        <v>306</v>
      </c>
      <c r="E634" s="22"/>
      <c r="F634" s="22"/>
      <c r="G634" s="25"/>
      <c r="H634" s="25"/>
      <c r="I634" s="92">
        <v>15000</v>
      </c>
      <c r="J634" s="26">
        <f>SUM($I$4:I634)</f>
        <v>70625511.759999961</v>
      </c>
      <c r="K634" s="44">
        <f t="shared" si="9"/>
        <v>1.9409738790191042E-4</v>
      </c>
      <c r="L634" s="22"/>
      <c r="M634" s="22"/>
    </row>
    <row r="635" spans="2:13" ht="12.75">
      <c r="B635" s="21">
        <v>45049</v>
      </c>
      <c r="C635" s="16"/>
      <c r="D635" s="25" t="s">
        <v>309</v>
      </c>
      <c r="E635" s="22"/>
      <c r="F635" s="22"/>
      <c r="G635" s="25"/>
      <c r="H635" s="25"/>
      <c r="I635" s="92">
        <v>45000</v>
      </c>
      <c r="J635" s="26">
        <f>SUM($I$4:I635)</f>
        <v>70670511.759999961</v>
      </c>
      <c r="K635" s="44">
        <f t="shared" si="9"/>
        <v>5.8229216370573125E-4</v>
      </c>
      <c r="L635" s="22"/>
      <c r="M635" s="22"/>
    </row>
    <row r="636" spans="2:13" ht="12.75">
      <c r="B636" s="21">
        <v>45049</v>
      </c>
      <c r="C636" s="16"/>
      <c r="D636" s="25" t="s">
        <v>264</v>
      </c>
      <c r="E636" s="22"/>
      <c r="F636" s="22"/>
      <c r="G636" s="25"/>
      <c r="H636" s="25"/>
      <c r="I636" s="92">
        <v>20</v>
      </c>
      <c r="J636" s="26">
        <f>SUM($I$4:I636)</f>
        <v>70670531.759999961</v>
      </c>
      <c r="K636" s="44">
        <f t="shared" si="9"/>
        <v>2.5879651720254721E-7</v>
      </c>
      <c r="L636" s="22"/>
      <c r="M636" s="22"/>
    </row>
    <row r="637" spans="2:13" ht="12.75">
      <c r="B637" s="21">
        <v>45049</v>
      </c>
      <c r="C637" s="16"/>
      <c r="D637" s="25" t="s">
        <v>264</v>
      </c>
      <c r="E637" s="22"/>
      <c r="F637" s="22"/>
      <c r="G637" s="25"/>
      <c r="H637" s="25"/>
      <c r="I637" s="92">
        <v>1.5</v>
      </c>
      <c r="J637" s="26">
        <f>SUM($I$4:I637)</f>
        <v>70670533.259999961</v>
      </c>
      <c r="K637" s="44">
        <f t="shared" si="9"/>
        <v>1.9409738790191043E-8</v>
      </c>
      <c r="L637" s="22"/>
      <c r="M637" s="22"/>
    </row>
    <row r="638" spans="2:13" ht="12.75">
      <c r="B638" s="21">
        <v>45049</v>
      </c>
      <c r="C638" s="16"/>
      <c r="D638" s="25" t="s">
        <v>309</v>
      </c>
      <c r="E638" s="22"/>
      <c r="F638" s="22"/>
      <c r="G638" s="25"/>
      <c r="H638" s="25"/>
      <c r="I638" s="92">
        <v>15200</v>
      </c>
      <c r="J638" s="26">
        <f>SUM($I$4:I638)</f>
        <v>70685733.259999961</v>
      </c>
      <c r="K638" s="44">
        <f t="shared" si="9"/>
        <v>1.9668535307393588E-4</v>
      </c>
      <c r="L638" s="22"/>
      <c r="M638" s="22"/>
    </row>
    <row r="639" spans="2:13" ht="12.75">
      <c r="B639" s="21">
        <v>45049</v>
      </c>
      <c r="C639" s="16"/>
      <c r="D639" s="25" t="s">
        <v>264</v>
      </c>
      <c r="E639" s="22"/>
      <c r="F639" s="22"/>
      <c r="G639" s="25"/>
      <c r="H639" s="25"/>
      <c r="I639" s="92">
        <v>20</v>
      </c>
      <c r="J639" s="26">
        <f>SUM($I$4:I639)</f>
        <v>70685753.259999961</v>
      </c>
      <c r="K639" s="44">
        <f t="shared" si="9"/>
        <v>2.5879651720254721E-7</v>
      </c>
      <c r="L639" s="22"/>
      <c r="M639" s="22"/>
    </row>
    <row r="640" spans="2:13" ht="12.75">
      <c r="B640" s="21">
        <v>45049</v>
      </c>
      <c r="C640" s="16"/>
      <c r="D640" s="25" t="s">
        <v>264</v>
      </c>
      <c r="E640" s="22"/>
      <c r="F640" s="22"/>
      <c r="G640" s="25"/>
      <c r="H640" s="25"/>
      <c r="I640" s="92">
        <v>1.5</v>
      </c>
      <c r="J640" s="26">
        <f>SUM($I$4:I640)</f>
        <v>70685754.759999961</v>
      </c>
      <c r="K640" s="44">
        <f t="shared" si="9"/>
        <v>1.9409738790191043E-8</v>
      </c>
      <c r="L640" s="22"/>
      <c r="M640" s="22"/>
    </row>
    <row r="641" spans="2:13" ht="12.75">
      <c r="B641" s="21">
        <v>45049</v>
      </c>
      <c r="C641" s="16"/>
      <c r="D641" s="25" t="s">
        <v>288</v>
      </c>
      <c r="E641" s="22"/>
      <c r="F641" s="22"/>
      <c r="G641" s="25"/>
      <c r="H641" s="25"/>
      <c r="I641" s="92">
        <v>20000</v>
      </c>
      <c r="J641" s="26">
        <f>SUM($I$4:I641)</f>
        <v>70705754.759999961</v>
      </c>
      <c r="K641" s="44">
        <f t="shared" si="9"/>
        <v>2.5879651720254722E-4</v>
      </c>
      <c r="L641" s="22"/>
      <c r="M641" s="22"/>
    </row>
    <row r="642" spans="2:13" ht="12.75">
      <c r="B642" s="21">
        <v>45049</v>
      </c>
      <c r="C642" s="16"/>
      <c r="D642" s="25" t="s">
        <v>309</v>
      </c>
      <c r="E642" s="22"/>
      <c r="F642" s="22"/>
      <c r="G642" s="25"/>
      <c r="H642" s="25"/>
      <c r="I642" s="92">
        <v>99500</v>
      </c>
      <c r="J642" s="26">
        <f>SUM($I$4:I642)</f>
        <v>70805254.759999961</v>
      </c>
      <c r="K642" s="44">
        <f t="shared" si="9"/>
        <v>1.2875126730826725E-3</v>
      </c>
      <c r="L642" s="22"/>
      <c r="M642" s="22"/>
    </row>
    <row r="643" spans="2:13" ht="12.75">
      <c r="B643" s="21">
        <v>45049</v>
      </c>
      <c r="C643" s="16"/>
      <c r="D643" s="25" t="s">
        <v>264</v>
      </c>
      <c r="E643" s="22"/>
      <c r="F643" s="22"/>
      <c r="G643" s="25"/>
      <c r="H643" s="25"/>
      <c r="I643" s="92">
        <v>20</v>
      </c>
      <c r="J643" s="26">
        <f>SUM($I$4:I643)</f>
        <v>70805274.759999961</v>
      </c>
      <c r="K643" s="44">
        <f t="shared" si="9"/>
        <v>2.5879651720254721E-7</v>
      </c>
      <c r="L643" s="22"/>
      <c r="M643" s="22"/>
    </row>
    <row r="644" spans="2:13" ht="12.75">
      <c r="B644" s="21">
        <v>45049</v>
      </c>
      <c r="C644" s="16"/>
      <c r="D644" s="25" t="s">
        <v>264</v>
      </c>
      <c r="E644" s="22"/>
      <c r="F644" s="22"/>
      <c r="G644" s="25"/>
      <c r="H644" s="25"/>
      <c r="I644" s="92">
        <v>1.5</v>
      </c>
      <c r="J644" s="26">
        <f>SUM($I$4:I644)</f>
        <v>70805276.259999961</v>
      </c>
      <c r="K644" s="44">
        <f t="shared" si="9"/>
        <v>1.9409738790191043E-8</v>
      </c>
      <c r="L644" s="22"/>
      <c r="M644" s="22"/>
    </row>
    <row r="645" spans="2:13" ht="12.75">
      <c r="B645" s="21">
        <v>45049</v>
      </c>
      <c r="C645" s="16"/>
      <c r="D645" s="25" t="s">
        <v>309</v>
      </c>
      <c r="E645" s="22"/>
      <c r="F645" s="22"/>
      <c r="G645" s="25"/>
      <c r="H645" s="25"/>
      <c r="I645" s="92">
        <v>18000</v>
      </c>
      <c r="J645" s="26">
        <f>SUM($I$4:I645)</f>
        <v>70823276.259999961</v>
      </c>
      <c r="K645" s="44">
        <f t="shared" ref="K645:K708" si="10">IF(SUM($I$4:$I$830)=0,"",I645/SUM($I$4:$I$830))</f>
        <v>2.329168654822925E-4</v>
      </c>
      <c r="L645" s="22"/>
      <c r="M645" s="22"/>
    </row>
    <row r="646" spans="2:13" ht="12.75">
      <c r="B646" s="21">
        <v>45049</v>
      </c>
      <c r="C646" s="16"/>
      <c r="D646" s="25" t="s">
        <v>309</v>
      </c>
      <c r="E646" s="22"/>
      <c r="F646" s="22"/>
      <c r="G646" s="25"/>
      <c r="H646" s="25"/>
      <c r="I646" s="92">
        <v>1990</v>
      </c>
      <c r="J646" s="26">
        <f>SUM($I$4:I646)</f>
        <v>70825266.259999961</v>
      </c>
      <c r="K646" s="44">
        <f t="shared" si="10"/>
        <v>2.5750253461653449E-5</v>
      </c>
      <c r="L646" s="22"/>
      <c r="M646" s="22"/>
    </row>
    <row r="647" spans="2:13" ht="12.75">
      <c r="B647" s="21">
        <v>45051</v>
      </c>
      <c r="C647" s="16"/>
      <c r="D647" s="25" t="s">
        <v>306</v>
      </c>
      <c r="E647" s="22"/>
      <c r="F647" s="22"/>
      <c r="G647" s="25"/>
      <c r="H647" s="25"/>
      <c r="I647" s="92">
        <v>49450</v>
      </c>
      <c r="J647" s="26">
        <f>SUM($I$4:I647)</f>
        <v>70874716.259999961</v>
      </c>
      <c r="K647" s="44">
        <f t="shared" si="10"/>
        <v>6.39874388783298E-4</v>
      </c>
      <c r="L647" s="22"/>
      <c r="M647" s="22"/>
    </row>
    <row r="648" spans="2:13" ht="12.75">
      <c r="B648" s="21">
        <v>45051</v>
      </c>
      <c r="C648" s="16"/>
      <c r="D648" s="25" t="s">
        <v>288</v>
      </c>
      <c r="E648" s="22"/>
      <c r="F648" s="22"/>
      <c r="G648" s="25"/>
      <c r="H648" s="25"/>
      <c r="I648" s="92">
        <v>20000</v>
      </c>
      <c r="J648" s="26">
        <f>SUM($I$4:I648)</f>
        <v>70894716.259999961</v>
      </c>
      <c r="K648" s="44">
        <f t="shared" si="10"/>
        <v>2.5879651720254722E-4</v>
      </c>
      <c r="L648" s="22"/>
      <c r="M648" s="22"/>
    </row>
    <row r="649" spans="2:13" ht="12.75">
      <c r="B649" s="21">
        <v>45051</v>
      </c>
      <c r="C649" s="16"/>
      <c r="D649" s="25" t="s">
        <v>309</v>
      </c>
      <c r="E649" s="22"/>
      <c r="F649" s="22"/>
      <c r="G649" s="25"/>
      <c r="H649" s="25"/>
      <c r="I649" s="92">
        <v>52750</v>
      </c>
      <c r="J649" s="26">
        <f>SUM($I$4:I649)</f>
        <v>70947466.259999961</v>
      </c>
      <c r="K649" s="44">
        <f t="shared" si="10"/>
        <v>6.8257581412171833E-4</v>
      </c>
      <c r="L649" s="22"/>
      <c r="M649" s="22"/>
    </row>
    <row r="650" spans="2:13" ht="12.75">
      <c r="B650" s="21">
        <v>45051</v>
      </c>
      <c r="C650" s="16"/>
      <c r="D650" s="25" t="s">
        <v>264</v>
      </c>
      <c r="E650" s="22"/>
      <c r="F650" s="22"/>
      <c r="G650" s="25"/>
      <c r="H650" s="25"/>
      <c r="I650" s="92">
        <v>50</v>
      </c>
      <c r="J650" s="26">
        <f>SUM($I$4:I650)</f>
        <v>70947516.259999961</v>
      </c>
      <c r="K650" s="44">
        <f t="shared" si="10"/>
        <v>6.4699129300636808E-7</v>
      </c>
      <c r="L650" s="22"/>
      <c r="M650" s="22"/>
    </row>
    <row r="651" spans="2:13" ht="12.75">
      <c r="B651" s="21">
        <v>45051</v>
      </c>
      <c r="C651" s="16"/>
      <c r="D651" s="25" t="s">
        <v>264</v>
      </c>
      <c r="E651" s="22"/>
      <c r="F651" s="22"/>
      <c r="G651" s="25"/>
      <c r="H651" s="25"/>
      <c r="I651" s="92">
        <v>3.75</v>
      </c>
      <c r="J651" s="26">
        <f>SUM($I$4:I651)</f>
        <v>70947520.009999961</v>
      </c>
      <c r="K651" s="44">
        <f t="shared" si="10"/>
        <v>4.8524346975477608E-8</v>
      </c>
      <c r="L651" s="22"/>
      <c r="M651" s="22"/>
    </row>
    <row r="652" spans="2:13" ht="12.75">
      <c r="B652" s="21">
        <v>45054</v>
      </c>
      <c r="C652" s="16"/>
      <c r="D652" s="25" t="s">
        <v>306</v>
      </c>
      <c r="E652" s="22"/>
      <c r="F652" s="22"/>
      <c r="G652" s="25"/>
      <c r="H652" s="25"/>
      <c r="I652" s="92">
        <v>15000</v>
      </c>
      <c r="J652" s="26">
        <f>SUM($I$4:I652)</f>
        <v>70962520.009999961</v>
      </c>
      <c r="K652" s="44">
        <f t="shared" si="10"/>
        <v>1.9409738790191042E-4</v>
      </c>
      <c r="L652" s="22"/>
      <c r="M652" s="22"/>
    </row>
    <row r="653" spans="2:13" ht="12.75">
      <c r="B653" s="21">
        <v>45054</v>
      </c>
      <c r="C653" s="16"/>
      <c r="D653" s="25" t="s">
        <v>306</v>
      </c>
      <c r="E653" s="22"/>
      <c r="F653" s="22"/>
      <c r="G653" s="25"/>
      <c r="H653" s="25"/>
      <c r="I653" s="92">
        <v>183500</v>
      </c>
      <c r="J653" s="26">
        <f>SUM($I$4:I653)</f>
        <v>71146020.009999961</v>
      </c>
      <c r="K653" s="44">
        <f t="shared" si="10"/>
        <v>2.374458045333371E-3</v>
      </c>
      <c r="L653" s="22"/>
      <c r="M653" s="22"/>
    </row>
    <row r="654" spans="2:13" ht="12.75">
      <c r="B654" s="21">
        <v>45055</v>
      </c>
      <c r="C654" s="16"/>
      <c r="D654" s="25" t="s">
        <v>309</v>
      </c>
      <c r="E654" s="22"/>
      <c r="F654" s="22"/>
      <c r="G654" s="25"/>
      <c r="H654" s="25"/>
      <c r="I654" s="92">
        <v>5600</v>
      </c>
      <c r="J654" s="26">
        <f>SUM($I$4:I654)</f>
        <v>71151620.009999961</v>
      </c>
      <c r="K654" s="44">
        <f t="shared" si="10"/>
        <v>7.246302481671322E-5</v>
      </c>
      <c r="L654" s="22"/>
      <c r="M654" s="22"/>
    </row>
    <row r="655" spans="2:13" ht="12.75">
      <c r="B655" s="21">
        <v>45055</v>
      </c>
      <c r="C655" s="16"/>
      <c r="D655" s="25" t="s">
        <v>309</v>
      </c>
      <c r="E655" s="22"/>
      <c r="F655" s="22"/>
      <c r="G655" s="25"/>
      <c r="H655" s="25"/>
      <c r="I655" s="92">
        <v>5600</v>
      </c>
      <c r="J655" s="26">
        <f>SUM($I$4:I655)</f>
        <v>71157220.009999961</v>
      </c>
      <c r="K655" s="44">
        <f t="shared" si="10"/>
        <v>7.246302481671322E-5</v>
      </c>
      <c r="L655" s="22"/>
      <c r="M655" s="22"/>
    </row>
    <row r="656" spans="2:13" ht="12.75">
      <c r="B656" s="21">
        <v>45055</v>
      </c>
      <c r="C656" s="16"/>
      <c r="D656" s="25" t="s">
        <v>309</v>
      </c>
      <c r="E656" s="22"/>
      <c r="F656" s="22"/>
      <c r="G656" s="25"/>
      <c r="H656" s="25"/>
      <c r="I656" s="92">
        <v>42702</v>
      </c>
      <c r="J656" s="26">
        <f>SUM($I$4:I656)</f>
        <v>71199922.009999961</v>
      </c>
      <c r="K656" s="44">
        <f t="shared" si="10"/>
        <v>5.5255644387915864E-4</v>
      </c>
      <c r="L656" s="22"/>
      <c r="M656" s="22"/>
    </row>
    <row r="657" spans="2:13" ht="12.75">
      <c r="B657" s="21">
        <v>45055</v>
      </c>
      <c r="C657" s="16"/>
      <c r="D657" s="25" t="s">
        <v>309</v>
      </c>
      <c r="E657" s="22"/>
      <c r="F657" s="22"/>
      <c r="G657" s="25"/>
      <c r="H657" s="25"/>
      <c r="I657" s="92">
        <v>19800</v>
      </c>
      <c r="J657" s="26">
        <f>SUM($I$4:I657)</f>
        <v>71219722.009999961</v>
      </c>
      <c r="K657" s="44">
        <f t="shared" si="10"/>
        <v>2.5620855203052178E-4</v>
      </c>
      <c r="L657" s="22"/>
      <c r="M657" s="22"/>
    </row>
    <row r="658" spans="2:13" ht="12.75">
      <c r="B658" s="21">
        <v>45055</v>
      </c>
      <c r="C658" s="16"/>
      <c r="D658" s="25" t="s">
        <v>288</v>
      </c>
      <c r="E658" s="22"/>
      <c r="F658" s="22"/>
      <c r="G658" s="25"/>
      <c r="H658" s="25"/>
      <c r="I658" s="92">
        <v>20000</v>
      </c>
      <c r="J658" s="26">
        <f>SUM($I$4:I658)</f>
        <v>71239722.009999961</v>
      </c>
      <c r="K658" s="44">
        <f t="shared" si="10"/>
        <v>2.5879651720254722E-4</v>
      </c>
      <c r="L658" s="22"/>
      <c r="M658" s="22"/>
    </row>
    <row r="659" spans="2:13" ht="12.75">
      <c r="B659" s="21">
        <v>45056</v>
      </c>
      <c r="C659" s="16"/>
      <c r="D659" s="25" t="s">
        <v>288</v>
      </c>
      <c r="E659" s="22"/>
      <c r="F659" s="22"/>
      <c r="G659" s="25"/>
      <c r="H659" s="25"/>
      <c r="I659" s="92">
        <v>20000</v>
      </c>
      <c r="J659" s="26">
        <f>SUM($I$4:I659)</f>
        <v>71259722.009999961</v>
      </c>
      <c r="K659" s="44">
        <f t="shared" si="10"/>
        <v>2.5879651720254722E-4</v>
      </c>
      <c r="L659" s="22"/>
      <c r="M659" s="22"/>
    </row>
    <row r="660" spans="2:13" ht="12.75">
      <c r="B660" s="21">
        <v>45056</v>
      </c>
      <c r="C660" s="16"/>
      <c r="D660" s="25" t="s">
        <v>306</v>
      </c>
      <c r="E660" s="22"/>
      <c r="F660" s="22"/>
      <c r="G660" s="25"/>
      <c r="H660" s="25"/>
      <c r="I660" s="92">
        <v>15000</v>
      </c>
      <c r="J660" s="26">
        <f>SUM($I$4:I660)</f>
        <v>71274722.009999961</v>
      </c>
      <c r="K660" s="44">
        <f t="shared" si="10"/>
        <v>1.9409738790191042E-4</v>
      </c>
      <c r="L660" s="22"/>
      <c r="M660" s="22"/>
    </row>
    <row r="661" spans="2:13" ht="12.75">
      <c r="B661" s="21">
        <v>45057</v>
      </c>
      <c r="C661" s="16"/>
      <c r="D661" s="25" t="s">
        <v>288</v>
      </c>
      <c r="E661" s="22"/>
      <c r="F661" s="22"/>
      <c r="G661" s="25"/>
      <c r="H661" s="25"/>
      <c r="I661" s="92">
        <v>20000</v>
      </c>
      <c r="J661" s="26">
        <f>SUM($I$4:I661)</f>
        <v>71294722.009999961</v>
      </c>
      <c r="K661" s="44">
        <f t="shared" si="10"/>
        <v>2.5879651720254722E-4</v>
      </c>
      <c r="L661" s="22"/>
      <c r="M661" s="22"/>
    </row>
    <row r="662" spans="2:13" ht="12.75">
      <c r="B662" s="21">
        <v>45058</v>
      </c>
      <c r="C662" s="16"/>
      <c r="D662" s="25" t="s">
        <v>288</v>
      </c>
      <c r="E662" s="22"/>
      <c r="F662" s="22"/>
      <c r="G662" s="25"/>
      <c r="H662" s="25"/>
      <c r="I662" s="92">
        <v>20000</v>
      </c>
      <c r="J662" s="26">
        <f>SUM($I$4:I662)</f>
        <v>71314722.009999961</v>
      </c>
      <c r="K662" s="44">
        <f t="shared" si="10"/>
        <v>2.5879651720254722E-4</v>
      </c>
      <c r="L662" s="22"/>
      <c r="M662" s="22"/>
    </row>
    <row r="663" spans="2:13" ht="12.75">
      <c r="B663" s="21">
        <v>45062</v>
      </c>
      <c r="C663" s="16"/>
      <c r="D663" s="25" t="s">
        <v>306</v>
      </c>
      <c r="E663" s="22"/>
      <c r="F663" s="22"/>
      <c r="G663" s="25"/>
      <c r="H663" s="25"/>
      <c r="I663" s="92">
        <v>15000</v>
      </c>
      <c r="J663" s="26">
        <f>SUM($I$4:I663)</f>
        <v>71329722.009999961</v>
      </c>
      <c r="K663" s="44">
        <f t="shared" si="10"/>
        <v>1.9409738790191042E-4</v>
      </c>
      <c r="L663" s="22"/>
      <c r="M663" s="22"/>
    </row>
    <row r="664" spans="2:13" ht="12.75">
      <c r="B664" s="21">
        <v>45062</v>
      </c>
      <c r="C664" s="16"/>
      <c r="D664" s="25" t="s">
        <v>306</v>
      </c>
      <c r="E664" s="22"/>
      <c r="F664" s="22"/>
      <c r="G664" s="25"/>
      <c r="H664" s="25"/>
      <c r="I664" s="92">
        <v>3200</v>
      </c>
      <c r="J664" s="26">
        <f>SUM($I$4:I664)</f>
        <v>71332922.009999961</v>
      </c>
      <c r="K664" s="44">
        <f t="shared" si="10"/>
        <v>4.1407442752407557E-5</v>
      </c>
      <c r="L664" s="22"/>
      <c r="M664" s="22"/>
    </row>
    <row r="665" spans="2:13" ht="12.75">
      <c r="B665" s="21">
        <v>45062</v>
      </c>
      <c r="C665" s="16"/>
      <c r="D665" s="25" t="s">
        <v>309</v>
      </c>
      <c r="E665" s="22"/>
      <c r="F665" s="22"/>
      <c r="G665" s="25"/>
      <c r="H665" s="25"/>
      <c r="I665" s="92">
        <v>14700</v>
      </c>
      <c r="J665" s="26">
        <f>SUM($I$4:I665)</f>
        <v>71347622.009999961</v>
      </c>
      <c r="K665" s="44">
        <f t="shared" si="10"/>
        <v>1.902154401438722E-4</v>
      </c>
      <c r="L665" s="22"/>
      <c r="M665" s="22"/>
    </row>
    <row r="666" spans="2:13" ht="12.75">
      <c r="B666" s="21">
        <v>45062</v>
      </c>
      <c r="C666" s="16"/>
      <c r="D666" s="25" t="s">
        <v>309</v>
      </c>
      <c r="E666" s="22"/>
      <c r="F666" s="22"/>
      <c r="G666" s="25"/>
      <c r="H666" s="25"/>
      <c r="I666" s="92">
        <v>5600</v>
      </c>
      <c r="J666" s="26">
        <f>SUM($I$4:I666)</f>
        <v>71353222.009999961</v>
      </c>
      <c r="K666" s="44">
        <f t="shared" si="10"/>
        <v>7.246302481671322E-5</v>
      </c>
      <c r="L666" s="22"/>
      <c r="M666" s="22"/>
    </row>
    <row r="667" spans="2:13" ht="12.75">
      <c r="B667" s="21">
        <v>45062</v>
      </c>
      <c r="C667" s="16"/>
      <c r="D667" s="25" t="s">
        <v>309</v>
      </c>
      <c r="E667" s="22"/>
      <c r="F667" s="22"/>
      <c r="G667" s="25"/>
      <c r="H667" s="25"/>
      <c r="I667" s="92">
        <v>6500</v>
      </c>
      <c r="J667" s="26">
        <f>SUM($I$4:I667)</f>
        <v>71359722.009999961</v>
      </c>
      <c r="K667" s="44">
        <f t="shared" si="10"/>
        <v>8.4108868090827847E-5</v>
      </c>
      <c r="L667" s="22"/>
      <c r="M667" s="22"/>
    </row>
    <row r="668" spans="2:13" ht="12.75">
      <c r="B668" s="21">
        <v>45062</v>
      </c>
      <c r="C668" s="16"/>
      <c r="D668" s="25" t="s">
        <v>309</v>
      </c>
      <c r="E668" s="22"/>
      <c r="F668" s="22"/>
      <c r="G668" s="25"/>
      <c r="H668" s="25"/>
      <c r="I668" s="92">
        <v>46832</v>
      </c>
      <c r="J668" s="26">
        <f>SUM($I$4:I668)</f>
        <v>71406554.009999961</v>
      </c>
      <c r="K668" s="44">
        <f t="shared" si="10"/>
        <v>6.0599792468148464E-4</v>
      </c>
      <c r="L668" s="22"/>
      <c r="M668" s="22"/>
    </row>
    <row r="669" spans="2:13" ht="12.75">
      <c r="B669" s="21">
        <v>45063</v>
      </c>
      <c r="C669" s="16"/>
      <c r="D669" s="25" t="s">
        <v>288</v>
      </c>
      <c r="E669" s="22"/>
      <c r="F669" s="22"/>
      <c r="G669" s="25"/>
      <c r="H669" s="25"/>
      <c r="I669" s="92">
        <v>20000</v>
      </c>
      <c r="J669" s="26">
        <f>SUM($I$4:I669)</f>
        <v>71426554.009999961</v>
      </c>
      <c r="K669" s="44">
        <f t="shared" si="10"/>
        <v>2.5879651720254722E-4</v>
      </c>
      <c r="L669" s="22"/>
      <c r="M669" s="22"/>
    </row>
    <row r="670" spans="2:13" ht="12.75">
      <c r="B670" s="21">
        <v>45065</v>
      </c>
      <c r="C670" s="16"/>
      <c r="D670" s="25" t="s">
        <v>306</v>
      </c>
      <c r="E670" s="22"/>
      <c r="F670" s="22"/>
      <c r="G670" s="25"/>
      <c r="H670" s="25"/>
      <c r="I670" s="92">
        <v>15000</v>
      </c>
      <c r="J670" s="26">
        <f>SUM($I$4:I670)</f>
        <v>71441554.009999961</v>
      </c>
      <c r="K670" s="44">
        <f t="shared" si="10"/>
        <v>1.9409738790191042E-4</v>
      </c>
      <c r="L670" s="22"/>
      <c r="M670" s="22"/>
    </row>
    <row r="671" spans="2:13" ht="12.75">
      <c r="B671" s="21">
        <v>45065</v>
      </c>
      <c r="C671" s="16"/>
      <c r="D671" s="25" t="s">
        <v>288</v>
      </c>
      <c r="E671" s="22"/>
      <c r="F671" s="22"/>
      <c r="G671" s="25"/>
      <c r="H671" s="25"/>
      <c r="I671" s="92">
        <v>20000</v>
      </c>
      <c r="J671" s="26">
        <f>SUM($I$4:I671)</f>
        <v>71461554.009999961</v>
      </c>
      <c r="K671" s="44">
        <f t="shared" si="10"/>
        <v>2.5879651720254722E-4</v>
      </c>
      <c r="L671" s="22"/>
      <c r="M671" s="22"/>
    </row>
    <row r="672" spans="2:13" ht="12.75">
      <c r="B672" s="21">
        <v>45068</v>
      </c>
      <c r="C672" s="16"/>
      <c r="D672" s="25" t="s">
        <v>306</v>
      </c>
      <c r="E672" s="22"/>
      <c r="F672" s="22"/>
      <c r="G672" s="25"/>
      <c r="H672" s="25"/>
      <c r="I672" s="92">
        <v>15000</v>
      </c>
      <c r="J672" s="26">
        <f>SUM($I$4:I672)</f>
        <v>71476554.009999961</v>
      </c>
      <c r="K672" s="44">
        <f t="shared" si="10"/>
        <v>1.9409738790191042E-4</v>
      </c>
      <c r="L672" s="22"/>
      <c r="M672" s="22"/>
    </row>
    <row r="673" spans="2:13" ht="12.75">
      <c r="B673" s="21">
        <v>45068</v>
      </c>
      <c r="C673" s="16"/>
      <c r="D673" s="25" t="s">
        <v>288</v>
      </c>
      <c r="E673" s="22"/>
      <c r="F673" s="22"/>
      <c r="G673" s="25"/>
      <c r="H673" s="25"/>
      <c r="I673" s="92">
        <v>20000</v>
      </c>
      <c r="J673" s="26">
        <f>SUM($I$4:I673)</f>
        <v>71496554.009999961</v>
      </c>
      <c r="K673" s="44">
        <f t="shared" si="10"/>
        <v>2.5879651720254722E-4</v>
      </c>
      <c r="L673" s="22"/>
      <c r="M673" s="22"/>
    </row>
    <row r="674" spans="2:13" ht="12.75">
      <c r="B674" s="21">
        <v>45068</v>
      </c>
      <c r="C674" s="16"/>
      <c r="D674" s="25" t="s">
        <v>309</v>
      </c>
      <c r="E674" s="22"/>
      <c r="F674" s="22"/>
      <c r="G674" s="25"/>
      <c r="H674" s="25"/>
      <c r="I674" s="92">
        <v>29800</v>
      </c>
      <c r="J674" s="26">
        <f>SUM($I$4:I674)</f>
        <v>71526354.009999961</v>
      </c>
      <c r="K674" s="44">
        <f t="shared" si="10"/>
        <v>3.8560681063179539E-4</v>
      </c>
      <c r="L674" s="22"/>
      <c r="M674" s="22"/>
    </row>
    <row r="675" spans="2:13" ht="12.75">
      <c r="B675" s="21">
        <v>45068</v>
      </c>
      <c r="C675" s="16"/>
      <c r="D675" s="25" t="s">
        <v>264</v>
      </c>
      <c r="E675" s="22"/>
      <c r="F675" s="22"/>
      <c r="G675" s="25"/>
      <c r="H675" s="25"/>
      <c r="I675" s="92">
        <v>20</v>
      </c>
      <c r="J675" s="26">
        <f>SUM($I$4:I675)</f>
        <v>71526374.009999961</v>
      </c>
      <c r="K675" s="44">
        <f t="shared" si="10"/>
        <v>2.5879651720254721E-7</v>
      </c>
      <c r="L675" s="22"/>
      <c r="M675" s="22"/>
    </row>
    <row r="676" spans="2:13" ht="12.75">
      <c r="B676" s="21">
        <v>45068</v>
      </c>
      <c r="C676" s="16"/>
      <c r="D676" s="25" t="s">
        <v>264</v>
      </c>
      <c r="E676" s="22"/>
      <c r="F676" s="22"/>
      <c r="G676" s="25"/>
      <c r="H676" s="25"/>
      <c r="I676" s="92">
        <v>1.5</v>
      </c>
      <c r="J676" s="26">
        <f>SUM($I$4:I676)</f>
        <v>71526375.509999961</v>
      </c>
      <c r="K676" s="44">
        <f t="shared" si="10"/>
        <v>1.9409738790191043E-8</v>
      </c>
      <c r="L676" s="22"/>
      <c r="M676" s="22"/>
    </row>
    <row r="677" spans="2:13" ht="12.75">
      <c r="B677" s="21">
        <v>45069</v>
      </c>
      <c r="C677" s="16"/>
      <c r="D677" s="25" t="s">
        <v>309</v>
      </c>
      <c r="E677" s="22"/>
      <c r="F677" s="22"/>
      <c r="G677" s="25"/>
      <c r="H677" s="25"/>
      <c r="I677" s="92">
        <v>5600</v>
      </c>
      <c r="J677" s="26">
        <f>SUM($I$4:I677)</f>
        <v>71531975.509999961</v>
      </c>
      <c r="K677" s="44">
        <f t="shared" si="10"/>
        <v>7.246302481671322E-5</v>
      </c>
      <c r="L677" s="22"/>
      <c r="M677" s="22"/>
    </row>
    <row r="678" spans="2:13" ht="12.75">
      <c r="B678" s="21">
        <v>45069</v>
      </c>
      <c r="C678" s="16"/>
      <c r="D678" s="25" t="s">
        <v>311</v>
      </c>
      <c r="E678" s="22"/>
      <c r="F678" s="22"/>
      <c r="G678" s="25"/>
      <c r="H678" s="25"/>
      <c r="I678" s="92">
        <v>5600</v>
      </c>
      <c r="J678" s="26">
        <f>SUM($I$4:I678)</f>
        <v>71537575.509999961</v>
      </c>
      <c r="K678" s="44">
        <f t="shared" si="10"/>
        <v>7.246302481671322E-5</v>
      </c>
      <c r="L678" s="22"/>
      <c r="M678" s="22"/>
    </row>
    <row r="679" spans="2:13" ht="12.75">
      <c r="B679" s="21">
        <v>45069</v>
      </c>
      <c r="C679" s="16"/>
      <c r="D679" s="25" t="s">
        <v>309</v>
      </c>
      <c r="E679" s="22"/>
      <c r="F679" s="22"/>
      <c r="G679" s="25"/>
      <c r="H679" s="25"/>
      <c r="I679" s="92">
        <v>46000</v>
      </c>
      <c r="J679" s="26">
        <f>SUM($I$4:I679)</f>
        <v>71583575.509999961</v>
      </c>
      <c r="K679" s="44">
        <f t="shared" si="10"/>
        <v>5.9523198956585861E-4</v>
      </c>
      <c r="L679" s="22"/>
      <c r="M679" s="22"/>
    </row>
    <row r="680" spans="2:13" ht="12.75">
      <c r="B680" s="21">
        <v>45070</v>
      </c>
      <c r="C680" s="16"/>
      <c r="D680" s="25" t="s">
        <v>309</v>
      </c>
      <c r="E680" s="22"/>
      <c r="F680" s="22"/>
      <c r="G680" s="25"/>
      <c r="H680" s="25"/>
      <c r="I680" s="92">
        <v>2200</v>
      </c>
      <c r="J680" s="26">
        <f>SUM($I$4:I680)</f>
        <v>71585775.509999961</v>
      </c>
      <c r="K680" s="44">
        <f t="shared" si="10"/>
        <v>2.8467616892280196E-5</v>
      </c>
      <c r="L680" s="22"/>
      <c r="M680" s="22"/>
    </row>
    <row r="681" spans="2:13" ht="12.75">
      <c r="B681" s="21">
        <v>45070</v>
      </c>
      <c r="C681" s="16"/>
      <c r="D681" s="25" t="s">
        <v>309</v>
      </c>
      <c r="E681" s="22"/>
      <c r="F681" s="22"/>
      <c r="G681" s="25"/>
      <c r="H681" s="25"/>
      <c r="I681" s="92">
        <v>15700</v>
      </c>
      <c r="J681" s="26">
        <f>SUM($I$4:I681)</f>
        <v>71601475.509999961</v>
      </c>
      <c r="K681" s="44">
        <f t="shared" si="10"/>
        <v>2.0315526600399956E-4</v>
      </c>
      <c r="L681" s="22"/>
      <c r="M681" s="22"/>
    </row>
    <row r="682" spans="2:13" ht="12.75">
      <c r="B682" s="21">
        <v>45070</v>
      </c>
      <c r="C682" s="16"/>
      <c r="D682" s="25" t="s">
        <v>288</v>
      </c>
      <c r="E682" s="22"/>
      <c r="F682" s="22"/>
      <c r="G682" s="25"/>
      <c r="H682" s="25"/>
      <c r="I682" s="92">
        <v>8000</v>
      </c>
      <c r="J682" s="26">
        <f>SUM($I$4:I682)</f>
        <v>71609475.509999961</v>
      </c>
      <c r="K682" s="44">
        <f t="shared" si="10"/>
        <v>1.0351860688101889E-4</v>
      </c>
      <c r="L682" s="22"/>
      <c r="M682" s="22"/>
    </row>
    <row r="683" spans="2:13" ht="12.75">
      <c r="B683" s="21">
        <v>45072</v>
      </c>
      <c r="C683" s="16"/>
      <c r="D683" s="25" t="s">
        <v>306</v>
      </c>
      <c r="E683" s="22"/>
      <c r="F683" s="22"/>
      <c r="G683" s="25"/>
      <c r="H683" s="25"/>
      <c r="I683" s="92">
        <v>15000</v>
      </c>
      <c r="J683" s="26">
        <f>SUM($I$4:I683)</f>
        <v>71624475.509999961</v>
      </c>
      <c r="K683" s="44">
        <f t="shared" si="10"/>
        <v>1.9409738790191042E-4</v>
      </c>
      <c r="L683" s="22"/>
      <c r="M683" s="22"/>
    </row>
    <row r="684" spans="2:13" ht="12.75">
      <c r="B684" s="21">
        <v>45072</v>
      </c>
      <c r="C684" s="16"/>
      <c r="D684" s="25" t="s">
        <v>288</v>
      </c>
      <c r="E684" s="22"/>
      <c r="F684" s="22"/>
      <c r="G684" s="25"/>
      <c r="H684" s="25"/>
      <c r="I684" s="92">
        <v>20000</v>
      </c>
      <c r="J684" s="26">
        <f>SUM($I$4:I684)</f>
        <v>71644475.509999961</v>
      </c>
      <c r="K684" s="44">
        <f t="shared" si="10"/>
        <v>2.5879651720254722E-4</v>
      </c>
      <c r="L684" s="22"/>
      <c r="M684" s="22"/>
    </row>
    <row r="685" spans="2:13" ht="12.75">
      <c r="B685" s="21">
        <v>45076</v>
      </c>
      <c r="C685" s="16"/>
      <c r="D685" s="25" t="s">
        <v>309</v>
      </c>
      <c r="E685" s="22"/>
      <c r="F685" s="22"/>
      <c r="G685" s="25"/>
      <c r="H685" s="25"/>
      <c r="I685" s="92">
        <v>27000</v>
      </c>
      <c r="J685" s="26">
        <f>SUM($I$4:I685)</f>
        <v>71671475.509999961</v>
      </c>
      <c r="K685" s="44">
        <f t="shared" si="10"/>
        <v>3.4937529822343875E-4</v>
      </c>
      <c r="L685" s="22"/>
      <c r="M685" s="22"/>
    </row>
    <row r="686" spans="2:13" ht="12.75">
      <c r="B686" s="21">
        <v>45076</v>
      </c>
      <c r="C686" s="16"/>
      <c r="D686" s="25" t="s">
        <v>309</v>
      </c>
      <c r="E686" s="22"/>
      <c r="F686" s="22"/>
      <c r="G686" s="25"/>
      <c r="H686" s="25"/>
      <c r="I686" s="92">
        <v>7820</v>
      </c>
      <c r="J686" s="26">
        <f>SUM($I$4:I686)</f>
        <v>71679295.509999961</v>
      </c>
      <c r="K686" s="44">
        <f t="shared" si="10"/>
        <v>1.0118943822619597E-4</v>
      </c>
      <c r="L686" s="22"/>
      <c r="M686" s="22"/>
    </row>
    <row r="687" spans="2:13" ht="12.75">
      <c r="B687" s="21">
        <v>45077</v>
      </c>
      <c r="C687" s="16"/>
      <c r="D687" s="25" t="s">
        <v>309</v>
      </c>
      <c r="E687" s="22"/>
      <c r="F687" s="22"/>
      <c r="G687" s="25"/>
      <c r="H687" s="25"/>
      <c r="I687" s="92">
        <v>11940</v>
      </c>
      <c r="J687" s="26">
        <f>SUM($I$4:I687)</f>
        <v>71691235.509999961</v>
      </c>
      <c r="K687" s="44">
        <f t="shared" si="10"/>
        <v>1.5450152076992071E-4</v>
      </c>
      <c r="L687" s="22"/>
      <c r="M687" s="22"/>
    </row>
    <row r="688" spans="2:13" ht="12.75">
      <c r="B688" s="21">
        <v>45078</v>
      </c>
      <c r="C688" s="16"/>
      <c r="D688" s="25" t="s">
        <v>309</v>
      </c>
      <c r="E688" s="22"/>
      <c r="F688" s="22"/>
      <c r="G688" s="25"/>
      <c r="H688" s="25"/>
      <c r="I688" s="92">
        <v>5600</v>
      </c>
      <c r="J688" s="26">
        <f>SUM($I$4:I688)</f>
        <v>71696835.509999961</v>
      </c>
      <c r="K688" s="44">
        <f t="shared" si="10"/>
        <v>7.246302481671322E-5</v>
      </c>
      <c r="L688" s="22"/>
      <c r="M688" s="22"/>
    </row>
    <row r="689" spans="2:13" ht="12.75">
      <c r="B689" s="21">
        <v>45078</v>
      </c>
      <c r="C689" s="16"/>
      <c r="D689" s="25" t="s">
        <v>309</v>
      </c>
      <c r="E689" s="22"/>
      <c r="F689" s="22"/>
      <c r="G689" s="25"/>
      <c r="H689" s="25"/>
      <c r="I689" s="92">
        <v>5600</v>
      </c>
      <c r="J689" s="26">
        <f>SUM($I$4:I689)</f>
        <v>71702435.509999961</v>
      </c>
      <c r="K689" s="44">
        <f t="shared" si="10"/>
        <v>7.246302481671322E-5</v>
      </c>
      <c r="L689" s="22"/>
      <c r="M689" s="22"/>
    </row>
    <row r="690" spans="2:13" ht="12.75">
      <c r="B690" s="21">
        <v>45078</v>
      </c>
      <c r="C690" s="16"/>
      <c r="D690" s="25" t="s">
        <v>309</v>
      </c>
      <c r="E690" s="22"/>
      <c r="F690" s="22"/>
      <c r="G690" s="25"/>
      <c r="H690" s="25"/>
      <c r="I690" s="92">
        <v>46400</v>
      </c>
      <c r="J690" s="26">
        <f>SUM($I$4:I690)</f>
        <v>71748835.509999961</v>
      </c>
      <c r="K690" s="44">
        <f t="shared" si="10"/>
        <v>6.004079199099096E-4</v>
      </c>
      <c r="L690" s="22"/>
      <c r="M690" s="22"/>
    </row>
    <row r="691" spans="2:13" ht="12.75">
      <c r="B691" s="21">
        <v>45078</v>
      </c>
      <c r="C691" s="16"/>
      <c r="D691" s="25" t="s">
        <v>309</v>
      </c>
      <c r="E691" s="22"/>
      <c r="F691" s="22"/>
      <c r="G691" s="25"/>
      <c r="H691" s="25"/>
      <c r="I691" s="92">
        <v>40223</v>
      </c>
      <c r="J691" s="26">
        <f>SUM($I$4:I691)</f>
        <v>71789058.509999961</v>
      </c>
      <c r="K691" s="44">
        <f t="shared" si="10"/>
        <v>5.2047861557190291E-4</v>
      </c>
      <c r="L691" s="22"/>
      <c r="M691" s="22"/>
    </row>
    <row r="692" spans="2:13" ht="12.75">
      <c r="B692" s="21">
        <v>45078</v>
      </c>
      <c r="C692" s="16"/>
      <c r="D692" s="25" t="s">
        <v>309</v>
      </c>
      <c r="E692" s="22"/>
      <c r="F692" s="22"/>
      <c r="G692" s="25"/>
      <c r="H692" s="25"/>
      <c r="I692" s="92">
        <v>40223</v>
      </c>
      <c r="J692" s="26">
        <f>SUM($I$4:I692)</f>
        <v>71829281.509999961</v>
      </c>
      <c r="K692" s="44">
        <f t="shared" si="10"/>
        <v>5.2047861557190291E-4</v>
      </c>
      <c r="L692" s="22"/>
      <c r="M692" s="22"/>
    </row>
    <row r="693" spans="2:13" ht="12.75">
      <c r="B693" s="21">
        <v>45079</v>
      </c>
      <c r="C693" s="16"/>
      <c r="D693" s="25" t="s">
        <v>306</v>
      </c>
      <c r="E693" s="22"/>
      <c r="F693" s="22"/>
      <c r="G693" s="25"/>
      <c r="H693" s="25"/>
      <c r="I693" s="92">
        <v>15000</v>
      </c>
      <c r="J693" s="26">
        <f>SUM($I$4:I693)</f>
        <v>71844281.509999961</v>
      </c>
      <c r="K693" s="44">
        <f t="shared" si="10"/>
        <v>1.9409738790191042E-4</v>
      </c>
      <c r="L693" s="22"/>
      <c r="M693" s="22"/>
    </row>
    <row r="694" spans="2:13" ht="12.75">
      <c r="B694" s="21">
        <v>45082</v>
      </c>
      <c r="C694" s="16"/>
      <c r="D694" s="25" t="s">
        <v>306</v>
      </c>
      <c r="E694" s="22"/>
      <c r="F694" s="22"/>
      <c r="G694" s="25"/>
      <c r="H694" s="25"/>
      <c r="I694" s="92">
        <v>15000</v>
      </c>
      <c r="J694" s="26">
        <f>SUM($I$4:I694)</f>
        <v>71859281.509999961</v>
      </c>
      <c r="K694" s="44">
        <f t="shared" si="10"/>
        <v>1.9409738790191042E-4</v>
      </c>
      <c r="L694" s="22"/>
      <c r="M694" s="22"/>
    </row>
    <row r="695" spans="2:13" ht="12.75">
      <c r="B695" s="21">
        <v>45082</v>
      </c>
      <c r="C695" s="16"/>
      <c r="D695" s="25" t="s">
        <v>309</v>
      </c>
      <c r="E695" s="22"/>
      <c r="F695" s="22"/>
      <c r="G695" s="25"/>
      <c r="H695" s="25"/>
      <c r="I695" s="92">
        <v>8000</v>
      </c>
      <c r="J695" s="26">
        <f>SUM($I$4:I695)</f>
        <v>71867281.509999961</v>
      </c>
      <c r="K695" s="44">
        <f t="shared" si="10"/>
        <v>1.0351860688101889E-4</v>
      </c>
      <c r="L695" s="22"/>
      <c r="M695" s="22"/>
    </row>
    <row r="696" spans="2:13" ht="12.75">
      <c r="B696" s="21">
        <v>45082</v>
      </c>
      <c r="C696" s="16"/>
      <c r="D696" s="25" t="s">
        <v>264</v>
      </c>
      <c r="E696" s="22"/>
      <c r="F696" s="22"/>
      <c r="G696" s="25"/>
      <c r="H696" s="25"/>
      <c r="I696" s="92">
        <v>20</v>
      </c>
      <c r="J696" s="26">
        <f>SUM($I$4:I696)</f>
        <v>71867301.509999961</v>
      </c>
      <c r="K696" s="44">
        <f t="shared" si="10"/>
        <v>2.5879651720254721E-7</v>
      </c>
      <c r="L696" s="22"/>
      <c r="M696" s="22"/>
    </row>
    <row r="697" spans="2:13" ht="12.75">
      <c r="B697" s="21">
        <v>45082</v>
      </c>
      <c r="C697" s="16"/>
      <c r="D697" s="25" t="s">
        <v>264</v>
      </c>
      <c r="E697" s="22"/>
      <c r="F697" s="22"/>
      <c r="G697" s="25"/>
      <c r="H697" s="25"/>
      <c r="I697" s="92">
        <v>1.5</v>
      </c>
      <c r="J697" s="26">
        <f>SUM($I$4:I697)</f>
        <v>71867303.009999961</v>
      </c>
      <c r="K697" s="44">
        <f t="shared" si="10"/>
        <v>1.9409738790191043E-8</v>
      </c>
      <c r="L697" s="22"/>
      <c r="M697" s="22"/>
    </row>
    <row r="698" spans="2:13" ht="12.75">
      <c r="B698" s="21">
        <v>45082</v>
      </c>
      <c r="C698" s="16"/>
      <c r="D698" s="25" t="s">
        <v>309</v>
      </c>
      <c r="E698" s="22"/>
      <c r="F698" s="22"/>
      <c r="G698" s="25"/>
      <c r="H698" s="25"/>
      <c r="I698" s="92">
        <v>47000</v>
      </c>
      <c r="J698" s="26">
        <f>SUM($I$4:I698)</f>
        <v>71914303.009999961</v>
      </c>
      <c r="K698" s="44">
        <f t="shared" si="10"/>
        <v>6.0817181542598597E-4</v>
      </c>
      <c r="L698" s="22"/>
      <c r="M698" s="22"/>
    </row>
    <row r="699" spans="2:13" ht="12.75">
      <c r="B699" s="21">
        <v>45082</v>
      </c>
      <c r="C699" s="16"/>
      <c r="D699" s="25" t="s">
        <v>264</v>
      </c>
      <c r="E699" s="22"/>
      <c r="F699" s="22"/>
      <c r="G699" s="25"/>
      <c r="H699" s="25"/>
      <c r="I699" s="92">
        <v>25</v>
      </c>
      <c r="J699" s="26">
        <f>SUM($I$4:I699)</f>
        <v>71914328.009999961</v>
      </c>
      <c r="K699" s="44">
        <f t="shared" si="10"/>
        <v>3.2349564650318404E-7</v>
      </c>
      <c r="L699" s="22"/>
      <c r="M699" s="22"/>
    </row>
    <row r="700" spans="2:13" ht="12.75">
      <c r="B700" s="21">
        <v>45082</v>
      </c>
      <c r="C700" s="16"/>
      <c r="D700" s="25" t="s">
        <v>264</v>
      </c>
      <c r="E700" s="22"/>
      <c r="F700" s="22"/>
      <c r="G700" s="25"/>
      <c r="H700" s="25"/>
      <c r="I700" s="92">
        <v>1.87</v>
      </c>
      <c r="J700" s="26">
        <f>SUM($I$4:I700)</f>
        <v>71914329.879999965</v>
      </c>
      <c r="K700" s="44">
        <f t="shared" si="10"/>
        <v>2.4197474358438168E-8</v>
      </c>
      <c r="L700" s="22"/>
      <c r="M700" s="22"/>
    </row>
    <row r="701" spans="2:13" ht="12.75">
      <c r="B701" s="21">
        <v>45082</v>
      </c>
      <c r="C701" s="16"/>
      <c r="D701" s="25" t="s">
        <v>288</v>
      </c>
      <c r="E701" s="22"/>
      <c r="F701" s="22"/>
      <c r="G701" s="25"/>
      <c r="H701" s="25"/>
      <c r="I701" s="92">
        <v>20000</v>
      </c>
      <c r="J701" s="26">
        <f>SUM($I$4:I701)</f>
        <v>71934329.879999965</v>
      </c>
      <c r="K701" s="44">
        <f t="shared" si="10"/>
        <v>2.5879651720254722E-4</v>
      </c>
      <c r="L701" s="22"/>
      <c r="M701" s="22"/>
    </row>
    <row r="702" spans="2:13" ht="12.75">
      <c r="B702" s="21">
        <v>45083</v>
      </c>
      <c r="C702" s="16"/>
      <c r="D702" s="25" t="s">
        <v>288</v>
      </c>
      <c r="E702" s="22"/>
      <c r="F702" s="22"/>
      <c r="G702" s="25"/>
      <c r="H702" s="25"/>
      <c r="I702" s="92">
        <v>20000</v>
      </c>
      <c r="J702" s="26">
        <f>SUM($I$4:I702)</f>
        <v>71954329.879999965</v>
      </c>
      <c r="K702" s="44">
        <f t="shared" si="10"/>
        <v>2.5879651720254722E-4</v>
      </c>
      <c r="L702" s="22"/>
      <c r="M702" s="22"/>
    </row>
    <row r="703" spans="2:13" ht="12.75">
      <c r="B703" s="21">
        <v>45083</v>
      </c>
      <c r="C703" s="16"/>
      <c r="D703" s="25" t="s">
        <v>306</v>
      </c>
      <c r="E703" s="22"/>
      <c r="F703" s="22"/>
      <c r="G703" s="25"/>
      <c r="H703" s="25"/>
      <c r="I703" s="92">
        <v>25200</v>
      </c>
      <c r="J703" s="26">
        <f>SUM($I$4:I703)</f>
        <v>71979529.879999965</v>
      </c>
      <c r="K703" s="44">
        <f t="shared" si="10"/>
        <v>3.2608361167520952E-4</v>
      </c>
      <c r="L703" s="22"/>
      <c r="M703" s="22"/>
    </row>
    <row r="704" spans="2:13" ht="12.75">
      <c r="B704" s="21">
        <v>45083</v>
      </c>
      <c r="C704" s="16"/>
      <c r="D704" s="25" t="s">
        <v>306</v>
      </c>
      <c r="E704" s="22"/>
      <c r="F704" s="22"/>
      <c r="G704" s="25"/>
      <c r="H704" s="25"/>
      <c r="I704" s="92">
        <v>16000</v>
      </c>
      <c r="J704" s="26">
        <f>SUM($I$4:I704)</f>
        <v>71995529.879999965</v>
      </c>
      <c r="K704" s="44">
        <f t="shared" si="10"/>
        <v>2.0703721376203778E-4</v>
      </c>
      <c r="L704" s="22"/>
      <c r="M704" s="22"/>
    </row>
    <row r="705" spans="2:13" ht="12.75">
      <c r="B705" s="21">
        <v>45083</v>
      </c>
      <c r="C705" s="16"/>
      <c r="D705" s="25" t="s">
        <v>309</v>
      </c>
      <c r="E705" s="22"/>
      <c r="F705" s="22"/>
      <c r="G705" s="25"/>
      <c r="H705" s="25"/>
      <c r="I705" s="92">
        <v>14370</v>
      </c>
      <c r="J705" s="26">
        <f>SUM($I$4:I705)</f>
        <v>72009899.879999965</v>
      </c>
      <c r="K705" s="44">
        <f t="shared" si="10"/>
        <v>1.8594529761003018E-4</v>
      </c>
      <c r="L705" s="22"/>
      <c r="M705" s="22"/>
    </row>
    <row r="706" spans="2:13" ht="12.75">
      <c r="B706" s="21">
        <v>45084</v>
      </c>
      <c r="C706" s="16"/>
      <c r="D706" s="25" t="s">
        <v>306</v>
      </c>
      <c r="E706" s="22"/>
      <c r="F706" s="22"/>
      <c r="G706" s="25"/>
      <c r="H706" s="25"/>
      <c r="I706" s="92">
        <v>15000</v>
      </c>
      <c r="J706" s="26">
        <f>SUM($I$4:I706)</f>
        <v>72024899.879999965</v>
      </c>
      <c r="K706" s="44">
        <f t="shared" si="10"/>
        <v>1.9409738790191042E-4</v>
      </c>
      <c r="L706" s="22"/>
      <c r="M706" s="22"/>
    </row>
    <row r="707" spans="2:13" ht="12.75">
      <c r="B707" s="21">
        <v>45084</v>
      </c>
      <c r="C707" s="16"/>
      <c r="D707" s="25" t="s">
        <v>288</v>
      </c>
      <c r="E707" s="22"/>
      <c r="F707" s="22"/>
      <c r="G707" s="25"/>
      <c r="H707" s="25"/>
      <c r="I707" s="92">
        <v>20000</v>
      </c>
      <c r="J707" s="26">
        <f>SUM($I$4:I707)</f>
        <v>72044899.879999965</v>
      </c>
      <c r="K707" s="44">
        <f t="shared" si="10"/>
        <v>2.5879651720254722E-4</v>
      </c>
      <c r="L707" s="22"/>
      <c r="M707" s="22"/>
    </row>
    <row r="708" spans="2:13" ht="12.75">
      <c r="B708" s="21">
        <v>45084</v>
      </c>
      <c r="C708" s="16"/>
      <c r="D708" s="25" t="s">
        <v>309</v>
      </c>
      <c r="E708" s="22"/>
      <c r="F708" s="22"/>
      <c r="G708" s="25"/>
      <c r="H708" s="25"/>
      <c r="I708" s="92">
        <v>6300</v>
      </c>
      <c r="J708" s="26">
        <f>SUM($I$4:I708)</f>
        <v>72051199.879999965</v>
      </c>
      <c r="K708" s="44">
        <f t="shared" si="10"/>
        <v>8.152090291880238E-5</v>
      </c>
      <c r="L708" s="22"/>
      <c r="M708" s="22"/>
    </row>
    <row r="709" spans="2:13" ht="12.75">
      <c r="B709" s="21">
        <v>45084</v>
      </c>
      <c r="C709" s="16"/>
      <c r="D709" s="25" t="s">
        <v>309</v>
      </c>
      <c r="E709" s="22"/>
      <c r="F709" s="22"/>
      <c r="G709" s="25"/>
      <c r="H709" s="25"/>
      <c r="I709" s="92">
        <v>6300</v>
      </c>
      <c r="J709" s="26">
        <f>SUM($I$4:I709)</f>
        <v>72057499.879999965</v>
      </c>
      <c r="K709" s="44">
        <f t="shared" ref="K709:K772" si="11">IF(SUM($I$4:$I$830)=0,"",I709/SUM($I$4:$I$830))</f>
        <v>8.152090291880238E-5</v>
      </c>
      <c r="L709" s="22"/>
      <c r="M709" s="22"/>
    </row>
    <row r="710" spans="2:13" ht="12.75">
      <c r="B710" s="21">
        <v>45085</v>
      </c>
      <c r="C710" s="16"/>
      <c r="D710" s="25" t="s">
        <v>285</v>
      </c>
      <c r="E710" s="22"/>
      <c r="F710" s="22"/>
      <c r="G710" s="25"/>
      <c r="H710" s="25"/>
      <c r="I710" s="92">
        <v>36500</v>
      </c>
      <c r="J710" s="26">
        <f>SUM($I$4:I710)</f>
        <v>72093999.879999965</v>
      </c>
      <c r="K710" s="44">
        <f t="shared" si="11"/>
        <v>4.7230364389464868E-4</v>
      </c>
      <c r="L710" s="22"/>
      <c r="M710" s="22"/>
    </row>
    <row r="711" spans="2:13" ht="12.75">
      <c r="B711" s="21">
        <v>45085</v>
      </c>
      <c r="C711" s="16"/>
      <c r="D711" s="25" t="s">
        <v>288</v>
      </c>
      <c r="E711" s="22"/>
      <c r="F711" s="22"/>
      <c r="G711" s="25"/>
      <c r="H711" s="25"/>
      <c r="I711" s="92">
        <v>20000</v>
      </c>
      <c r="J711" s="26">
        <f>SUM($I$4:I711)</f>
        <v>72113999.879999965</v>
      </c>
      <c r="K711" s="44">
        <f t="shared" si="11"/>
        <v>2.5879651720254722E-4</v>
      </c>
      <c r="L711" s="22"/>
      <c r="M711" s="22"/>
    </row>
    <row r="712" spans="2:13" ht="12.75">
      <c r="B712" s="21">
        <v>45086</v>
      </c>
      <c r="C712" s="16"/>
      <c r="D712" s="25" t="s">
        <v>309</v>
      </c>
      <c r="E712" s="22"/>
      <c r="F712" s="22"/>
      <c r="G712" s="25"/>
      <c r="H712" s="25"/>
      <c r="I712" s="92">
        <v>2500</v>
      </c>
      <c r="J712" s="26">
        <f>SUM($I$4:I712)</f>
        <v>72116499.879999965</v>
      </c>
      <c r="K712" s="44">
        <f t="shared" si="11"/>
        <v>3.2349564650318403E-5</v>
      </c>
      <c r="L712" s="22"/>
      <c r="M712" s="22"/>
    </row>
    <row r="713" spans="2:13" ht="12.75">
      <c r="B713" s="21">
        <v>45086</v>
      </c>
      <c r="C713" s="16"/>
      <c r="D713" s="25" t="s">
        <v>288</v>
      </c>
      <c r="E713" s="22"/>
      <c r="F713" s="22"/>
      <c r="G713" s="25"/>
      <c r="H713" s="25"/>
      <c r="I713" s="92">
        <v>20000</v>
      </c>
      <c r="J713" s="26">
        <f>SUM($I$4:I713)</f>
        <v>72136499.879999965</v>
      </c>
      <c r="K713" s="44">
        <f t="shared" si="11"/>
        <v>2.5879651720254722E-4</v>
      </c>
      <c r="L713" s="22"/>
      <c r="M713" s="22"/>
    </row>
    <row r="714" spans="2:13" ht="12.75">
      <c r="B714" s="21">
        <v>45088</v>
      </c>
      <c r="C714" s="16"/>
      <c r="D714" s="25" t="s">
        <v>288</v>
      </c>
      <c r="E714" s="22"/>
      <c r="F714" s="22"/>
      <c r="G714" s="25"/>
      <c r="H714" s="25"/>
      <c r="I714" s="92">
        <v>20000</v>
      </c>
      <c r="J714" s="26">
        <f>SUM($I$4:I714)</f>
        <v>72156499.879999965</v>
      </c>
      <c r="K714" s="44">
        <f t="shared" si="11"/>
        <v>2.5879651720254722E-4</v>
      </c>
      <c r="L714" s="22"/>
      <c r="M714" s="22"/>
    </row>
    <row r="715" spans="2:13" ht="12.75">
      <c r="B715" s="21">
        <v>45089</v>
      </c>
      <c r="C715" s="16"/>
      <c r="D715" s="25" t="s">
        <v>306</v>
      </c>
      <c r="E715" s="22"/>
      <c r="F715" s="22"/>
      <c r="G715" s="25"/>
      <c r="H715" s="25"/>
      <c r="I715" s="92">
        <v>15000</v>
      </c>
      <c r="J715" s="26">
        <f>SUM($I$4:I715)</f>
        <v>72171499.879999965</v>
      </c>
      <c r="K715" s="44">
        <f t="shared" si="11"/>
        <v>1.9409738790191042E-4</v>
      </c>
      <c r="L715" s="22"/>
      <c r="M715" s="22"/>
    </row>
    <row r="716" spans="2:13" ht="12.75">
      <c r="B716" s="21">
        <v>45090</v>
      </c>
      <c r="C716" s="16"/>
      <c r="D716" s="25" t="s">
        <v>288</v>
      </c>
      <c r="E716" s="22"/>
      <c r="F716" s="22"/>
      <c r="G716" s="25"/>
      <c r="H716" s="25"/>
      <c r="I716" s="92">
        <v>20000</v>
      </c>
      <c r="J716" s="26">
        <f>SUM($I$4:I716)</f>
        <v>72191499.879999965</v>
      </c>
      <c r="K716" s="44">
        <f t="shared" si="11"/>
        <v>2.5879651720254722E-4</v>
      </c>
      <c r="L716" s="22"/>
      <c r="M716" s="22"/>
    </row>
    <row r="717" spans="2:13" ht="12.75">
      <c r="B717" s="21">
        <v>45090</v>
      </c>
      <c r="C717" s="16"/>
      <c r="D717" s="25" t="s">
        <v>309</v>
      </c>
      <c r="E717" s="22"/>
      <c r="F717" s="22"/>
      <c r="G717" s="25"/>
      <c r="H717" s="25"/>
      <c r="I717" s="92">
        <v>5910</v>
      </c>
      <c r="J717" s="26">
        <f>SUM($I$4:I717)</f>
        <v>72197409.879999965</v>
      </c>
      <c r="K717" s="44">
        <f t="shared" si="11"/>
        <v>7.6474370833352713E-5</v>
      </c>
      <c r="L717" s="22"/>
      <c r="M717" s="22"/>
    </row>
    <row r="718" spans="2:13" ht="12.75">
      <c r="B718" s="21">
        <v>45091</v>
      </c>
      <c r="C718" s="16"/>
      <c r="D718" s="25" t="s">
        <v>288</v>
      </c>
      <c r="E718" s="22"/>
      <c r="F718" s="22"/>
      <c r="G718" s="25"/>
      <c r="H718" s="25"/>
      <c r="I718" s="92">
        <v>20000</v>
      </c>
      <c r="J718" s="26">
        <f>SUM($I$4:I718)</f>
        <v>72217409.879999965</v>
      </c>
      <c r="K718" s="44">
        <f t="shared" si="11"/>
        <v>2.5879651720254722E-4</v>
      </c>
      <c r="L718" s="22"/>
      <c r="M718" s="22"/>
    </row>
    <row r="719" spans="2:13" ht="12.75">
      <c r="B719" s="21">
        <v>45091</v>
      </c>
      <c r="C719" s="16"/>
      <c r="D719" s="25" t="s">
        <v>288</v>
      </c>
      <c r="E719" s="22"/>
      <c r="F719" s="22"/>
      <c r="G719" s="25"/>
      <c r="H719" s="25"/>
      <c r="I719" s="92">
        <v>20000</v>
      </c>
      <c r="J719" s="26">
        <f>SUM($I$4:I719)</f>
        <v>72237409.879999965</v>
      </c>
      <c r="K719" s="44">
        <f t="shared" si="11"/>
        <v>2.5879651720254722E-4</v>
      </c>
      <c r="L719" s="22"/>
      <c r="M719" s="22"/>
    </row>
    <row r="720" spans="2:13" ht="12.75">
      <c r="B720" s="21">
        <v>45091</v>
      </c>
      <c r="C720" s="16"/>
      <c r="D720" s="25" t="s">
        <v>288</v>
      </c>
      <c r="E720" s="22"/>
      <c r="F720" s="22"/>
      <c r="G720" s="25"/>
      <c r="H720" s="25"/>
      <c r="I720" s="92">
        <v>10000</v>
      </c>
      <c r="J720" s="26">
        <f>SUM($I$4:I720)</f>
        <v>72247409.879999965</v>
      </c>
      <c r="K720" s="44">
        <f t="shared" si="11"/>
        <v>1.2939825860127361E-4</v>
      </c>
      <c r="L720" s="22"/>
      <c r="M720" s="22"/>
    </row>
    <row r="721" spans="2:13" ht="12.75">
      <c r="B721" s="21">
        <v>45091</v>
      </c>
      <c r="C721" s="16"/>
      <c r="D721" s="25" t="s">
        <v>309</v>
      </c>
      <c r="E721" s="22"/>
      <c r="F721" s="22"/>
      <c r="G721" s="25"/>
      <c r="H721" s="25"/>
      <c r="I721" s="92">
        <v>6300</v>
      </c>
      <c r="J721" s="26">
        <f>SUM($I$4:I721)</f>
        <v>72253709.879999965</v>
      </c>
      <c r="K721" s="44">
        <f t="shared" si="11"/>
        <v>8.152090291880238E-5</v>
      </c>
      <c r="L721" s="22"/>
      <c r="M721" s="22"/>
    </row>
    <row r="722" spans="2:13" ht="12.75">
      <c r="B722" s="21">
        <v>45092</v>
      </c>
      <c r="C722" s="16"/>
      <c r="D722" s="25" t="s">
        <v>288</v>
      </c>
      <c r="E722" s="22"/>
      <c r="F722" s="22"/>
      <c r="G722" s="25"/>
      <c r="H722" s="25"/>
      <c r="I722" s="92">
        <v>20000</v>
      </c>
      <c r="J722" s="26">
        <f>SUM($I$4:I722)</f>
        <v>72273709.879999965</v>
      </c>
      <c r="K722" s="44">
        <f t="shared" si="11"/>
        <v>2.5879651720254722E-4</v>
      </c>
      <c r="L722" s="22"/>
      <c r="M722" s="22"/>
    </row>
    <row r="723" spans="2:13" ht="12.75">
      <c r="B723" s="21">
        <v>45092</v>
      </c>
      <c r="C723" s="16"/>
      <c r="D723" s="25" t="s">
        <v>306</v>
      </c>
      <c r="E723" s="22"/>
      <c r="F723" s="22"/>
      <c r="G723" s="25"/>
      <c r="H723" s="25"/>
      <c r="I723" s="92">
        <v>15000</v>
      </c>
      <c r="J723" s="26">
        <f>SUM($I$4:I723)</f>
        <v>72288709.879999965</v>
      </c>
      <c r="K723" s="44">
        <f t="shared" si="11"/>
        <v>1.9409738790191042E-4</v>
      </c>
      <c r="L723" s="22"/>
      <c r="M723" s="22"/>
    </row>
    <row r="724" spans="2:13" ht="12.75">
      <c r="B724" s="21">
        <v>45096</v>
      </c>
      <c r="C724" s="16"/>
      <c r="D724" s="25" t="s">
        <v>306</v>
      </c>
      <c r="E724" s="22"/>
      <c r="F724" s="22"/>
      <c r="G724" s="25"/>
      <c r="H724" s="25"/>
      <c r="I724" s="92">
        <v>15000</v>
      </c>
      <c r="J724" s="26">
        <f>SUM($I$4:I724)</f>
        <v>72303709.879999965</v>
      </c>
      <c r="K724" s="44">
        <f t="shared" si="11"/>
        <v>1.9409738790191042E-4</v>
      </c>
      <c r="L724" s="22"/>
      <c r="M724" s="22"/>
    </row>
    <row r="725" spans="2:13" ht="12.75">
      <c r="B725" s="21">
        <v>45096</v>
      </c>
      <c r="C725" s="16"/>
      <c r="D725" s="25" t="s">
        <v>288</v>
      </c>
      <c r="E725" s="22"/>
      <c r="F725" s="22"/>
      <c r="G725" s="25"/>
      <c r="H725" s="25"/>
      <c r="I725" s="92">
        <v>10000</v>
      </c>
      <c r="J725" s="26">
        <f>SUM($I$4:I725)</f>
        <v>72313709.879999965</v>
      </c>
      <c r="K725" s="44">
        <f t="shared" si="11"/>
        <v>1.2939825860127361E-4</v>
      </c>
      <c r="L725" s="22"/>
      <c r="M725" s="22"/>
    </row>
    <row r="726" spans="2:13" ht="12.75">
      <c r="B726" s="21">
        <v>45096</v>
      </c>
      <c r="C726" s="16"/>
      <c r="D726" s="25" t="s">
        <v>309</v>
      </c>
      <c r="E726" s="22"/>
      <c r="F726" s="22"/>
      <c r="G726" s="25"/>
      <c r="H726" s="25"/>
      <c r="I726" s="92">
        <v>3500</v>
      </c>
      <c r="J726" s="26">
        <f>SUM($I$4:I726)</f>
        <v>72317209.879999965</v>
      </c>
      <c r="K726" s="44">
        <f t="shared" si="11"/>
        <v>4.5289390510445764E-5</v>
      </c>
      <c r="L726" s="22"/>
      <c r="M726" s="22"/>
    </row>
    <row r="727" spans="2:13" ht="12.75">
      <c r="B727" s="21">
        <v>45096</v>
      </c>
      <c r="C727" s="16"/>
      <c r="D727" s="25" t="s">
        <v>264</v>
      </c>
      <c r="E727" s="22"/>
      <c r="F727" s="22"/>
      <c r="G727" s="25"/>
      <c r="H727" s="25"/>
      <c r="I727" s="92">
        <v>20</v>
      </c>
      <c r="J727" s="26">
        <f>SUM($I$4:I727)</f>
        <v>72317229.879999965</v>
      </c>
      <c r="K727" s="44">
        <f t="shared" si="11"/>
        <v>2.5879651720254721E-7</v>
      </c>
      <c r="L727" s="22"/>
      <c r="M727" s="22"/>
    </row>
    <row r="728" spans="2:13" ht="12.75">
      <c r="B728" s="21">
        <v>45096</v>
      </c>
      <c r="C728" s="16"/>
      <c r="D728" s="25" t="s">
        <v>264</v>
      </c>
      <c r="E728" s="22"/>
      <c r="F728" s="22"/>
      <c r="G728" s="25"/>
      <c r="H728" s="25"/>
      <c r="I728" s="92">
        <v>1.5</v>
      </c>
      <c r="J728" s="26">
        <f>SUM($I$4:I728)</f>
        <v>72317231.379999965</v>
      </c>
      <c r="K728" s="44">
        <f t="shared" si="11"/>
        <v>1.9409738790191043E-8</v>
      </c>
      <c r="L728" s="22"/>
      <c r="M728" s="22"/>
    </row>
    <row r="729" spans="2:13" ht="12.75">
      <c r="B729" s="21">
        <v>45096</v>
      </c>
      <c r="C729" s="16"/>
      <c r="D729" s="25" t="s">
        <v>309</v>
      </c>
      <c r="E729" s="22"/>
      <c r="F729" s="22"/>
      <c r="G729" s="25"/>
      <c r="H729" s="25"/>
      <c r="I729" s="92">
        <v>50900</v>
      </c>
      <c r="J729" s="26">
        <f>SUM($I$4:I729)</f>
        <v>72368131.379999965</v>
      </c>
      <c r="K729" s="44">
        <f t="shared" si="11"/>
        <v>6.5863713628048267E-4</v>
      </c>
      <c r="L729" s="22"/>
      <c r="M729" s="22"/>
    </row>
    <row r="730" spans="2:13" ht="12.75">
      <c r="B730" s="21">
        <v>45097</v>
      </c>
      <c r="C730" s="16"/>
      <c r="D730" s="25" t="s">
        <v>306</v>
      </c>
      <c r="E730" s="22"/>
      <c r="F730" s="22"/>
      <c r="G730" s="25"/>
      <c r="H730" s="25"/>
      <c r="I730" s="92">
        <v>15000</v>
      </c>
      <c r="J730" s="26">
        <f>SUM($I$4:I730)</f>
        <v>72383131.379999965</v>
      </c>
      <c r="K730" s="44">
        <f t="shared" si="11"/>
        <v>1.9409738790191042E-4</v>
      </c>
      <c r="L730" s="22"/>
      <c r="M730" s="22"/>
    </row>
    <row r="731" spans="2:13" ht="12.75">
      <c r="B731" s="21">
        <v>45097</v>
      </c>
      <c r="C731" s="16"/>
      <c r="D731" s="25" t="s">
        <v>288</v>
      </c>
      <c r="E731" s="22"/>
      <c r="F731" s="22"/>
      <c r="G731" s="25"/>
      <c r="H731" s="25"/>
      <c r="I731" s="92">
        <v>20000</v>
      </c>
      <c r="J731" s="26">
        <f>SUM($I$4:I731)</f>
        <v>72403131.379999965</v>
      </c>
      <c r="K731" s="44">
        <f t="shared" si="11"/>
        <v>2.5879651720254722E-4</v>
      </c>
      <c r="L731" s="22"/>
      <c r="M731" s="22"/>
    </row>
    <row r="732" spans="2:13" ht="12.75">
      <c r="B732" s="21">
        <v>45099</v>
      </c>
      <c r="C732" s="16"/>
      <c r="D732" s="25" t="s">
        <v>288</v>
      </c>
      <c r="E732" s="22"/>
      <c r="F732" s="22"/>
      <c r="G732" s="25"/>
      <c r="H732" s="25"/>
      <c r="I732" s="92">
        <v>20000</v>
      </c>
      <c r="J732" s="26">
        <f>SUM($I$4:I732)</f>
        <v>72423131.379999965</v>
      </c>
      <c r="K732" s="44">
        <f t="shared" si="11"/>
        <v>2.5879651720254722E-4</v>
      </c>
      <c r="L732" s="22"/>
      <c r="M732" s="22"/>
    </row>
    <row r="733" spans="2:13" ht="12.75">
      <c r="B733" s="21">
        <v>45099</v>
      </c>
      <c r="C733" s="16"/>
      <c r="D733" s="25" t="s">
        <v>309</v>
      </c>
      <c r="E733" s="22"/>
      <c r="F733" s="22"/>
      <c r="G733" s="25"/>
      <c r="H733" s="25"/>
      <c r="I733" s="92">
        <v>6300</v>
      </c>
      <c r="J733" s="26">
        <f>SUM($I$4:I733)</f>
        <v>72429431.379999965</v>
      </c>
      <c r="K733" s="44">
        <f t="shared" si="11"/>
        <v>8.152090291880238E-5</v>
      </c>
      <c r="L733" s="22"/>
      <c r="M733" s="22"/>
    </row>
    <row r="734" spans="2:13" ht="12.75">
      <c r="B734" s="21">
        <v>45101</v>
      </c>
      <c r="C734" s="16"/>
      <c r="D734" s="25" t="s">
        <v>306</v>
      </c>
      <c r="E734" s="22"/>
      <c r="F734" s="22"/>
      <c r="G734" s="25"/>
      <c r="H734" s="25"/>
      <c r="I734" s="92">
        <v>15000</v>
      </c>
      <c r="J734" s="26">
        <f>SUM($I$4:I734)</f>
        <v>72444431.379999965</v>
      </c>
      <c r="K734" s="44">
        <f t="shared" si="11"/>
        <v>1.9409738790191042E-4</v>
      </c>
      <c r="L734" s="22"/>
      <c r="M734" s="22"/>
    </row>
    <row r="735" spans="2:13" ht="12.75">
      <c r="B735" s="21">
        <v>45103</v>
      </c>
      <c r="C735" s="16"/>
      <c r="D735" s="25" t="s">
        <v>288</v>
      </c>
      <c r="E735" s="22"/>
      <c r="F735" s="22"/>
      <c r="G735" s="25"/>
      <c r="H735" s="25"/>
      <c r="I735" s="92">
        <v>20000</v>
      </c>
      <c r="J735" s="26">
        <f>SUM($I$4:I735)</f>
        <v>72464431.379999965</v>
      </c>
      <c r="K735" s="44">
        <f t="shared" si="11"/>
        <v>2.5879651720254722E-4</v>
      </c>
      <c r="L735" s="22"/>
      <c r="M735" s="22"/>
    </row>
    <row r="736" spans="2:13" ht="12.75">
      <c r="B736" s="21">
        <v>45104</v>
      </c>
      <c r="C736" s="16"/>
      <c r="D736" s="25" t="s">
        <v>309</v>
      </c>
      <c r="E736" s="22"/>
      <c r="F736" s="22"/>
      <c r="G736" s="25"/>
      <c r="H736" s="25"/>
      <c r="I736" s="92">
        <v>3120</v>
      </c>
      <c r="J736" s="26">
        <f>SUM($I$4:I736)</f>
        <v>72467551.379999965</v>
      </c>
      <c r="K736" s="44">
        <f t="shared" si="11"/>
        <v>4.037225668359737E-5</v>
      </c>
      <c r="L736" s="22"/>
      <c r="M736" s="22"/>
    </row>
    <row r="737" spans="2:13" ht="12.75">
      <c r="B737" s="21">
        <v>45104</v>
      </c>
      <c r="C737" s="16"/>
      <c r="D737" s="25" t="s">
        <v>309</v>
      </c>
      <c r="E737" s="22"/>
      <c r="F737" s="22"/>
      <c r="G737" s="25"/>
      <c r="H737" s="25"/>
      <c r="I737" s="92">
        <v>9000</v>
      </c>
      <c r="J737" s="26">
        <f>SUM($I$4:I737)</f>
        <v>72476551.379999965</v>
      </c>
      <c r="K737" s="44">
        <f t="shared" si="11"/>
        <v>1.1645843274114625E-4</v>
      </c>
      <c r="L737" s="22"/>
      <c r="M737" s="22"/>
    </row>
    <row r="738" spans="2:13" ht="12.75">
      <c r="B738" s="21">
        <v>45104</v>
      </c>
      <c r="C738" s="16"/>
      <c r="D738" s="25" t="s">
        <v>309</v>
      </c>
      <c r="E738" s="22"/>
      <c r="F738" s="22"/>
      <c r="G738" s="25"/>
      <c r="H738" s="25"/>
      <c r="I738" s="92">
        <v>15010</v>
      </c>
      <c r="J738" s="26">
        <f>SUM($I$4:I738)</f>
        <v>72491561.379999965</v>
      </c>
      <c r="K738" s="44">
        <f t="shared" si="11"/>
        <v>1.942267861605117E-4</v>
      </c>
      <c r="L738" s="22"/>
      <c r="M738" s="22"/>
    </row>
    <row r="739" spans="2:13" ht="12.75">
      <c r="B739" s="21">
        <v>45106</v>
      </c>
      <c r="C739" s="16"/>
      <c r="D739" s="25" t="s">
        <v>306</v>
      </c>
      <c r="E739" s="22"/>
      <c r="F739" s="22"/>
      <c r="G739" s="25"/>
      <c r="H739" s="25"/>
      <c r="I739" s="92">
        <v>300000</v>
      </c>
      <c r="J739" s="26">
        <f>SUM($I$4:I739)</f>
        <v>72791561.379999965</v>
      </c>
      <c r="K739" s="44">
        <f t="shared" si="11"/>
        <v>3.8819477580382083E-3</v>
      </c>
      <c r="L739" s="22"/>
      <c r="M739" s="22"/>
    </row>
    <row r="740" spans="2:13" ht="12.75">
      <c r="B740" s="21">
        <v>45107</v>
      </c>
      <c r="C740" s="16"/>
      <c r="D740" s="25" t="s">
        <v>309</v>
      </c>
      <c r="E740" s="22"/>
      <c r="F740" s="22"/>
      <c r="G740" s="25"/>
      <c r="H740" s="25"/>
      <c r="I740" s="92">
        <v>103100</v>
      </c>
      <c r="J740" s="26">
        <f>SUM($I$4:I740)</f>
        <v>72894661.379999965</v>
      </c>
      <c r="K740" s="44">
        <f t="shared" si="11"/>
        <v>1.3340960461791309E-3</v>
      </c>
      <c r="L740" s="22"/>
      <c r="M740" s="22"/>
    </row>
    <row r="741" spans="2:13" ht="12.75">
      <c r="B741" s="21">
        <v>45107</v>
      </c>
      <c r="C741" s="16"/>
      <c r="D741" s="25" t="s">
        <v>264</v>
      </c>
      <c r="E741" s="22"/>
      <c r="F741" s="22"/>
      <c r="G741" s="25"/>
      <c r="H741" s="25"/>
      <c r="I741" s="92">
        <v>20</v>
      </c>
      <c r="J741" s="26">
        <f>SUM($I$4:I741)</f>
        <v>72894681.379999965</v>
      </c>
      <c r="K741" s="44">
        <f t="shared" si="11"/>
        <v>2.5879651720254721E-7</v>
      </c>
      <c r="L741" s="22"/>
      <c r="M741" s="22"/>
    </row>
    <row r="742" spans="2:13" ht="12.75">
      <c r="B742" s="21">
        <v>45107</v>
      </c>
      <c r="C742" s="16"/>
      <c r="D742" s="25" t="s">
        <v>264</v>
      </c>
      <c r="E742" s="22"/>
      <c r="F742" s="22"/>
      <c r="G742" s="25"/>
      <c r="H742" s="25"/>
      <c r="I742" s="92">
        <v>1.5</v>
      </c>
      <c r="J742" s="26">
        <f>SUM($I$4:I742)</f>
        <v>72894682.879999965</v>
      </c>
      <c r="K742" s="44">
        <f t="shared" si="11"/>
        <v>1.9409738790191043E-8</v>
      </c>
      <c r="L742" s="22"/>
      <c r="M742" s="22"/>
    </row>
    <row r="743" spans="2:13" ht="12.75">
      <c r="B743" s="21">
        <v>45107</v>
      </c>
      <c r="C743" s="16"/>
      <c r="D743" s="25" t="s">
        <v>309</v>
      </c>
      <c r="E743" s="22"/>
      <c r="F743" s="22"/>
      <c r="G743" s="25"/>
      <c r="H743" s="25"/>
      <c r="I743" s="92">
        <v>6000</v>
      </c>
      <c r="J743" s="26">
        <f>SUM($I$4:I743)</f>
        <v>72900682.879999965</v>
      </c>
      <c r="K743" s="44">
        <f t="shared" si="11"/>
        <v>7.7638955160764167E-5</v>
      </c>
      <c r="L743" s="22"/>
      <c r="M743" s="22"/>
    </row>
    <row r="744" spans="2:13" ht="12.75">
      <c r="B744" s="21">
        <v>45107</v>
      </c>
      <c r="C744" s="16"/>
      <c r="D744" s="25" t="s">
        <v>264</v>
      </c>
      <c r="E744" s="22"/>
      <c r="F744" s="22"/>
      <c r="G744" s="25"/>
      <c r="H744" s="25"/>
      <c r="I744" s="92">
        <v>20</v>
      </c>
      <c r="J744" s="26">
        <f>SUM($I$4:I744)</f>
        <v>72900702.879999965</v>
      </c>
      <c r="K744" s="44">
        <f t="shared" si="11"/>
        <v>2.5879651720254721E-7</v>
      </c>
      <c r="L744" s="22"/>
      <c r="M744" s="22"/>
    </row>
    <row r="745" spans="2:13" ht="12.75">
      <c r="B745" s="21">
        <v>45107</v>
      </c>
      <c r="C745" s="16"/>
      <c r="D745" s="25" t="s">
        <v>264</v>
      </c>
      <c r="E745" s="22"/>
      <c r="F745" s="22"/>
      <c r="G745" s="25"/>
      <c r="H745" s="25"/>
      <c r="I745" s="92">
        <v>1.5</v>
      </c>
      <c r="J745" s="26">
        <f>SUM($I$4:I745)</f>
        <v>72900704.379999965</v>
      </c>
      <c r="K745" s="44">
        <f t="shared" si="11"/>
        <v>1.9409738790191043E-8</v>
      </c>
      <c r="L745" s="22"/>
      <c r="M745" s="22"/>
    </row>
    <row r="746" spans="2:13" ht="12.75">
      <c r="B746" s="21">
        <v>45108</v>
      </c>
      <c r="C746" s="16"/>
      <c r="D746" s="25" t="s">
        <v>280</v>
      </c>
      <c r="E746" s="22"/>
      <c r="F746" s="22"/>
      <c r="G746" s="25"/>
      <c r="H746" s="25"/>
      <c r="I746" s="92">
        <v>23925</v>
      </c>
      <c r="J746" s="26">
        <f>SUM($I$4:I746)</f>
        <v>72924629.379999965</v>
      </c>
      <c r="K746" s="44">
        <f t="shared" si="11"/>
        <v>3.0958533370354713E-4</v>
      </c>
      <c r="L746" s="22"/>
      <c r="M746" s="22"/>
    </row>
    <row r="747" spans="2:13" ht="12.75">
      <c r="B747" s="21">
        <v>45108</v>
      </c>
      <c r="C747" s="16"/>
      <c r="D747" s="25" t="s">
        <v>280</v>
      </c>
      <c r="E747" s="22"/>
      <c r="F747" s="22"/>
      <c r="G747" s="25"/>
      <c r="H747" s="25"/>
      <c r="I747" s="92">
        <v>20000</v>
      </c>
      <c r="J747" s="26">
        <f>SUM($I$4:I747)</f>
        <v>72944629.379999965</v>
      </c>
      <c r="K747" s="44">
        <f t="shared" si="11"/>
        <v>2.5879651720254722E-4</v>
      </c>
      <c r="L747" s="22"/>
      <c r="M747" s="22"/>
    </row>
    <row r="748" spans="2:13" ht="12.75">
      <c r="B748" s="21">
        <v>45108</v>
      </c>
      <c r="C748" s="16"/>
      <c r="D748" s="25" t="s">
        <v>264</v>
      </c>
      <c r="E748" s="22"/>
      <c r="F748" s="22"/>
      <c r="G748" s="25"/>
      <c r="H748" s="25"/>
      <c r="I748" s="92">
        <v>25</v>
      </c>
      <c r="J748" s="26">
        <f>SUM($I$4:I748)</f>
        <v>72944654.379999965</v>
      </c>
      <c r="K748" s="44">
        <f t="shared" si="11"/>
        <v>3.2349564650318404E-7</v>
      </c>
      <c r="L748" s="22"/>
      <c r="M748" s="22"/>
    </row>
    <row r="749" spans="2:13" ht="12.75">
      <c r="B749" s="21">
        <v>45108</v>
      </c>
      <c r="C749" s="16"/>
      <c r="D749" s="25" t="s">
        <v>264</v>
      </c>
      <c r="E749" s="22"/>
      <c r="F749" s="22"/>
      <c r="G749" s="25"/>
      <c r="H749" s="25"/>
      <c r="I749" s="92">
        <v>1.87</v>
      </c>
      <c r="J749" s="26">
        <f>SUM($I$4:I749)</f>
        <v>72944656.24999997</v>
      </c>
      <c r="K749" s="44">
        <f t="shared" si="11"/>
        <v>2.4197474358438168E-8</v>
      </c>
      <c r="L749" s="22"/>
      <c r="M749" s="22"/>
    </row>
    <row r="750" spans="2:13" ht="12.75">
      <c r="B750" s="21">
        <v>45108</v>
      </c>
      <c r="C750" s="16"/>
      <c r="D750" s="25" t="s">
        <v>280</v>
      </c>
      <c r="E750" s="22"/>
      <c r="F750" s="22"/>
      <c r="G750" s="25"/>
      <c r="H750" s="25"/>
      <c r="I750" s="92">
        <v>20000</v>
      </c>
      <c r="J750" s="26">
        <f>SUM($I$4:I750)</f>
        <v>72964656.24999997</v>
      </c>
      <c r="K750" s="44">
        <f t="shared" si="11"/>
        <v>2.5879651720254722E-4</v>
      </c>
      <c r="L750" s="22"/>
      <c r="M750" s="22"/>
    </row>
    <row r="751" spans="2:13" ht="12.75">
      <c r="B751" s="21">
        <v>45108</v>
      </c>
      <c r="C751" s="16"/>
      <c r="D751" s="25" t="s">
        <v>280</v>
      </c>
      <c r="E751" s="22"/>
      <c r="F751" s="22"/>
      <c r="G751" s="25"/>
      <c r="H751" s="25"/>
      <c r="I751" s="92">
        <v>20000</v>
      </c>
      <c r="J751" s="26">
        <f>SUM($I$4:I751)</f>
        <v>72984656.24999997</v>
      </c>
      <c r="K751" s="44">
        <f t="shared" si="11"/>
        <v>2.5879651720254722E-4</v>
      </c>
      <c r="L751" s="22"/>
      <c r="M751" s="22"/>
    </row>
    <row r="752" spans="2:13" ht="12.75">
      <c r="B752" s="21">
        <v>45108</v>
      </c>
      <c r="C752" s="16"/>
      <c r="D752" s="25" t="s">
        <v>280</v>
      </c>
      <c r="E752" s="22"/>
      <c r="F752" s="22"/>
      <c r="G752" s="25"/>
      <c r="H752" s="25"/>
      <c r="I752" s="92">
        <v>20000</v>
      </c>
      <c r="J752" s="26">
        <f>SUM($I$4:I752)</f>
        <v>73004656.24999997</v>
      </c>
      <c r="K752" s="44">
        <f t="shared" si="11"/>
        <v>2.5879651720254722E-4</v>
      </c>
      <c r="L752" s="22"/>
      <c r="M752" s="22"/>
    </row>
    <row r="753" spans="2:13" ht="12.75">
      <c r="B753" s="21">
        <v>45108</v>
      </c>
      <c r="C753" s="16"/>
      <c r="D753" s="25" t="s">
        <v>280</v>
      </c>
      <c r="E753" s="22"/>
      <c r="F753" s="22"/>
      <c r="G753" s="25"/>
      <c r="H753" s="25"/>
      <c r="I753" s="92">
        <v>20000</v>
      </c>
      <c r="J753" s="26">
        <f>SUM($I$4:I753)</f>
        <v>73024656.24999997</v>
      </c>
      <c r="K753" s="44">
        <f t="shared" si="11"/>
        <v>2.5879651720254722E-4</v>
      </c>
      <c r="L753" s="22"/>
      <c r="M753" s="22"/>
    </row>
    <row r="754" spans="2:13" ht="12.75">
      <c r="B754" s="21">
        <v>45108</v>
      </c>
      <c r="C754" s="16"/>
      <c r="D754" s="25" t="s">
        <v>280</v>
      </c>
      <c r="E754" s="22"/>
      <c r="F754" s="22"/>
      <c r="G754" s="25"/>
      <c r="H754" s="25"/>
      <c r="I754" s="92">
        <v>20000</v>
      </c>
      <c r="J754" s="26">
        <f>SUM($I$4:I754)</f>
        <v>73044656.24999997</v>
      </c>
      <c r="K754" s="44">
        <f t="shared" si="11"/>
        <v>2.5879651720254722E-4</v>
      </c>
      <c r="L754" s="22"/>
      <c r="M754" s="22"/>
    </row>
    <row r="755" spans="2:13" ht="12.75">
      <c r="B755" s="21">
        <v>45108</v>
      </c>
      <c r="C755" s="16"/>
      <c r="D755" s="25" t="s">
        <v>271</v>
      </c>
      <c r="E755" s="22"/>
      <c r="F755" s="22"/>
      <c r="G755" s="25"/>
      <c r="H755" s="25"/>
      <c r="I755" s="92">
        <v>128553.33</v>
      </c>
      <c r="J755" s="26">
        <f>SUM($I$4:I755)</f>
        <v>73173209.579999968</v>
      </c>
      <c r="K755" s="44">
        <f t="shared" si="11"/>
        <v>1.6634577039394865E-3</v>
      </c>
      <c r="L755" s="22"/>
      <c r="M755" s="22"/>
    </row>
    <row r="756" spans="2:13" ht="12.75">
      <c r="B756" s="21">
        <v>45108</v>
      </c>
      <c r="C756" s="16"/>
      <c r="D756" s="25" t="s">
        <v>271</v>
      </c>
      <c r="E756" s="22"/>
      <c r="F756" s="22"/>
      <c r="G756" s="25"/>
      <c r="H756" s="25"/>
      <c r="I756" s="92">
        <v>34034.85</v>
      </c>
      <c r="J756" s="26">
        <f>SUM($I$4:I756)</f>
        <v>73207244.429999962</v>
      </c>
      <c r="K756" s="44">
        <f t="shared" si="11"/>
        <v>4.4040503217555573E-4</v>
      </c>
      <c r="L756" s="22"/>
      <c r="M756" s="22"/>
    </row>
    <row r="757" spans="2:13" ht="12.75">
      <c r="B757" s="21">
        <v>45108</v>
      </c>
      <c r="C757" s="16"/>
      <c r="D757" s="25" t="s">
        <v>271</v>
      </c>
      <c r="E757" s="22"/>
      <c r="F757" s="22"/>
      <c r="G757" s="25"/>
      <c r="H757" s="25"/>
      <c r="I757" s="92">
        <v>170913.33</v>
      </c>
      <c r="J757" s="26">
        <f>SUM($I$4:I757)</f>
        <v>73378157.759999961</v>
      </c>
      <c r="K757" s="44">
        <f t="shared" si="11"/>
        <v>2.2115887273744814E-3</v>
      </c>
      <c r="L757" s="22"/>
      <c r="M757" s="22"/>
    </row>
    <row r="758" spans="2:13" ht="12.75">
      <c r="B758" s="21">
        <v>45108</v>
      </c>
      <c r="C758" s="16"/>
      <c r="D758" s="25" t="s">
        <v>271</v>
      </c>
      <c r="E758" s="22"/>
      <c r="F758" s="22"/>
      <c r="G758" s="25"/>
      <c r="H758" s="25"/>
      <c r="I758" s="92">
        <v>121391.25</v>
      </c>
      <c r="J758" s="26">
        <f>SUM($I$4:I758)</f>
        <v>73499549.009999961</v>
      </c>
      <c r="K758" s="44">
        <f t="shared" si="11"/>
        <v>1.5707816359431855E-3</v>
      </c>
      <c r="L758" s="22"/>
      <c r="M758" s="22"/>
    </row>
    <row r="759" spans="2:13" ht="12.75">
      <c r="B759" s="21">
        <v>45108</v>
      </c>
      <c r="C759" s="16"/>
      <c r="D759" s="25" t="s">
        <v>271</v>
      </c>
      <c r="E759" s="22"/>
      <c r="F759" s="22"/>
      <c r="G759" s="25"/>
      <c r="H759" s="25"/>
      <c r="I759" s="92">
        <v>100100</v>
      </c>
      <c r="J759" s="26">
        <f>SUM($I$4:I759)</f>
        <v>73599649.009999961</v>
      </c>
      <c r="K759" s="44">
        <f t="shared" si="11"/>
        <v>1.295276568598749E-3</v>
      </c>
      <c r="L759" s="22"/>
      <c r="M759" s="22"/>
    </row>
    <row r="760" spans="2:13" ht="12.75">
      <c r="B760" s="21">
        <v>45108</v>
      </c>
      <c r="C760" s="16"/>
      <c r="D760" s="25" t="s">
        <v>271</v>
      </c>
      <c r="E760" s="22"/>
      <c r="F760" s="22"/>
      <c r="G760" s="25"/>
      <c r="H760" s="25"/>
      <c r="I760" s="92">
        <v>351443.33</v>
      </c>
      <c r="J760" s="26">
        <f>SUM($I$4:I760)</f>
        <v>73951092.339999959</v>
      </c>
      <c r="K760" s="44">
        <f t="shared" si="11"/>
        <v>4.5476154899032747E-3</v>
      </c>
      <c r="L760" s="22"/>
      <c r="M760" s="22"/>
    </row>
    <row r="761" spans="2:13" ht="12.75">
      <c r="B761" s="21">
        <v>45108</v>
      </c>
      <c r="C761" s="16"/>
      <c r="D761" s="25" t="s">
        <v>271</v>
      </c>
      <c r="E761" s="22"/>
      <c r="F761" s="22"/>
      <c r="G761" s="25"/>
      <c r="H761" s="25"/>
      <c r="I761" s="92">
        <v>101500</v>
      </c>
      <c r="J761" s="26">
        <f>SUM($I$4:I761)</f>
        <v>74052592.339999959</v>
      </c>
      <c r="K761" s="44">
        <f t="shared" si="11"/>
        <v>1.3133923248029272E-3</v>
      </c>
      <c r="L761" s="22"/>
      <c r="M761" s="22"/>
    </row>
    <row r="762" spans="2:13" ht="12.75">
      <c r="B762" s="21">
        <v>45108</v>
      </c>
      <c r="C762" s="16"/>
      <c r="D762" s="25" t="s">
        <v>264</v>
      </c>
      <c r="E762" s="22"/>
      <c r="F762" s="22"/>
      <c r="G762" s="25"/>
      <c r="H762" s="25"/>
      <c r="I762" s="92">
        <v>50</v>
      </c>
      <c r="J762" s="26">
        <f>SUM($I$4:I762)</f>
        <v>74052642.339999959</v>
      </c>
      <c r="K762" s="44">
        <f t="shared" si="11"/>
        <v>6.4699129300636808E-7</v>
      </c>
      <c r="L762" s="22"/>
      <c r="M762" s="22"/>
    </row>
    <row r="763" spans="2:13" ht="12.75">
      <c r="B763" s="21">
        <v>45108</v>
      </c>
      <c r="C763" s="16"/>
      <c r="D763" s="25" t="s">
        <v>264</v>
      </c>
      <c r="E763" s="22"/>
      <c r="F763" s="22"/>
      <c r="G763" s="25"/>
      <c r="H763" s="25"/>
      <c r="I763" s="92">
        <v>3.75</v>
      </c>
      <c r="J763" s="26">
        <f>SUM($I$4:I763)</f>
        <v>74052646.089999959</v>
      </c>
      <c r="K763" s="44">
        <f t="shared" si="11"/>
        <v>4.8524346975477608E-8</v>
      </c>
      <c r="L763" s="22"/>
      <c r="M763" s="22"/>
    </row>
    <row r="764" spans="2:13" ht="12.75">
      <c r="B764" s="21">
        <v>45108</v>
      </c>
      <c r="C764" s="16"/>
      <c r="D764" s="25" t="s">
        <v>264</v>
      </c>
      <c r="E764" s="22"/>
      <c r="F764" s="22"/>
      <c r="G764" s="25"/>
      <c r="H764" s="25"/>
      <c r="I764" s="92">
        <v>105</v>
      </c>
      <c r="J764" s="26">
        <f>SUM($I$4:I764)</f>
        <v>74052751.089999959</v>
      </c>
      <c r="K764" s="44">
        <f t="shared" si="11"/>
        <v>1.358681715313373E-6</v>
      </c>
      <c r="L764" s="22"/>
      <c r="M764" s="22"/>
    </row>
    <row r="765" spans="2:13" ht="12.75">
      <c r="B765" s="21">
        <v>45108</v>
      </c>
      <c r="C765" s="16"/>
      <c r="D765" s="25" t="s">
        <v>264</v>
      </c>
      <c r="E765" s="22"/>
      <c r="F765" s="22"/>
      <c r="G765" s="25"/>
      <c r="H765" s="25"/>
      <c r="I765" s="92">
        <v>7.88</v>
      </c>
      <c r="J765" s="26">
        <f>SUM($I$4:I765)</f>
        <v>74052758.969999954</v>
      </c>
      <c r="K765" s="44">
        <f t="shared" si="11"/>
        <v>1.019658277778036E-7</v>
      </c>
      <c r="L765" s="22"/>
      <c r="M765" s="22"/>
    </row>
    <row r="766" spans="2:13" ht="12.75">
      <c r="B766" s="21">
        <v>45108</v>
      </c>
      <c r="C766" s="16"/>
      <c r="D766" s="25" t="s">
        <v>264</v>
      </c>
      <c r="E766" s="22"/>
      <c r="F766" s="22"/>
      <c r="G766" s="25"/>
      <c r="H766" s="25"/>
      <c r="I766" s="92">
        <v>105</v>
      </c>
      <c r="J766" s="26">
        <f>SUM($I$4:I766)</f>
        <v>74052863.969999954</v>
      </c>
      <c r="K766" s="44">
        <f t="shared" si="11"/>
        <v>1.358681715313373E-6</v>
      </c>
      <c r="L766" s="22"/>
      <c r="M766" s="22"/>
    </row>
    <row r="767" spans="2:13" ht="12.75">
      <c r="B767" s="21">
        <v>45108</v>
      </c>
      <c r="C767" s="16"/>
      <c r="D767" s="25" t="s">
        <v>264</v>
      </c>
      <c r="E767" s="22"/>
      <c r="F767" s="22"/>
      <c r="G767" s="25"/>
      <c r="H767" s="25"/>
      <c r="I767" s="92">
        <v>7.88</v>
      </c>
      <c r="J767" s="26">
        <f>SUM($I$4:I767)</f>
        <v>74052871.849999949</v>
      </c>
      <c r="K767" s="44">
        <f t="shared" si="11"/>
        <v>1.019658277778036E-7</v>
      </c>
      <c r="L767" s="22"/>
      <c r="M767" s="22"/>
    </row>
    <row r="768" spans="2:13" ht="12.75">
      <c r="B768" s="21">
        <v>45108</v>
      </c>
      <c r="C768" s="16"/>
      <c r="D768" s="25" t="s">
        <v>271</v>
      </c>
      <c r="E768" s="22"/>
      <c r="F768" s="22"/>
      <c r="G768" s="25"/>
      <c r="H768" s="25"/>
      <c r="I768" s="92">
        <v>60000</v>
      </c>
      <c r="J768" s="26">
        <f>SUM($I$4:I768)</f>
        <v>74112871.849999949</v>
      </c>
      <c r="K768" s="44">
        <f t="shared" si="11"/>
        <v>7.7638955160764167E-4</v>
      </c>
      <c r="L768" s="22"/>
      <c r="M768" s="22"/>
    </row>
    <row r="769" spans="2:13" ht="12.75">
      <c r="B769" s="21">
        <v>45108</v>
      </c>
      <c r="C769" s="16"/>
      <c r="D769" s="25" t="s">
        <v>264</v>
      </c>
      <c r="E769" s="22"/>
      <c r="F769" s="22"/>
      <c r="G769" s="25"/>
      <c r="H769" s="25"/>
      <c r="I769" s="92">
        <v>50</v>
      </c>
      <c r="J769" s="26">
        <f>SUM($I$4:I769)</f>
        <v>74112921.849999949</v>
      </c>
      <c r="K769" s="44">
        <f t="shared" si="11"/>
        <v>6.4699129300636808E-7</v>
      </c>
      <c r="L769" s="22"/>
      <c r="M769" s="22"/>
    </row>
    <row r="770" spans="2:13" ht="12.75">
      <c r="B770" s="21">
        <v>45108</v>
      </c>
      <c r="C770" s="16"/>
      <c r="D770" s="25" t="s">
        <v>264</v>
      </c>
      <c r="E770" s="22"/>
      <c r="F770" s="22"/>
      <c r="G770" s="25"/>
      <c r="H770" s="25"/>
      <c r="I770" s="92">
        <v>3.75</v>
      </c>
      <c r="J770" s="26">
        <f>SUM($I$4:I770)</f>
        <v>74112925.599999949</v>
      </c>
      <c r="K770" s="44">
        <f t="shared" si="11"/>
        <v>4.8524346975477608E-8</v>
      </c>
      <c r="L770" s="22"/>
      <c r="M770" s="22"/>
    </row>
    <row r="771" spans="2:13" ht="12.75">
      <c r="B771" s="21">
        <v>45108</v>
      </c>
      <c r="C771" s="16"/>
      <c r="D771" s="25" t="s">
        <v>264</v>
      </c>
      <c r="E771" s="22"/>
      <c r="F771" s="22"/>
      <c r="G771" s="25"/>
      <c r="H771" s="25"/>
      <c r="I771" s="92">
        <v>100</v>
      </c>
      <c r="J771" s="26">
        <f>SUM($I$4:I771)</f>
        <v>74113025.599999949</v>
      </c>
      <c r="K771" s="44">
        <f t="shared" si="11"/>
        <v>1.2939825860127362E-6</v>
      </c>
      <c r="L771" s="22"/>
      <c r="M771" s="22"/>
    </row>
    <row r="772" spans="2:13" ht="12.75">
      <c r="B772" s="21">
        <v>45108</v>
      </c>
      <c r="C772" s="16"/>
      <c r="D772" s="25" t="s">
        <v>280</v>
      </c>
      <c r="E772" s="22"/>
      <c r="F772" s="22"/>
      <c r="G772" s="25"/>
      <c r="H772" s="25"/>
      <c r="I772" s="92">
        <v>20000</v>
      </c>
      <c r="J772" s="26">
        <f>SUM($I$4:I772)</f>
        <v>74133025.599999949</v>
      </c>
      <c r="K772" s="44">
        <f t="shared" si="11"/>
        <v>2.5879651720254722E-4</v>
      </c>
      <c r="L772" s="22"/>
      <c r="M772" s="22"/>
    </row>
    <row r="773" spans="2:13" ht="12.75">
      <c r="B773" s="21">
        <v>45108</v>
      </c>
      <c r="C773" s="16"/>
      <c r="D773" s="25" t="s">
        <v>264</v>
      </c>
      <c r="E773" s="22"/>
      <c r="F773" s="22"/>
      <c r="G773" s="25"/>
      <c r="H773" s="25"/>
      <c r="I773" s="92">
        <v>25</v>
      </c>
      <c r="J773" s="26">
        <f>SUM($I$4:I773)</f>
        <v>74133050.599999949</v>
      </c>
      <c r="K773" s="44">
        <f t="shared" ref="K773:K836" si="12">IF(SUM($I$4:$I$830)=0,"",I773/SUM($I$4:$I$830))</f>
        <v>3.2349564650318404E-7</v>
      </c>
      <c r="L773" s="22"/>
      <c r="M773" s="22"/>
    </row>
    <row r="774" spans="2:13" ht="12.75">
      <c r="B774" s="21">
        <v>45108</v>
      </c>
      <c r="C774" s="16"/>
      <c r="D774" s="25" t="s">
        <v>264</v>
      </c>
      <c r="E774" s="22"/>
      <c r="F774" s="22"/>
      <c r="G774" s="25"/>
      <c r="H774" s="25"/>
      <c r="I774" s="92">
        <v>1.87</v>
      </c>
      <c r="J774" s="26">
        <f>SUM($I$4:I774)</f>
        <v>74133052.469999954</v>
      </c>
      <c r="K774" s="44">
        <f t="shared" si="12"/>
        <v>2.4197474358438168E-8</v>
      </c>
      <c r="L774" s="22"/>
      <c r="M774" s="22"/>
    </row>
    <row r="775" spans="2:13" ht="12.75">
      <c r="B775" s="21">
        <v>45108</v>
      </c>
      <c r="C775" s="16"/>
      <c r="D775" s="25" t="s">
        <v>264</v>
      </c>
      <c r="E775" s="22"/>
      <c r="F775" s="22"/>
      <c r="G775" s="25"/>
      <c r="H775" s="25"/>
      <c r="I775" s="92">
        <v>15</v>
      </c>
      <c r="J775" s="26">
        <f>SUM($I$4:I775)</f>
        <v>74133067.469999954</v>
      </c>
      <c r="K775" s="44">
        <f t="shared" si="12"/>
        <v>1.9409738790191043E-7</v>
      </c>
      <c r="L775" s="22"/>
      <c r="M775" s="22"/>
    </row>
    <row r="776" spans="2:13" ht="12.75">
      <c r="B776" s="21">
        <v>45108</v>
      </c>
      <c r="C776" s="16"/>
      <c r="D776" s="25" t="s">
        <v>264</v>
      </c>
      <c r="E776" s="22"/>
      <c r="F776" s="22"/>
      <c r="G776" s="25"/>
      <c r="H776" s="25"/>
      <c r="I776" s="92">
        <v>1.1299999999999999</v>
      </c>
      <c r="J776" s="26">
        <f>SUM($I$4:I776)</f>
        <v>74133068.599999949</v>
      </c>
      <c r="K776" s="44">
        <f t="shared" si="12"/>
        <v>1.4622003221943917E-8</v>
      </c>
      <c r="L776" s="22"/>
      <c r="M776" s="22"/>
    </row>
    <row r="777" spans="2:13" ht="12.75">
      <c r="B777" s="21">
        <v>45108</v>
      </c>
      <c r="C777" s="16"/>
      <c r="D777" s="25" t="s">
        <v>271</v>
      </c>
      <c r="E777" s="22"/>
      <c r="F777" s="22"/>
      <c r="G777" s="25"/>
      <c r="H777" s="25"/>
      <c r="I777" s="92">
        <v>69919.09</v>
      </c>
      <c r="J777" s="26">
        <f>SUM($I$4:I777)</f>
        <v>74202987.689999953</v>
      </c>
      <c r="K777" s="44">
        <f t="shared" si="12"/>
        <v>9.0474084889857233E-4</v>
      </c>
      <c r="L777" s="22"/>
      <c r="M777" s="22"/>
    </row>
    <row r="778" spans="2:13" ht="12.75">
      <c r="B778" s="21">
        <v>45108</v>
      </c>
      <c r="C778" s="16"/>
      <c r="D778" s="25" t="s">
        <v>264</v>
      </c>
      <c r="E778" s="22"/>
      <c r="F778" s="22"/>
      <c r="G778" s="25"/>
      <c r="H778" s="25"/>
      <c r="I778" s="92">
        <v>50</v>
      </c>
      <c r="J778" s="26">
        <f>SUM($I$4:I778)</f>
        <v>74203037.689999953</v>
      </c>
      <c r="K778" s="44">
        <f t="shared" si="12"/>
        <v>6.4699129300636808E-7</v>
      </c>
      <c r="L778" s="22"/>
      <c r="M778" s="22"/>
    </row>
    <row r="779" spans="2:13" ht="12.75">
      <c r="B779" s="21">
        <v>45108</v>
      </c>
      <c r="C779" s="16"/>
      <c r="D779" s="25" t="s">
        <v>264</v>
      </c>
      <c r="E779" s="22"/>
      <c r="F779" s="22"/>
      <c r="G779" s="25"/>
      <c r="H779" s="25"/>
      <c r="I779" s="92">
        <v>3.75</v>
      </c>
      <c r="J779" s="26">
        <f>SUM($I$4:I779)</f>
        <v>74203041.439999953</v>
      </c>
      <c r="K779" s="44">
        <f t="shared" si="12"/>
        <v>4.8524346975477608E-8</v>
      </c>
      <c r="L779" s="22"/>
      <c r="M779" s="22"/>
    </row>
    <row r="780" spans="2:13" ht="12.75">
      <c r="B780" s="21">
        <v>45108</v>
      </c>
      <c r="C780" s="16"/>
      <c r="D780" s="25" t="s">
        <v>264</v>
      </c>
      <c r="E780" s="22"/>
      <c r="F780" s="22"/>
      <c r="G780" s="25"/>
      <c r="H780" s="25"/>
      <c r="I780" s="92">
        <v>15</v>
      </c>
      <c r="J780" s="26">
        <f>SUM($I$4:I780)</f>
        <v>74203056.439999953</v>
      </c>
      <c r="K780" s="44">
        <f t="shared" si="12"/>
        <v>1.9409738790191043E-7</v>
      </c>
      <c r="L780" s="22"/>
      <c r="M780" s="22"/>
    </row>
    <row r="781" spans="2:13" ht="12.75">
      <c r="B781" s="21">
        <v>45108</v>
      </c>
      <c r="C781" s="16"/>
      <c r="D781" s="25" t="s">
        <v>264</v>
      </c>
      <c r="E781" s="22"/>
      <c r="F781" s="22"/>
      <c r="G781" s="25"/>
      <c r="H781" s="25"/>
      <c r="I781" s="92">
        <v>1.1299999999999999</v>
      </c>
      <c r="J781" s="26">
        <f>SUM($I$4:I781)</f>
        <v>74203057.569999948</v>
      </c>
      <c r="K781" s="44">
        <f t="shared" si="12"/>
        <v>1.4622003221943917E-8</v>
      </c>
      <c r="L781" s="22"/>
      <c r="M781" s="22"/>
    </row>
    <row r="782" spans="2:13" ht="12.75">
      <c r="B782" s="21">
        <v>45108</v>
      </c>
      <c r="C782" s="16"/>
      <c r="D782" s="25" t="s">
        <v>280</v>
      </c>
      <c r="E782" s="22"/>
      <c r="F782" s="22"/>
      <c r="G782" s="25"/>
      <c r="H782" s="25"/>
      <c r="I782" s="92">
        <v>68505.600000000006</v>
      </c>
      <c r="J782" s="26">
        <f>SUM($I$4:I782)</f>
        <v>74271563.169999942</v>
      </c>
      <c r="K782" s="44">
        <f t="shared" si="12"/>
        <v>8.8645053444354107E-4</v>
      </c>
      <c r="L782" s="22"/>
      <c r="M782" s="22"/>
    </row>
    <row r="783" spans="2:13" ht="12.75">
      <c r="B783" s="21">
        <v>45108</v>
      </c>
      <c r="C783" s="16"/>
      <c r="D783" s="25" t="s">
        <v>280</v>
      </c>
      <c r="E783" s="22"/>
      <c r="F783" s="22"/>
      <c r="G783" s="25"/>
      <c r="H783" s="25"/>
      <c r="I783" s="92">
        <v>20000</v>
      </c>
      <c r="J783" s="26">
        <f>SUM($I$4:I783)</f>
        <v>74291563.169999942</v>
      </c>
      <c r="K783" s="44">
        <f t="shared" si="12"/>
        <v>2.5879651720254722E-4</v>
      </c>
      <c r="L783" s="22"/>
      <c r="M783" s="22"/>
    </row>
    <row r="784" spans="2:13" ht="12.75">
      <c r="B784" s="21">
        <v>45108</v>
      </c>
      <c r="C784" s="16"/>
      <c r="D784" s="25" t="s">
        <v>312</v>
      </c>
      <c r="E784" s="22"/>
      <c r="F784" s="22"/>
      <c r="G784" s="25"/>
      <c r="H784" s="25"/>
      <c r="I784" s="92">
        <v>166761.9</v>
      </c>
      <c r="J784" s="26">
        <f>SUM($I$4:I784)</f>
        <v>74458325.069999948</v>
      </c>
      <c r="K784" s="44">
        <f t="shared" si="12"/>
        <v>2.1578699461039731E-3</v>
      </c>
      <c r="L784" s="22"/>
      <c r="M784" s="22"/>
    </row>
    <row r="785" spans="2:13" ht="12.75">
      <c r="B785" s="21">
        <v>45114</v>
      </c>
      <c r="C785" s="16"/>
      <c r="D785" s="25" t="s">
        <v>313</v>
      </c>
      <c r="E785" s="22"/>
      <c r="F785" s="22"/>
      <c r="G785" s="25"/>
      <c r="H785" s="25"/>
      <c r="I785" s="92">
        <v>130000</v>
      </c>
      <c r="J785" s="26">
        <f>SUM($I$4:I785)</f>
        <v>74588325.069999948</v>
      </c>
      <c r="K785" s="44">
        <f t="shared" si="12"/>
        <v>1.6821773618165569E-3</v>
      </c>
      <c r="L785" s="22"/>
      <c r="M785" s="22"/>
    </row>
    <row r="786" spans="2:13" ht="12.75">
      <c r="B786" s="21">
        <v>45118</v>
      </c>
      <c r="C786" s="16"/>
      <c r="D786" s="25" t="s">
        <v>286</v>
      </c>
      <c r="E786" s="22"/>
      <c r="F786" s="22"/>
      <c r="G786" s="25"/>
      <c r="H786" s="25"/>
      <c r="I786" s="92">
        <v>21600</v>
      </c>
      <c r="J786" s="26">
        <f>SUM($I$4:I786)</f>
        <v>74609925.069999948</v>
      </c>
      <c r="K786" s="44">
        <f t="shared" si="12"/>
        <v>2.7950023857875101E-4</v>
      </c>
      <c r="L786" s="22"/>
      <c r="M786" s="22"/>
    </row>
    <row r="787" spans="2:13" ht="12.75">
      <c r="B787" s="21">
        <v>45118</v>
      </c>
      <c r="C787" s="16"/>
      <c r="D787" s="25" t="s">
        <v>264</v>
      </c>
      <c r="E787" s="22"/>
      <c r="F787" s="22"/>
      <c r="G787" s="25"/>
      <c r="H787" s="25"/>
      <c r="I787" s="92">
        <v>25</v>
      </c>
      <c r="J787" s="26">
        <f>SUM($I$4:I787)</f>
        <v>74609950.069999948</v>
      </c>
      <c r="K787" s="44">
        <f t="shared" si="12"/>
        <v>3.2349564650318404E-7</v>
      </c>
      <c r="L787" s="22"/>
      <c r="M787" s="22"/>
    </row>
    <row r="788" spans="2:13" ht="12.75">
      <c r="B788" s="21">
        <v>45118</v>
      </c>
      <c r="C788" s="16"/>
      <c r="D788" s="25" t="s">
        <v>264</v>
      </c>
      <c r="E788" s="22"/>
      <c r="F788" s="22"/>
      <c r="G788" s="25"/>
      <c r="H788" s="25"/>
      <c r="I788" s="92">
        <v>1.87</v>
      </c>
      <c r="J788" s="26">
        <f>SUM($I$4:I788)</f>
        <v>74609951.939999953</v>
      </c>
      <c r="K788" s="44">
        <f t="shared" si="12"/>
        <v>2.4197474358438168E-8</v>
      </c>
      <c r="L788" s="22"/>
      <c r="M788" s="22"/>
    </row>
    <row r="789" spans="2:13" ht="12.75">
      <c r="B789" s="21">
        <v>45118</v>
      </c>
      <c r="C789" s="16"/>
      <c r="D789" s="25" t="s">
        <v>264</v>
      </c>
      <c r="E789" s="22"/>
      <c r="F789" s="22"/>
      <c r="G789" s="25"/>
      <c r="H789" s="25"/>
      <c r="I789" s="92">
        <v>50</v>
      </c>
      <c r="J789" s="26">
        <f>SUM($I$4:I789)</f>
        <v>74610001.939999953</v>
      </c>
      <c r="K789" s="44">
        <f t="shared" si="12"/>
        <v>6.4699129300636808E-7</v>
      </c>
      <c r="L789" s="22"/>
      <c r="M789" s="22"/>
    </row>
    <row r="790" spans="2:13" ht="12.75">
      <c r="B790" s="21">
        <v>45120</v>
      </c>
      <c r="C790" s="16"/>
      <c r="D790" s="25" t="s">
        <v>285</v>
      </c>
      <c r="E790" s="22"/>
      <c r="F790" s="22"/>
      <c r="G790" s="25"/>
      <c r="H790" s="25"/>
      <c r="I790" s="92">
        <v>42000</v>
      </c>
      <c r="J790" s="26">
        <f>SUM($I$4:I790)</f>
        <v>74652001.939999953</v>
      </c>
      <c r="K790" s="44">
        <f t="shared" si="12"/>
        <v>5.4347268612534917E-4</v>
      </c>
      <c r="L790" s="22"/>
      <c r="M790" s="22"/>
    </row>
    <row r="791" spans="2:13" ht="12.75">
      <c r="B791" s="21">
        <v>45120</v>
      </c>
      <c r="C791" s="16"/>
      <c r="D791" s="25" t="s">
        <v>264</v>
      </c>
      <c r="E791" s="22"/>
      <c r="F791" s="22"/>
      <c r="G791" s="25"/>
      <c r="H791" s="25"/>
      <c r="I791" s="92">
        <v>25</v>
      </c>
      <c r="J791" s="26">
        <f>SUM($I$4:I791)</f>
        <v>74652026.939999953</v>
      </c>
      <c r="K791" s="44">
        <f t="shared" si="12"/>
        <v>3.2349564650318404E-7</v>
      </c>
      <c r="L791" s="22"/>
      <c r="M791" s="22"/>
    </row>
    <row r="792" spans="2:13" ht="12.75">
      <c r="B792" s="21">
        <v>45120</v>
      </c>
      <c r="C792" s="16"/>
      <c r="D792" s="25" t="s">
        <v>264</v>
      </c>
      <c r="E792" s="22"/>
      <c r="F792" s="22"/>
      <c r="G792" s="25"/>
      <c r="H792" s="25"/>
      <c r="I792" s="92">
        <v>1.87</v>
      </c>
      <c r="J792" s="26">
        <f>SUM($I$4:I792)</f>
        <v>74652028.809999958</v>
      </c>
      <c r="K792" s="44">
        <f t="shared" si="12"/>
        <v>2.4197474358438168E-8</v>
      </c>
      <c r="L792" s="22"/>
      <c r="M792" s="22"/>
    </row>
    <row r="793" spans="2:13" ht="12.75">
      <c r="B793" s="21">
        <v>45120</v>
      </c>
      <c r="C793" s="16"/>
      <c r="D793" s="25" t="s">
        <v>285</v>
      </c>
      <c r="E793" s="22"/>
      <c r="F793" s="22"/>
      <c r="G793" s="25"/>
      <c r="H793" s="25"/>
      <c r="I793" s="92">
        <v>33000</v>
      </c>
      <c r="J793" s="26">
        <f>SUM($I$4:I793)</f>
        <v>74685028.809999958</v>
      </c>
      <c r="K793" s="44">
        <f t="shared" si="12"/>
        <v>4.2701425338420292E-4</v>
      </c>
      <c r="L793" s="22"/>
      <c r="M793" s="22"/>
    </row>
    <row r="794" spans="2:13" ht="12.75">
      <c r="B794" s="21">
        <v>45120</v>
      </c>
      <c r="C794" s="16"/>
      <c r="D794" s="25" t="s">
        <v>264</v>
      </c>
      <c r="E794" s="22"/>
      <c r="F794" s="22"/>
      <c r="G794" s="25"/>
      <c r="H794" s="25"/>
      <c r="I794" s="92">
        <v>25</v>
      </c>
      <c r="J794" s="26">
        <f>SUM($I$4:I794)</f>
        <v>74685053.809999958</v>
      </c>
      <c r="K794" s="44">
        <f t="shared" si="12"/>
        <v>3.2349564650318404E-7</v>
      </c>
      <c r="L794" s="22"/>
      <c r="M794" s="22"/>
    </row>
    <row r="795" spans="2:13" ht="12.75">
      <c r="B795" s="21">
        <v>45120</v>
      </c>
      <c r="C795" s="16"/>
      <c r="D795" s="25" t="s">
        <v>264</v>
      </c>
      <c r="E795" s="22"/>
      <c r="F795" s="22"/>
      <c r="G795" s="25"/>
      <c r="H795" s="25"/>
      <c r="I795" s="92">
        <v>1.87</v>
      </c>
      <c r="J795" s="26">
        <f>SUM($I$4:I795)</f>
        <v>74685055.679999962</v>
      </c>
      <c r="K795" s="44">
        <f t="shared" si="12"/>
        <v>2.4197474358438168E-8</v>
      </c>
      <c r="L795" s="22"/>
      <c r="M795" s="22"/>
    </row>
    <row r="796" spans="2:13" ht="12.75">
      <c r="B796" s="21">
        <v>45127</v>
      </c>
      <c r="C796" s="16"/>
      <c r="D796" s="25" t="s">
        <v>285</v>
      </c>
      <c r="E796" s="22"/>
      <c r="F796" s="22"/>
      <c r="G796" s="25"/>
      <c r="H796" s="25"/>
      <c r="I796" s="92">
        <v>39000</v>
      </c>
      <c r="J796" s="26">
        <f>SUM($I$4:I796)</f>
        <v>74724055.679999962</v>
      </c>
      <c r="K796" s="44">
        <f t="shared" si="12"/>
        <v>5.0465320854496708E-4</v>
      </c>
      <c r="L796" s="22"/>
      <c r="M796" s="22"/>
    </row>
    <row r="797" spans="2:13" ht="12.75">
      <c r="B797" s="21">
        <v>45127</v>
      </c>
      <c r="C797" s="16"/>
      <c r="D797" s="25" t="s">
        <v>264</v>
      </c>
      <c r="E797" s="22"/>
      <c r="F797" s="22"/>
      <c r="G797" s="25"/>
      <c r="H797" s="25"/>
      <c r="I797" s="92">
        <v>25</v>
      </c>
      <c r="J797" s="26">
        <f>SUM($I$4:I797)</f>
        <v>74724080.679999962</v>
      </c>
      <c r="K797" s="44">
        <f t="shared" si="12"/>
        <v>3.2349564650318404E-7</v>
      </c>
      <c r="L797" s="22"/>
      <c r="M797" s="22"/>
    </row>
    <row r="798" spans="2:13" ht="12.75">
      <c r="B798" s="21">
        <v>45127</v>
      </c>
      <c r="C798" s="16"/>
      <c r="D798" s="25" t="s">
        <v>264</v>
      </c>
      <c r="E798" s="22"/>
      <c r="F798" s="22"/>
      <c r="G798" s="25"/>
      <c r="H798" s="25"/>
      <c r="I798" s="92">
        <v>1.87</v>
      </c>
      <c r="J798" s="26">
        <f>SUM($I$4:I798)</f>
        <v>74724082.549999967</v>
      </c>
      <c r="K798" s="44">
        <f t="shared" si="12"/>
        <v>2.4197474358438168E-8</v>
      </c>
      <c r="L798" s="22"/>
      <c r="M798" s="22"/>
    </row>
    <row r="799" spans="2:13" ht="12.75">
      <c r="B799" s="21">
        <v>45127</v>
      </c>
      <c r="C799" s="16"/>
      <c r="D799" s="25" t="s">
        <v>285</v>
      </c>
      <c r="E799" s="22"/>
      <c r="F799" s="22"/>
      <c r="G799" s="25"/>
      <c r="H799" s="25"/>
      <c r="I799" s="92">
        <v>42000</v>
      </c>
      <c r="J799" s="26">
        <f>SUM($I$4:I799)</f>
        <v>74766082.549999967</v>
      </c>
      <c r="K799" s="44">
        <f t="shared" si="12"/>
        <v>5.4347268612534917E-4</v>
      </c>
      <c r="L799" s="22"/>
      <c r="M799" s="22"/>
    </row>
    <row r="800" spans="2:13" ht="12.75">
      <c r="B800" s="21">
        <v>45127</v>
      </c>
      <c r="C800" s="16"/>
      <c r="D800" s="25" t="s">
        <v>264</v>
      </c>
      <c r="E800" s="22"/>
      <c r="F800" s="22"/>
      <c r="G800" s="25"/>
      <c r="H800" s="25"/>
      <c r="I800" s="92">
        <v>25</v>
      </c>
      <c r="J800" s="26">
        <f>SUM($I$4:I800)</f>
        <v>74766107.549999967</v>
      </c>
      <c r="K800" s="44">
        <f t="shared" si="12"/>
        <v>3.2349564650318404E-7</v>
      </c>
      <c r="L800" s="22"/>
      <c r="M800" s="22"/>
    </row>
    <row r="801" spans="2:13" ht="12.75">
      <c r="B801" s="21">
        <v>45127</v>
      </c>
      <c r="C801" s="16"/>
      <c r="D801" s="25" t="s">
        <v>264</v>
      </c>
      <c r="E801" s="22"/>
      <c r="F801" s="22"/>
      <c r="G801" s="25"/>
      <c r="H801" s="25"/>
      <c r="I801" s="92">
        <v>1.87</v>
      </c>
      <c r="J801" s="26">
        <f>SUM($I$4:I801)</f>
        <v>74766109.419999972</v>
      </c>
      <c r="K801" s="44">
        <f t="shared" si="12"/>
        <v>2.4197474358438168E-8</v>
      </c>
      <c r="L801" s="22"/>
      <c r="M801" s="22"/>
    </row>
    <row r="802" spans="2:13" ht="12.75">
      <c r="B802" s="21">
        <v>45127</v>
      </c>
      <c r="C802" s="16"/>
      <c r="D802" s="25" t="s">
        <v>286</v>
      </c>
      <c r="E802" s="22"/>
      <c r="F802" s="22"/>
      <c r="G802" s="25"/>
      <c r="H802" s="25"/>
      <c r="I802" s="92">
        <v>18000</v>
      </c>
      <c r="J802" s="26">
        <f>SUM($I$4:I802)</f>
        <v>74784109.419999972</v>
      </c>
      <c r="K802" s="44">
        <f t="shared" si="12"/>
        <v>2.329168654822925E-4</v>
      </c>
      <c r="L802" s="22"/>
      <c r="M802" s="22"/>
    </row>
    <row r="803" spans="2:13" ht="12.75">
      <c r="B803" s="21">
        <v>45127</v>
      </c>
      <c r="C803" s="16"/>
      <c r="D803" s="25" t="s">
        <v>264</v>
      </c>
      <c r="E803" s="22"/>
      <c r="F803" s="22"/>
      <c r="G803" s="25"/>
      <c r="H803" s="25"/>
      <c r="I803" s="92">
        <v>25</v>
      </c>
      <c r="J803" s="26">
        <f>SUM($I$4:I803)</f>
        <v>74784134.419999972</v>
      </c>
      <c r="K803" s="44">
        <f t="shared" si="12"/>
        <v>3.2349564650318404E-7</v>
      </c>
      <c r="L803" s="22"/>
      <c r="M803" s="22"/>
    </row>
    <row r="804" spans="2:13" ht="12.75">
      <c r="B804" s="21">
        <v>45127</v>
      </c>
      <c r="C804" s="16"/>
      <c r="D804" s="25" t="s">
        <v>264</v>
      </c>
      <c r="E804" s="22"/>
      <c r="F804" s="22"/>
      <c r="G804" s="25"/>
      <c r="H804" s="25"/>
      <c r="I804" s="92">
        <v>1.87</v>
      </c>
      <c r="J804" s="26">
        <f>SUM($I$4:I804)</f>
        <v>74784136.289999977</v>
      </c>
      <c r="K804" s="44">
        <f t="shared" si="12"/>
        <v>2.4197474358438168E-8</v>
      </c>
      <c r="L804" s="22"/>
      <c r="M804" s="22"/>
    </row>
    <row r="805" spans="2:13" ht="12.75">
      <c r="B805" s="21">
        <v>45127</v>
      </c>
      <c r="C805" s="16"/>
      <c r="D805" s="25" t="s">
        <v>295</v>
      </c>
      <c r="E805" s="22"/>
      <c r="F805" s="22"/>
      <c r="G805" s="25"/>
      <c r="H805" s="25"/>
      <c r="I805" s="92">
        <v>36600</v>
      </c>
      <c r="J805" s="26">
        <f>SUM($I$4:I805)</f>
        <v>74820736.289999977</v>
      </c>
      <c r="K805" s="44">
        <f t="shared" si="12"/>
        <v>4.7359762648066143E-4</v>
      </c>
      <c r="L805" s="22"/>
      <c r="M805" s="22"/>
    </row>
    <row r="806" spans="2:13" ht="12.75">
      <c r="B806" s="21">
        <v>45127</v>
      </c>
      <c r="C806" s="16"/>
      <c r="D806" s="25" t="s">
        <v>264</v>
      </c>
      <c r="E806" s="22"/>
      <c r="F806" s="22"/>
      <c r="G806" s="25"/>
      <c r="H806" s="25"/>
      <c r="I806" s="92">
        <v>25</v>
      </c>
      <c r="J806" s="26">
        <f>SUM($I$4:I806)</f>
        <v>74820761.289999977</v>
      </c>
      <c r="K806" s="44">
        <f t="shared" si="12"/>
        <v>3.2349564650318404E-7</v>
      </c>
      <c r="L806" s="22"/>
      <c r="M806" s="22"/>
    </row>
    <row r="807" spans="2:13" ht="12.75">
      <c r="B807" s="21">
        <v>45127</v>
      </c>
      <c r="C807" s="16"/>
      <c r="D807" s="25" t="s">
        <v>264</v>
      </c>
      <c r="E807" s="22"/>
      <c r="F807" s="22"/>
      <c r="G807" s="25"/>
      <c r="H807" s="25"/>
      <c r="I807" s="92">
        <v>1.87</v>
      </c>
      <c r="J807" s="26">
        <f>SUM($I$4:I807)</f>
        <v>74820763.159999982</v>
      </c>
      <c r="K807" s="44">
        <f t="shared" si="12"/>
        <v>2.4197474358438168E-8</v>
      </c>
      <c r="L807" s="22"/>
      <c r="M807" s="22"/>
    </row>
    <row r="808" spans="2:13" ht="12.75">
      <c r="B808" s="21">
        <v>45127</v>
      </c>
      <c r="C808" s="16"/>
      <c r="D808" s="25" t="s">
        <v>264</v>
      </c>
      <c r="E808" s="22"/>
      <c r="F808" s="22"/>
      <c r="G808" s="25"/>
      <c r="H808" s="25"/>
      <c r="I808" s="92">
        <v>100</v>
      </c>
      <c r="J808" s="26">
        <f>SUM($I$4:I808)</f>
        <v>74820863.159999982</v>
      </c>
      <c r="K808" s="44">
        <f t="shared" si="12"/>
        <v>1.2939825860127362E-6</v>
      </c>
      <c r="L808" s="22"/>
      <c r="M808" s="22"/>
    </row>
    <row r="809" spans="2:13" ht="12.75">
      <c r="B809" s="21">
        <v>45127</v>
      </c>
      <c r="C809" s="16"/>
      <c r="D809" s="25" t="s">
        <v>283</v>
      </c>
      <c r="E809" s="22"/>
      <c r="F809" s="22"/>
      <c r="G809" s="25"/>
      <c r="H809" s="25"/>
      <c r="I809" s="92">
        <v>8000</v>
      </c>
      <c r="J809" s="26">
        <f>SUM($I$4:I809)</f>
        <v>74828863.159999982</v>
      </c>
      <c r="K809" s="44">
        <f t="shared" si="12"/>
        <v>1.0351860688101889E-4</v>
      </c>
      <c r="L809" s="22"/>
      <c r="M809" s="22"/>
    </row>
    <row r="810" spans="2:13" ht="12.75">
      <c r="B810" s="21">
        <v>45127</v>
      </c>
      <c r="C810" s="16"/>
      <c r="D810" s="25" t="s">
        <v>264</v>
      </c>
      <c r="E810" s="22"/>
      <c r="F810" s="22"/>
      <c r="G810" s="25"/>
      <c r="H810" s="25"/>
      <c r="I810" s="92">
        <v>100</v>
      </c>
      <c r="J810" s="26">
        <f>SUM($I$4:I810)</f>
        <v>74828963.159999982</v>
      </c>
      <c r="K810" s="44">
        <f t="shared" si="12"/>
        <v>1.2939825860127362E-6</v>
      </c>
      <c r="L810" s="22"/>
      <c r="M810" s="22"/>
    </row>
    <row r="811" spans="2:13" ht="12.75">
      <c r="B811" s="21">
        <v>45127</v>
      </c>
      <c r="C811" s="16"/>
      <c r="D811" s="25" t="s">
        <v>272</v>
      </c>
      <c r="E811" s="22"/>
      <c r="F811" s="22"/>
      <c r="G811" s="25"/>
      <c r="H811" s="25"/>
      <c r="I811" s="92">
        <v>1017546.87</v>
      </c>
      <c r="J811" s="26">
        <f>SUM($I$4:I811)</f>
        <v>75846510.029999986</v>
      </c>
      <c r="K811" s="44">
        <f t="shared" si="12"/>
        <v>1.3166879302317655E-2</v>
      </c>
      <c r="L811" s="22"/>
      <c r="M811" s="22"/>
    </row>
    <row r="812" spans="2:13" ht="12.75">
      <c r="B812" s="21">
        <v>45127</v>
      </c>
      <c r="C812" s="16"/>
      <c r="D812" s="25" t="s">
        <v>315</v>
      </c>
      <c r="E812" s="22"/>
      <c r="F812" s="22"/>
      <c r="G812" s="25"/>
      <c r="H812" s="25"/>
      <c r="I812" s="92">
        <v>15000</v>
      </c>
      <c r="J812" s="26">
        <f>SUM($I$4:I812)</f>
        <v>75861510.029999986</v>
      </c>
      <c r="K812" s="44">
        <f t="shared" si="12"/>
        <v>1.9409738790191042E-4</v>
      </c>
      <c r="L812" s="22"/>
      <c r="M812" s="22"/>
    </row>
    <row r="813" spans="2:13" ht="12.75">
      <c r="B813" s="21">
        <v>45127</v>
      </c>
      <c r="C813" s="16"/>
      <c r="D813" s="25" t="s">
        <v>272</v>
      </c>
      <c r="E813" s="22"/>
      <c r="F813" s="22"/>
      <c r="G813" s="25"/>
      <c r="H813" s="25"/>
      <c r="I813" s="92">
        <v>4800.53</v>
      </c>
      <c r="J813" s="26">
        <f>SUM($I$4:I813)</f>
        <v>75866310.559999987</v>
      </c>
      <c r="K813" s="44">
        <f t="shared" si="12"/>
        <v>6.2118022236317202E-5</v>
      </c>
      <c r="L813" s="22"/>
      <c r="M813" s="22"/>
    </row>
    <row r="814" spans="2:13" ht="12.75">
      <c r="B814" s="21">
        <v>45127</v>
      </c>
      <c r="C814" s="16"/>
      <c r="D814" s="25" t="s">
        <v>264</v>
      </c>
      <c r="E814" s="22"/>
      <c r="F814" s="22"/>
      <c r="G814" s="25"/>
      <c r="H814" s="25"/>
      <c r="I814" s="92">
        <v>100</v>
      </c>
      <c r="J814" s="26">
        <f>SUM($I$4:I814)</f>
        <v>75866410.559999987</v>
      </c>
      <c r="K814" s="44">
        <f t="shared" si="12"/>
        <v>1.2939825860127362E-6</v>
      </c>
      <c r="L814" s="22"/>
      <c r="M814" s="22"/>
    </row>
    <row r="815" spans="2:13" ht="12.75">
      <c r="B815" s="21">
        <v>45127</v>
      </c>
      <c r="C815" s="16"/>
      <c r="D815" s="25" t="s">
        <v>312</v>
      </c>
      <c r="E815" s="22"/>
      <c r="F815" s="22"/>
      <c r="G815" s="25"/>
      <c r="H815" s="25"/>
      <c r="I815" s="92">
        <v>80503.81</v>
      </c>
      <c r="J815" s="26">
        <f>SUM($I$4:I815)</f>
        <v>75946914.36999999</v>
      </c>
      <c r="K815" s="44">
        <f t="shared" si="12"/>
        <v>1.0417052824767796E-3</v>
      </c>
      <c r="L815" s="22"/>
      <c r="M815" s="22"/>
    </row>
    <row r="816" spans="2:13" ht="12.75">
      <c r="B816" s="21">
        <v>45127</v>
      </c>
      <c r="C816" s="16"/>
      <c r="D816" s="25" t="s">
        <v>264</v>
      </c>
      <c r="E816" s="22"/>
      <c r="F816" s="22"/>
      <c r="G816" s="25"/>
      <c r="H816" s="25"/>
      <c r="I816" s="92">
        <v>100</v>
      </c>
      <c r="J816" s="26">
        <f>SUM($I$4:I816)</f>
        <v>75947014.36999999</v>
      </c>
      <c r="K816" s="44">
        <f t="shared" si="12"/>
        <v>1.2939825860127362E-6</v>
      </c>
      <c r="L816" s="22"/>
      <c r="M816" s="22"/>
    </row>
    <row r="817" spans="2:13" ht="12.75">
      <c r="B817" s="21">
        <v>45129</v>
      </c>
      <c r="C817" s="16"/>
      <c r="D817" s="25" t="s">
        <v>264</v>
      </c>
      <c r="E817" s="22"/>
      <c r="F817" s="22"/>
      <c r="G817" s="25"/>
      <c r="H817" s="25"/>
      <c r="I817" s="92">
        <v>50</v>
      </c>
      <c r="J817" s="26">
        <f>SUM($I$4:I817)</f>
        <v>75947064.36999999</v>
      </c>
      <c r="K817" s="44">
        <f t="shared" si="12"/>
        <v>6.4699129300636808E-7</v>
      </c>
      <c r="L817" s="22"/>
      <c r="M817" s="22"/>
    </row>
    <row r="818" spans="2:13" ht="12.75">
      <c r="B818" s="21">
        <v>45132</v>
      </c>
      <c r="C818" s="16"/>
      <c r="D818" s="25" t="s">
        <v>264</v>
      </c>
      <c r="E818" s="22"/>
      <c r="F818" s="22"/>
      <c r="G818" s="25"/>
      <c r="H818" s="25"/>
      <c r="I818" s="92">
        <v>50</v>
      </c>
      <c r="J818" s="26">
        <f>SUM($I$4:I818)</f>
        <v>75947114.36999999</v>
      </c>
      <c r="K818" s="44">
        <f t="shared" si="12"/>
        <v>6.4699129300636808E-7</v>
      </c>
      <c r="L818" s="22"/>
      <c r="M818" s="22"/>
    </row>
    <row r="819" spans="2:13" ht="12.75">
      <c r="B819" s="21">
        <v>45132</v>
      </c>
      <c r="C819" s="16"/>
      <c r="D819" s="25" t="s">
        <v>295</v>
      </c>
      <c r="E819" s="22"/>
      <c r="F819" s="22"/>
      <c r="G819" s="25"/>
      <c r="H819" s="25"/>
      <c r="I819" s="92">
        <v>29750</v>
      </c>
      <c r="J819" s="26">
        <f>SUM($I$4:I819)</f>
        <v>75976864.36999999</v>
      </c>
      <c r="K819" s="44">
        <f t="shared" si="12"/>
        <v>3.8495981933878902E-4</v>
      </c>
      <c r="L819" s="22"/>
      <c r="M819" s="22"/>
    </row>
    <row r="820" spans="2:13" ht="12.75">
      <c r="B820" s="21">
        <v>45132</v>
      </c>
      <c r="C820" s="16"/>
      <c r="D820" s="25" t="s">
        <v>264</v>
      </c>
      <c r="E820" s="22"/>
      <c r="F820" s="22"/>
      <c r="G820" s="25"/>
      <c r="H820" s="25"/>
      <c r="I820" s="92">
        <v>25</v>
      </c>
      <c r="J820" s="26">
        <f>SUM($I$4:I820)</f>
        <v>75976889.36999999</v>
      </c>
      <c r="K820" s="44">
        <f t="shared" si="12"/>
        <v>3.2349564650318404E-7</v>
      </c>
      <c r="L820" s="22"/>
      <c r="M820" s="22"/>
    </row>
    <row r="821" spans="2:13" ht="12.75">
      <c r="B821" s="21">
        <v>45132</v>
      </c>
      <c r="C821" s="16"/>
      <c r="D821" s="25" t="s">
        <v>264</v>
      </c>
      <c r="E821" s="22"/>
      <c r="F821" s="22"/>
      <c r="G821" s="25"/>
      <c r="H821" s="25"/>
      <c r="I821" s="92">
        <v>1.87</v>
      </c>
      <c r="J821" s="26">
        <f>SUM($I$4:I821)</f>
        <v>75976891.239999995</v>
      </c>
      <c r="K821" s="44">
        <f t="shared" si="12"/>
        <v>2.4197474358438168E-8</v>
      </c>
      <c r="L821" s="22"/>
      <c r="M821" s="22"/>
    </row>
    <row r="822" spans="2:13" ht="12.75">
      <c r="B822" s="21">
        <v>45138</v>
      </c>
      <c r="C822" s="16"/>
      <c r="D822" s="25" t="s">
        <v>264</v>
      </c>
      <c r="E822" s="22"/>
      <c r="F822" s="22"/>
      <c r="G822" s="25"/>
      <c r="H822" s="25"/>
      <c r="I822" s="92">
        <v>476</v>
      </c>
      <c r="J822" s="26">
        <f>SUM($I$4:I822)</f>
        <v>75977367.239999995</v>
      </c>
      <c r="K822" s="44">
        <f t="shared" si="12"/>
        <v>6.1593571094206239E-6</v>
      </c>
      <c r="L822" s="22"/>
      <c r="M822" s="22"/>
    </row>
    <row r="823" spans="2:13" ht="12.75">
      <c r="B823" s="21">
        <v>45138</v>
      </c>
      <c r="C823" s="16"/>
      <c r="D823" s="25" t="s">
        <v>264</v>
      </c>
      <c r="E823" s="22"/>
      <c r="F823" s="22"/>
      <c r="G823" s="25"/>
      <c r="H823" s="25"/>
      <c r="I823" s="92">
        <v>35.700000000000003</v>
      </c>
      <c r="J823" s="26">
        <f>SUM($I$4:I823)</f>
        <v>75977402.939999998</v>
      </c>
      <c r="K823" s="44">
        <f t="shared" si="12"/>
        <v>4.6195178320654685E-7</v>
      </c>
      <c r="L823" s="22"/>
      <c r="M823" s="22"/>
    </row>
    <row r="824" spans="2:13" ht="12.75">
      <c r="B824" s="21">
        <v>45138</v>
      </c>
      <c r="C824" s="16"/>
      <c r="D824" s="25" t="s">
        <v>264</v>
      </c>
      <c r="E824" s="22"/>
      <c r="F824" s="22"/>
      <c r="G824" s="25"/>
      <c r="H824" s="25"/>
      <c r="I824" s="92">
        <v>3060.25</v>
      </c>
      <c r="J824" s="26">
        <f>SUM($I$4:I824)</f>
        <v>75980463.189999998</v>
      </c>
      <c r="K824" s="44">
        <f t="shared" si="12"/>
        <v>3.959910208845476E-5</v>
      </c>
      <c r="L824" s="22"/>
      <c r="M824" s="22"/>
    </row>
    <row r="825" spans="2:13" ht="12.75">
      <c r="B825" s="21">
        <v>45138</v>
      </c>
      <c r="C825" s="16"/>
      <c r="D825" s="25" t="s">
        <v>264</v>
      </c>
      <c r="E825" s="22"/>
      <c r="F825" s="22"/>
      <c r="G825" s="25"/>
      <c r="H825" s="25"/>
      <c r="I825" s="92">
        <v>229.52</v>
      </c>
      <c r="J825" s="26">
        <f>SUM($I$4:I825)</f>
        <v>75980692.709999993</v>
      </c>
      <c r="K825" s="44">
        <f t="shared" si="12"/>
        <v>2.9699488314164322E-6</v>
      </c>
      <c r="L825" s="22"/>
      <c r="M825" s="22"/>
    </row>
    <row r="826" spans="2:13" ht="12.75">
      <c r="B826" s="21">
        <v>45139</v>
      </c>
      <c r="C826" s="16"/>
      <c r="D826" s="25" t="s">
        <v>276</v>
      </c>
      <c r="E826" s="22"/>
      <c r="F826" s="22"/>
      <c r="G826" s="25"/>
      <c r="H826" s="25"/>
      <c r="I826" s="92">
        <v>50000</v>
      </c>
      <c r="J826" s="26">
        <f>SUM($I$4:I826)</f>
        <v>76030692.709999993</v>
      </c>
      <c r="K826" s="44">
        <f t="shared" si="12"/>
        <v>6.4699129300636806E-4</v>
      </c>
      <c r="L826" s="22"/>
      <c r="M826" s="22"/>
    </row>
    <row r="827" spans="2:13" ht="12.75">
      <c r="B827" s="21">
        <v>45139</v>
      </c>
      <c r="C827" s="16"/>
      <c r="D827" s="25" t="s">
        <v>264</v>
      </c>
      <c r="E827" s="22"/>
      <c r="F827" s="22"/>
      <c r="G827" s="25"/>
      <c r="H827" s="25"/>
      <c r="I827" s="92">
        <v>50</v>
      </c>
      <c r="J827" s="26">
        <f>SUM($I$4:I827)</f>
        <v>76030742.709999993</v>
      </c>
      <c r="K827" s="44">
        <f t="shared" si="12"/>
        <v>6.4699129300636808E-7</v>
      </c>
      <c r="L827" s="22"/>
      <c r="M827" s="22"/>
    </row>
    <row r="828" spans="2:13" ht="12.75">
      <c r="B828" s="21">
        <v>45139</v>
      </c>
      <c r="C828" s="16"/>
      <c r="D828" s="25" t="s">
        <v>276</v>
      </c>
      <c r="E828" s="22"/>
      <c r="F828" s="22"/>
      <c r="G828" s="25"/>
      <c r="H828" s="25"/>
      <c r="I828" s="92">
        <v>50000</v>
      </c>
      <c r="J828" s="26">
        <f>SUM($I$4:I828)</f>
        <v>76080742.709999993</v>
      </c>
      <c r="K828" s="44">
        <f t="shared" si="12"/>
        <v>6.4699129300636806E-4</v>
      </c>
      <c r="L828" s="22"/>
      <c r="M828" s="22"/>
    </row>
    <row r="829" spans="2:13" ht="12.75">
      <c r="B829" s="21">
        <v>45139</v>
      </c>
      <c r="C829" s="16"/>
      <c r="D829" s="25" t="s">
        <v>264</v>
      </c>
      <c r="E829" s="22"/>
      <c r="F829" s="22"/>
      <c r="G829" s="25"/>
      <c r="H829" s="25"/>
      <c r="I829" s="92">
        <v>50</v>
      </c>
      <c r="J829" s="26">
        <f>SUM($I$4:I829)</f>
        <v>76080792.709999993</v>
      </c>
      <c r="K829" s="44">
        <f t="shared" si="12"/>
        <v>6.4699129300636808E-7</v>
      </c>
      <c r="L829" s="22"/>
      <c r="M829" s="22"/>
    </row>
    <row r="830" spans="2:13" ht="12.75">
      <c r="B830" s="21">
        <v>45139</v>
      </c>
      <c r="C830" s="16"/>
      <c r="D830" s="25" t="s">
        <v>276</v>
      </c>
      <c r="E830" s="22"/>
      <c r="F830" s="22"/>
      <c r="G830" s="25"/>
      <c r="H830" s="25"/>
      <c r="I830" s="92">
        <v>1200000</v>
      </c>
      <c r="J830" s="26">
        <f>SUM($I$4:I830)</f>
        <v>77280792.709999993</v>
      </c>
      <c r="K830" s="44">
        <f t="shared" si="12"/>
        <v>1.5527791032152833E-2</v>
      </c>
      <c r="L830" s="22"/>
      <c r="M830" s="22"/>
    </row>
    <row r="831" spans="2:13" ht="12.75">
      <c r="B831" s="21">
        <v>45139</v>
      </c>
      <c r="C831" s="16"/>
      <c r="D831" s="25" t="s">
        <v>264</v>
      </c>
      <c r="E831" s="22"/>
      <c r="F831" s="22"/>
      <c r="G831" s="25"/>
      <c r="H831" s="25"/>
      <c r="I831" s="92">
        <v>50</v>
      </c>
      <c r="J831" s="26">
        <f>SUM($I$4:I831)</f>
        <v>77280842.709999993</v>
      </c>
      <c r="K831" s="44">
        <f t="shared" si="12"/>
        <v>6.4699129300636808E-7</v>
      </c>
      <c r="L831" s="22"/>
      <c r="M831" s="22"/>
    </row>
    <row r="832" spans="2:13" ht="12.75">
      <c r="B832" s="21">
        <v>45139</v>
      </c>
      <c r="C832" s="16"/>
      <c r="D832" s="25" t="s">
        <v>271</v>
      </c>
      <c r="E832" s="22"/>
      <c r="F832" s="22"/>
      <c r="G832" s="25"/>
      <c r="H832" s="25"/>
      <c r="I832" s="92">
        <v>168523.14</v>
      </c>
      <c r="J832" s="26">
        <f>SUM($I$4:I832)</f>
        <v>77449365.849999994</v>
      </c>
      <c r="K832" s="44">
        <f t="shared" si="12"/>
        <v>2.1806600850018641E-3</v>
      </c>
      <c r="L832" s="22"/>
      <c r="M832" s="22"/>
    </row>
    <row r="833" spans="2:13" ht="12.75">
      <c r="B833" s="21">
        <v>45139</v>
      </c>
      <c r="C833" s="16"/>
      <c r="D833" s="25" t="s">
        <v>271</v>
      </c>
      <c r="E833" s="22"/>
      <c r="F833" s="22"/>
      <c r="G833" s="25"/>
      <c r="H833" s="25"/>
      <c r="I833" s="92">
        <v>49742.74</v>
      </c>
      <c r="J833" s="26">
        <f>SUM($I$4:I833)</f>
        <v>77499108.589999989</v>
      </c>
      <c r="K833" s="44">
        <f t="shared" si="12"/>
        <v>6.4366239340559166E-4</v>
      </c>
      <c r="L833" s="22"/>
      <c r="M833" s="22"/>
    </row>
    <row r="834" spans="2:13" ht="12.75">
      <c r="B834" s="21">
        <v>45139</v>
      </c>
      <c r="C834" s="16"/>
      <c r="D834" s="25" t="s">
        <v>264</v>
      </c>
      <c r="E834" s="22"/>
      <c r="F834" s="22"/>
      <c r="G834" s="25"/>
      <c r="H834" s="25"/>
      <c r="I834" s="92">
        <v>25</v>
      </c>
      <c r="J834" s="26">
        <f>SUM($I$4:I834)</f>
        <v>77499133.589999989</v>
      </c>
      <c r="K834" s="44">
        <f t="shared" si="12"/>
        <v>3.2349564650318404E-7</v>
      </c>
      <c r="L834" s="22"/>
      <c r="M834" s="22"/>
    </row>
    <row r="835" spans="2:13" ht="12.75">
      <c r="B835" s="21">
        <v>45139</v>
      </c>
      <c r="C835" s="16"/>
      <c r="D835" s="25" t="s">
        <v>264</v>
      </c>
      <c r="E835" s="22"/>
      <c r="F835" s="22"/>
      <c r="G835" s="25"/>
      <c r="H835" s="25"/>
      <c r="I835" s="92">
        <v>1.87</v>
      </c>
      <c r="J835" s="26">
        <f>SUM($I$4:I835)</f>
        <v>77499135.459999993</v>
      </c>
      <c r="K835" s="44">
        <f t="shared" si="12"/>
        <v>2.4197474358438168E-8</v>
      </c>
      <c r="L835" s="22"/>
      <c r="M835" s="22"/>
    </row>
    <row r="836" spans="2:13" ht="12.75">
      <c r="B836" s="21">
        <v>45139</v>
      </c>
      <c r="C836" s="16"/>
      <c r="D836" s="25" t="s">
        <v>271</v>
      </c>
      <c r="E836" s="22"/>
      <c r="F836" s="22"/>
      <c r="G836" s="25"/>
      <c r="H836" s="25"/>
      <c r="I836" s="92">
        <v>192119.33</v>
      </c>
      <c r="J836" s="26">
        <f>SUM($I$4:I836)</f>
        <v>77691254.789999992</v>
      </c>
      <c r="K836" s="44">
        <f t="shared" si="12"/>
        <v>2.4859906745643423E-3</v>
      </c>
      <c r="L836" s="22"/>
      <c r="M836" s="22"/>
    </row>
    <row r="837" spans="2:13" ht="12.75">
      <c r="B837" s="21">
        <v>45139</v>
      </c>
      <c r="C837" s="16"/>
      <c r="D837" s="25" t="s">
        <v>264</v>
      </c>
      <c r="E837" s="22"/>
      <c r="F837" s="22"/>
      <c r="G837" s="25"/>
      <c r="H837" s="25"/>
      <c r="I837" s="92">
        <v>50</v>
      </c>
      <c r="J837" s="26">
        <f>SUM($I$4:I837)</f>
        <v>77691304.789999992</v>
      </c>
      <c r="K837" s="44">
        <f t="shared" ref="K837:K900" si="13">IF(SUM($I$4:$I$830)=0,"",I837/SUM($I$4:$I$830))</f>
        <v>6.4699129300636808E-7</v>
      </c>
      <c r="L837" s="22"/>
      <c r="M837" s="22"/>
    </row>
    <row r="838" spans="2:13" ht="12.75">
      <c r="B838" s="21">
        <v>45139</v>
      </c>
      <c r="C838" s="16"/>
      <c r="D838" s="25" t="s">
        <v>264</v>
      </c>
      <c r="E838" s="22"/>
      <c r="F838" s="22"/>
      <c r="G838" s="25"/>
      <c r="H838" s="25"/>
      <c r="I838" s="92">
        <v>3.75</v>
      </c>
      <c r="J838" s="26">
        <f>SUM($I$4:I838)</f>
        <v>77691308.539999992</v>
      </c>
      <c r="K838" s="44">
        <f t="shared" si="13"/>
        <v>4.8524346975477608E-8</v>
      </c>
      <c r="L838" s="22"/>
      <c r="M838" s="22"/>
    </row>
    <row r="839" spans="2:13" ht="12.75">
      <c r="B839" s="21">
        <v>45139</v>
      </c>
      <c r="C839" s="16"/>
      <c r="D839" s="25" t="s">
        <v>264</v>
      </c>
      <c r="E839" s="22"/>
      <c r="F839" s="22"/>
      <c r="G839" s="25"/>
      <c r="H839" s="25"/>
      <c r="I839" s="92">
        <v>45</v>
      </c>
      <c r="J839" s="26">
        <f>SUM($I$4:I839)</f>
        <v>77691353.539999992</v>
      </c>
      <c r="K839" s="44">
        <f t="shared" si="13"/>
        <v>5.822921637057313E-7</v>
      </c>
      <c r="L839" s="22"/>
      <c r="M839" s="22"/>
    </row>
    <row r="840" spans="2:13" ht="12.75">
      <c r="B840" s="21">
        <v>45139</v>
      </c>
      <c r="C840" s="16"/>
      <c r="D840" s="25" t="s">
        <v>264</v>
      </c>
      <c r="E840" s="22"/>
      <c r="F840" s="22"/>
      <c r="G840" s="25"/>
      <c r="H840" s="25"/>
      <c r="I840" s="92">
        <v>3.38</v>
      </c>
      <c r="J840" s="26">
        <f>SUM($I$4:I840)</f>
        <v>77691356.919999987</v>
      </c>
      <c r="K840" s="44">
        <f t="shared" si="13"/>
        <v>4.373661140723048E-8</v>
      </c>
      <c r="L840" s="22"/>
      <c r="M840" s="22"/>
    </row>
    <row r="841" spans="2:13" ht="12.75">
      <c r="B841" s="21">
        <v>45139</v>
      </c>
      <c r="C841" s="16"/>
      <c r="D841" s="25" t="s">
        <v>286</v>
      </c>
      <c r="E841" s="22"/>
      <c r="F841" s="22"/>
      <c r="G841" s="25"/>
      <c r="H841" s="25"/>
      <c r="I841" s="92">
        <v>5400</v>
      </c>
      <c r="J841" s="26">
        <f>SUM($I$4:I841)</f>
        <v>77696756.919999987</v>
      </c>
      <c r="K841" s="44">
        <f t="shared" si="13"/>
        <v>6.9875059644687753E-5</v>
      </c>
      <c r="L841" s="22"/>
      <c r="M841" s="22"/>
    </row>
    <row r="842" spans="2:13" ht="12.75">
      <c r="B842" s="21">
        <v>45139</v>
      </c>
      <c r="C842" s="16"/>
      <c r="D842" s="25" t="s">
        <v>269</v>
      </c>
      <c r="E842" s="22"/>
      <c r="F842" s="22"/>
      <c r="G842" s="25"/>
      <c r="H842" s="25"/>
      <c r="I842" s="92">
        <v>20000</v>
      </c>
      <c r="J842" s="26">
        <f>SUM($I$4:I842)</f>
        <v>77716756.919999987</v>
      </c>
      <c r="K842" s="44">
        <f t="shared" si="13"/>
        <v>2.5879651720254722E-4</v>
      </c>
      <c r="L842" s="22"/>
      <c r="M842" s="22"/>
    </row>
    <row r="843" spans="2:13" ht="12.75">
      <c r="B843" s="21">
        <v>45139</v>
      </c>
      <c r="C843" s="16"/>
      <c r="D843" s="25" t="s">
        <v>275</v>
      </c>
      <c r="E843" s="22"/>
      <c r="F843" s="22"/>
      <c r="G843" s="25"/>
      <c r="H843" s="25"/>
      <c r="I843" s="92">
        <v>9000</v>
      </c>
      <c r="J843" s="26">
        <f>SUM($I$4:I843)</f>
        <v>77725756.919999987</v>
      </c>
      <c r="K843" s="44">
        <f t="shared" si="13"/>
        <v>1.1645843274114625E-4</v>
      </c>
      <c r="L843" s="22"/>
      <c r="M843" s="22"/>
    </row>
    <row r="844" spans="2:13" ht="12.75">
      <c r="B844" s="21">
        <v>45139</v>
      </c>
      <c r="C844" s="16"/>
      <c r="D844" s="25" t="s">
        <v>271</v>
      </c>
      <c r="E844" s="22"/>
      <c r="F844" s="22"/>
      <c r="G844" s="25"/>
      <c r="H844" s="25"/>
      <c r="I844" s="92">
        <v>152000</v>
      </c>
      <c r="J844" s="26">
        <f>SUM($I$4:I844)</f>
        <v>77877756.919999987</v>
      </c>
      <c r="K844" s="44">
        <f t="shared" si="13"/>
        <v>1.9668535307393589E-3</v>
      </c>
      <c r="L844" s="22"/>
      <c r="M844" s="22"/>
    </row>
    <row r="845" spans="2:13" ht="12.75">
      <c r="B845" s="21">
        <v>45139</v>
      </c>
      <c r="C845" s="16"/>
      <c r="D845" s="25" t="s">
        <v>264</v>
      </c>
      <c r="E845" s="22"/>
      <c r="F845" s="22"/>
      <c r="G845" s="25"/>
      <c r="H845" s="25"/>
      <c r="I845" s="92">
        <v>50</v>
      </c>
      <c r="J845" s="26">
        <f>SUM($I$4:I845)</f>
        <v>77877806.919999987</v>
      </c>
      <c r="K845" s="44">
        <f t="shared" si="13"/>
        <v>6.4699129300636808E-7</v>
      </c>
      <c r="L845" s="22"/>
      <c r="M845" s="22"/>
    </row>
    <row r="846" spans="2:13" ht="12.75">
      <c r="B846" s="21">
        <v>45139</v>
      </c>
      <c r="C846" s="16"/>
      <c r="D846" s="25" t="s">
        <v>264</v>
      </c>
      <c r="E846" s="22"/>
      <c r="F846" s="22"/>
      <c r="G846" s="25"/>
      <c r="H846" s="25"/>
      <c r="I846" s="92">
        <v>3.75</v>
      </c>
      <c r="J846" s="26">
        <f>SUM($I$4:I846)</f>
        <v>77877810.669999987</v>
      </c>
      <c r="K846" s="44">
        <f t="shared" si="13"/>
        <v>4.8524346975477608E-8</v>
      </c>
      <c r="L846" s="22"/>
      <c r="M846" s="22"/>
    </row>
    <row r="847" spans="2:13" ht="12.75">
      <c r="B847" s="21">
        <v>45139</v>
      </c>
      <c r="C847" s="16"/>
      <c r="D847" s="25" t="s">
        <v>271</v>
      </c>
      <c r="E847" s="22"/>
      <c r="F847" s="22"/>
      <c r="G847" s="25"/>
      <c r="H847" s="25"/>
      <c r="I847" s="92">
        <v>30000</v>
      </c>
      <c r="J847" s="26">
        <f>SUM($I$4:I847)</f>
        <v>77907810.669999987</v>
      </c>
      <c r="K847" s="44">
        <f t="shared" si="13"/>
        <v>3.8819477580382083E-4</v>
      </c>
      <c r="L847" s="22"/>
      <c r="M847" s="22"/>
    </row>
    <row r="848" spans="2:13" ht="12.75">
      <c r="B848" s="21">
        <v>45139</v>
      </c>
      <c r="C848" s="16"/>
      <c r="D848" s="25" t="s">
        <v>264</v>
      </c>
      <c r="E848" s="22"/>
      <c r="F848" s="22"/>
      <c r="G848" s="25"/>
      <c r="H848" s="25"/>
      <c r="I848" s="92">
        <v>25</v>
      </c>
      <c r="J848" s="26">
        <f>SUM($I$4:I848)</f>
        <v>77907835.669999987</v>
      </c>
      <c r="K848" s="44">
        <f t="shared" si="13"/>
        <v>3.2349564650318404E-7</v>
      </c>
      <c r="L848" s="22"/>
      <c r="M848" s="22"/>
    </row>
    <row r="849" spans="2:13" ht="12.75">
      <c r="B849" s="21">
        <v>45139</v>
      </c>
      <c r="C849" s="16"/>
      <c r="D849" s="25" t="s">
        <v>264</v>
      </c>
      <c r="E849" s="22"/>
      <c r="F849" s="22"/>
      <c r="G849" s="25"/>
      <c r="H849" s="25"/>
      <c r="I849" s="92">
        <v>1.87</v>
      </c>
      <c r="J849" s="26">
        <f>SUM($I$4:I849)</f>
        <v>77907837.539999992</v>
      </c>
      <c r="K849" s="44">
        <f t="shared" si="13"/>
        <v>2.4197474358438168E-8</v>
      </c>
      <c r="L849" s="22"/>
      <c r="M849" s="22"/>
    </row>
    <row r="850" spans="2:13" ht="12.75">
      <c r="B850" s="21">
        <v>45139</v>
      </c>
      <c r="C850" s="16"/>
      <c r="D850" s="25" t="s">
        <v>271</v>
      </c>
      <c r="E850" s="22"/>
      <c r="F850" s="22"/>
      <c r="G850" s="25"/>
      <c r="H850" s="25"/>
      <c r="I850" s="92">
        <v>114378.23</v>
      </c>
      <c r="J850" s="26">
        <f>SUM($I$4:I850)</f>
        <v>78022215.769999996</v>
      </c>
      <c r="K850" s="44">
        <f t="shared" si="13"/>
        <v>1.4800343783895951E-3</v>
      </c>
      <c r="L850" s="22"/>
      <c r="M850" s="22"/>
    </row>
    <row r="851" spans="2:13" ht="12.75">
      <c r="B851" s="21">
        <v>45139</v>
      </c>
      <c r="C851" s="16"/>
      <c r="D851" s="25" t="s">
        <v>271</v>
      </c>
      <c r="E851" s="22"/>
      <c r="F851" s="22"/>
      <c r="G851" s="25"/>
      <c r="H851" s="25"/>
      <c r="I851" s="92">
        <v>144479.15</v>
      </c>
      <c r="J851" s="26">
        <f>SUM($I$4:I851)</f>
        <v>78166694.920000002</v>
      </c>
      <c r="K851" s="44">
        <f t="shared" si="13"/>
        <v>1.8695350414192199E-3</v>
      </c>
      <c r="L851" s="22"/>
      <c r="M851" s="22"/>
    </row>
    <row r="852" spans="2:13" ht="12.75">
      <c r="B852" s="21">
        <v>45139</v>
      </c>
      <c r="C852" s="16"/>
      <c r="D852" s="25" t="s">
        <v>271</v>
      </c>
      <c r="E852" s="22"/>
      <c r="F852" s="22"/>
      <c r="G852" s="25"/>
      <c r="H852" s="25"/>
      <c r="I852" s="92">
        <v>395860.52</v>
      </c>
      <c r="J852" s="26">
        <f>SUM($I$4:I852)</f>
        <v>78562555.439999998</v>
      </c>
      <c r="K852" s="44">
        <f t="shared" si="13"/>
        <v>5.122366193699465E-3</v>
      </c>
      <c r="L852" s="22"/>
      <c r="M852" s="22"/>
    </row>
    <row r="853" spans="2:13" ht="12.75">
      <c r="B853" s="21">
        <v>45139</v>
      </c>
      <c r="C853" s="16"/>
      <c r="D853" s="25" t="s">
        <v>271</v>
      </c>
      <c r="E853" s="22"/>
      <c r="F853" s="22"/>
      <c r="G853" s="25"/>
      <c r="H853" s="25"/>
      <c r="I853" s="92">
        <v>192119.33</v>
      </c>
      <c r="J853" s="26">
        <f>SUM($I$4:I853)</f>
        <v>78754674.769999996</v>
      </c>
      <c r="K853" s="44">
        <f t="shared" si="13"/>
        <v>2.4859906745643423E-3</v>
      </c>
      <c r="L853" s="22"/>
      <c r="M853" s="22"/>
    </row>
    <row r="854" spans="2:13" ht="12.75">
      <c r="B854" s="21">
        <v>45139</v>
      </c>
      <c r="C854" s="16"/>
      <c r="D854" s="25" t="s">
        <v>271</v>
      </c>
      <c r="E854" s="22"/>
      <c r="F854" s="22"/>
      <c r="G854" s="25"/>
      <c r="H854" s="25"/>
      <c r="I854" s="92">
        <v>114378.23</v>
      </c>
      <c r="J854" s="26">
        <f>SUM($I$4:I854)</f>
        <v>78869053</v>
      </c>
      <c r="K854" s="44">
        <f t="shared" si="13"/>
        <v>1.4800343783895951E-3</v>
      </c>
      <c r="L854" s="22"/>
      <c r="M854" s="22"/>
    </row>
    <row r="855" spans="2:13" ht="12.75">
      <c r="B855" s="21">
        <v>45139</v>
      </c>
      <c r="C855" s="16"/>
      <c r="D855" s="25" t="s">
        <v>264</v>
      </c>
      <c r="E855" s="22"/>
      <c r="F855" s="22"/>
      <c r="G855" s="25"/>
      <c r="H855" s="25"/>
      <c r="I855" s="92">
        <v>50</v>
      </c>
      <c r="J855" s="26">
        <f>SUM($I$4:I855)</f>
        <v>78869103</v>
      </c>
      <c r="K855" s="44">
        <f t="shared" si="13"/>
        <v>6.4699129300636808E-7</v>
      </c>
      <c r="L855" s="22"/>
      <c r="M855" s="22"/>
    </row>
    <row r="856" spans="2:13" ht="12.75">
      <c r="B856" s="21">
        <v>45139</v>
      </c>
      <c r="C856" s="16"/>
      <c r="D856" s="25" t="s">
        <v>264</v>
      </c>
      <c r="E856" s="22"/>
      <c r="F856" s="22"/>
      <c r="G856" s="25"/>
      <c r="H856" s="25"/>
      <c r="I856" s="92">
        <v>3.75</v>
      </c>
      <c r="J856" s="26">
        <f>SUM($I$4:I856)</f>
        <v>78869106.75</v>
      </c>
      <c r="K856" s="44">
        <f t="shared" si="13"/>
        <v>4.8524346975477608E-8</v>
      </c>
      <c r="L856" s="22"/>
      <c r="M856" s="22"/>
    </row>
    <row r="857" spans="2:13" ht="12.75">
      <c r="B857" s="21">
        <v>45139</v>
      </c>
      <c r="C857" s="16"/>
      <c r="D857" s="25" t="s">
        <v>271</v>
      </c>
      <c r="E857" s="22"/>
      <c r="F857" s="22"/>
      <c r="G857" s="25"/>
      <c r="H857" s="25"/>
      <c r="I857" s="92">
        <v>49742.74</v>
      </c>
      <c r="J857" s="26">
        <f>SUM($I$4:I857)</f>
        <v>78918849.489999995</v>
      </c>
      <c r="K857" s="44">
        <f t="shared" si="13"/>
        <v>6.4366239340559166E-4</v>
      </c>
      <c r="L857" s="22"/>
      <c r="M857" s="22"/>
    </row>
    <row r="858" spans="2:13" ht="12.75">
      <c r="B858" s="21">
        <v>45139</v>
      </c>
      <c r="C858" s="16"/>
      <c r="D858" s="25" t="s">
        <v>264</v>
      </c>
      <c r="E858" s="22"/>
      <c r="F858" s="22"/>
      <c r="G858" s="25"/>
      <c r="H858" s="25"/>
      <c r="I858" s="92">
        <v>120</v>
      </c>
      <c r="J858" s="26">
        <f>SUM($I$4:I858)</f>
        <v>78918969.489999995</v>
      </c>
      <c r="K858" s="44">
        <f t="shared" si="13"/>
        <v>1.5527791032152835E-6</v>
      </c>
      <c r="L858" s="22"/>
      <c r="M858" s="22"/>
    </row>
    <row r="859" spans="2:13" ht="12.75">
      <c r="B859" s="21">
        <v>45139</v>
      </c>
      <c r="C859" s="16"/>
      <c r="D859" s="25" t="s">
        <v>264</v>
      </c>
      <c r="E859" s="22"/>
      <c r="F859" s="22"/>
      <c r="G859" s="25"/>
      <c r="H859" s="25"/>
      <c r="I859" s="92">
        <v>9</v>
      </c>
      <c r="J859" s="26">
        <f>SUM($I$4:I859)</f>
        <v>78918978.489999995</v>
      </c>
      <c r="K859" s="44">
        <f t="shared" si="13"/>
        <v>1.1645843274114626E-7</v>
      </c>
      <c r="L859" s="22"/>
      <c r="M859" s="22"/>
    </row>
    <row r="860" spans="2:13" ht="12.75">
      <c r="B860" s="21">
        <v>45139</v>
      </c>
      <c r="C860" s="16"/>
      <c r="D860" s="25" t="s">
        <v>280</v>
      </c>
      <c r="E860" s="22"/>
      <c r="F860" s="22"/>
      <c r="G860" s="25"/>
      <c r="H860" s="25"/>
      <c r="I860" s="92">
        <v>20000</v>
      </c>
      <c r="J860" s="26">
        <f>SUM($I$4:I860)</f>
        <v>78938978.489999995</v>
      </c>
      <c r="K860" s="44">
        <f t="shared" si="13"/>
        <v>2.5879651720254722E-4</v>
      </c>
      <c r="L860" s="22"/>
      <c r="M860" s="22"/>
    </row>
    <row r="861" spans="2:13" ht="12.75">
      <c r="B861" s="21">
        <v>45139</v>
      </c>
      <c r="C861" s="16"/>
      <c r="D861" s="25" t="s">
        <v>280</v>
      </c>
      <c r="E861" s="22"/>
      <c r="F861" s="22"/>
      <c r="G861" s="25"/>
      <c r="H861" s="25"/>
      <c r="I861" s="92">
        <v>20000</v>
      </c>
      <c r="J861" s="26">
        <f>SUM($I$4:I861)</f>
        <v>78958978.489999995</v>
      </c>
      <c r="K861" s="44">
        <f t="shared" si="13"/>
        <v>2.5879651720254722E-4</v>
      </c>
      <c r="L861" s="22"/>
      <c r="M861" s="22"/>
    </row>
    <row r="862" spans="2:13" ht="12.75">
      <c r="B862" s="21">
        <v>45139</v>
      </c>
      <c r="C862" s="16"/>
      <c r="D862" s="25" t="s">
        <v>280</v>
      </c>
      <c r="E862" s="22"/>
      <c r="F862" s="22"/>
      <c r="G862" s="25"/>
      <c r="H862" s="25"/>
      <c r="I862" s="92">
        <v>12400</v>
      </c>
      <c r="J862" s="26">
        <f>SUM($I$4:I862)</f>
        <v>78971378.489999995</v>
      </c>
      <c r="K862" s="44">
        <f t="shared" si="13"/>
        <v>1.6045384066557929E-4</v>
      </c>
      <c r="L862" s="22"/>
      <c r="M862" s="22"/>
    </row>
    <row r="863" spans="2:13" ht="12.75">
      <c r="B863" s="21">
        <v>45139</v>
      </c>
      <c r="C863" s="16"/>
      <c r="D863" s="25" t="s">
        <v>280</v>
      </c>
      <c r="E863" s="22"/>
      <c r="F863" s="22"/>
      <c r="G863" s="25"/>
      <c r="H863" s="25"/>
      <c r="I863" s="92">
        <v>20000</v>
      </c>
      <c r="J863" s="26">
        <f>SUM($I$4:I863)</f>
        <v>78991378.489999995</v>
      </c>
      <c r="K863" s="44">
        <f t="shared" si="13"/>
        <v>2.5879651720254722E-4</v>
      </c>
      <c r="L863" s="22"/>
      <c r="M863" s="22"/>
    </row>
    <row r="864" spans="2:13" ht="12.75">
      <c r="B864" s="21">
        <v>45139</v>
      </c>
      <c r="C864" s="16"/>
      <c r="D864" s="25" t="s">
        <v>280</v>
      </c>
      <c r="E864" s="22"/>
      <c r="F864" s="22"/>
      <c r="G864" s="25"/>
      <c r="H864" s="25"/>
      <c r="I864" s="92">
        <v>20000</v>
      </c>
      <c r="J864" s="26">
        <f>SUM($I$4:I864)</f>
        <v>79011378.489999995</v>
      </c>
      <c r="K864" s="44">
        <f t="shared" si="13"/>
        <v>2.5879651720254722E-4</v>
      </c>
      <c r="L864" s="22"/>
      <c r="M864" s="22"/>
    </row>
    <row r="865" spans="2:13" ht="12.75">
      <c r="B865" s="21">
        <v>45139</v>
      </c>
      <c r="C865" s="16"/>
      <c r="D865" s="25" t="s">
        <v>280</v>
      </c>
      <c r="E865" s="22"/>
      <c r="F865" s="22"/>
      <c r="G865" s="25"/>
      <c r="H865" s="25"/>
      <c r="I865" s="92">
        <v>20000</v>
      </c>
      <c r="J865" s="26">
        <f>SUM($I$4:I865)</f>
        <v>79031378.489999995</v>
      </c>
      <c r="K865" s="44">
        <f t="shared" si="13"/>
        <v>2.5879651720254722E-4</v>
      </c>
      <c r="L865" s="22"/>
      <c r="M865" s="22"/>
    </row>
    <row r="866" spans="2:13" ht="12.75">
      <c r="B866" s="21">
        <v>45139</v>
      </c>
      <c r="C866" s="16"/>
      <c r="D866" s="25" t="s">
        <v>280</v>
      </c>
      <c r="E866" s="22"/>
      <c r="F866" s="22"/>
      <c r="G866" s="25"/>
      <c r="H866" s="25"/>
      <c r="I866" s="92">
        <v>20000</v>
      </c>
      <c r="J866" s="26">
        <f>SUM($I$4:I866)</f>
        <v>79051378.489999995</v>
      </c>
      <c r="K866" s="44">
        <f t="shared" si="13"/>
        <v>2.5879651720254722E-4</v>
      </c>
      <c r="L866" s="22"/>
      <c r="M866" s="22"/>
    </row>
    <row r="867" spans="2:13" ht="12.75">
      <c r="B867" s="21">
        <v>45139</v>
      </c>
      <c r="C867" s="16"/>
      <c r="D867" s="25" t="s">
        <v>264</v>
      </c>
      <c r="E867" s="22"/>
      <c r="F867" s="22"/>
      <c r="G867" s="25"/>
      <c r="H867" s="25"/>
      <c r="I867" s="92">
        <v>105</v>
      </c>
      <c r="J867" s="26">
        <f>SUM($I$4:I867)</f>
        <v>79051483.489999995</v>
      </c>
      <c r="K867" s="44">
        <f t="shared" si="13"/>
        <v>1.358681715313373E-6</v>
      </c>
      <c r="L867" s="22"/>
      <c r="M867" s="22"/>
    </row>
    <row r="868" spans="2:13" ht="12.75">
      <c r="B868" s="21">
        <v>45139</v>
      </c>
      <c r="C868" s="16"/>
      <c r="D868" s="25" t="s">
        <v>264</v>
      </c>
      <c r="E868" s="22"/>
      <c r="F868" s="22"/>
      <c r="G868" s="25"/>
      <c r="H868" s="25"/>
      <c r="I868" s="92">
        <v>7.88</v>
      </c>
      <c r="J868" s="26">
        <f>SUM($I$4:I868)</f>
        <v>79051491.36999999</v>
      </c>
      <c r="K868" s="44">
        <f t="shared" si="13"/>
        <v>1.019658277778036E-7</v>
      </c>
      <c r="L868" s="22"/>
      <c r="M868" s="22"/>
    </row>
    <row r="869" spans="2:13" ht="12.75">
      <c r="B869" s="21">
        <v>45139</v>
      </c>
      <c r="C869" s="16"/>
      <c r="D869" s="25" t="s">
        <v>280</v>
      </c>
      <c r="E869" s="22"/>
      <c r="F869" s="22"/>
      <c r="G869" s="25"/>
      <c r="H869" s="25"/>
      <c r="I869" s="92">
        <v>20000</v>
      </c>
      <c r="J869" s="26">
        <f>SUM($I$4:I869)</f>
        <v>79071491.36999999</v>
      </c>
      <c r="K869" s="44">
        <f t="shared" si="13"/>
        <v>2.5879651720254722E-4</v>
      </c>
      <c r="L869" s="22"/>
      <c r="M869" s="22"/>
    </row>
    <row r="870" spans="2:13" ht="12.75">
      <c r="B870" s="21">
        <v>45139</v>
      </c>
      <c r="C870" s="16"/>
      <c r="D870" s="25" t="s">
        <v>264</v>
      </c>
      <c r="E870" s="22"/>
      <c r="F870" s="22"/>
      <c r="G870" s="25"/>
      <c r="H870" s="25"/>
      <c r="I870" s="92">
        <v>25</v>
      </c>
      <c r="J870" s="26">
        <f>SUM($I$4:I870)</f>
        <v>79071516.36999999</v>
      </c>
      <c r="K870" s="44">
        <f t="shared" si="13"/>
        <v>3.2349564650318404E-7</v>
      </c>
      <c r="L870" s="22"/>
      <c r="M870" s="22"/>
    </row>
    <row r="871" spans="2:13" ht="12.75">
      <c r="B871" s="21">
        <v>45139</v>
      </c>
      <c r="C871" s="16"/>
      <c r="D871" s="25" t="s">
        <v>264</v>
      </c>
      <c r="E871" s="22"/>
      <c r="F871" s="22"/>
      <c r="G871" s="25"/>
      <c r="H871" s="25"/>
      <c r="I871" s="92">
        <v>1.87</v>
      </c>
      <c r="J871" s="26">
        <f>SUM($I$4:I871)</f>
        <v>79071518.239999995</v>
      </c>
      <c r="K871" s="44">
        <f t="shared" si="13"/>
        <v>2.4197474358438168E-8</v>
      </c>
      <c r="L871" s="22"/>
      <c r="M871" s="22"/>
    </row>
    <row r="872" spans="2:13" ht="12.75">
      <c r="B872" s="21">
        <v>45139</v>
      </c>
      <c r="C872" s="16"/>
      <c r="D872" s="25" t="s">
        <v>280</v>
      </c>
      <c r="E872" s="22"/>
      <c r="F872" s="22"/>
      <c r="G872" s="25"/>
      <c r="H872" s="25"/>
      <c r="I872" s="92">
        <v>20000</v>
      </c>
      <c r="J872" s="26">
        <f>SUM($I$4:I872)</f>
        <v>79091518.239999995</v>
      </c>
      <c r="K872" s="44">
        <f t="shared" si="13"/>
        <v>2.5879651720254722E-4</v>
      </c>
      <c r="L872" s="22"/>
      <c r="M872" s="22"/>
    </row>
    <row r="873" spans="2:13" ht="12.75">
      <c r="B873" s="21">
        <v>45139</v>
      </c>
      <c r="C873" s="16"/>
      <c r="D873" s="25" t="s">
        <v>264</v>
      </c>
      <c r="E873" s="22"/>
      <c r="F873" s="22"/>
      <c r="G873" s="25"/>
      <c r="H873" s="25"/>
      <c r="I873" s="92">
        <v>25</v>
      </c>
      <c r="J873" s="26">
        <f>SUM($I$4:I873)</f>
        <v>79091543.239999995</v>
      </c>
      <c r="K873" s="44">
        <f t="shared" si="13"/>
        <v>3.2349564650318404E-7</v>
      </c>
      <c r="L873" s="22"/>
      <c r="M873" s="22"/>
    </row>
    <row r="874" spans="2:13" ht="12.75">
      <c r="B874" s="21">
        <v>45139</v>
      </c>
      <c r="C874" s="16"/>
      <c r="D874" s="25" t="s">
        <v>264</v>
      </c>
      <c r="E874" s="22"/>
      <c r="F874" s="22"/>
      <c r="G874" s="25"/>
      <c r="H874" s="25"/>
      <c r="I874" s="92">
        <v>1.87</v>
      </c>
      <c r="J874" s="26">
        <f>SUM($I$4:I874)</f>
        <v>79091545.109999999</v>
      </c>
      <c r="K874" s="44">
        <f t="shared" si="13"/>
        <v>2.4197474358438168E-8</v>
      </c>
      <c r="L874" s="22"/>
      <c r="M874" s="22"/>
    </row>
    <row r="875" spans="2:13" ht="12.75">
      <c r="B875" s="21">
        <v>45139</v>
      </c>
      <c r="C875" s="16"/>
      <c r="D875" s="25" t="s">
        <v>280</v>
      </c>
      <c r="E875" s="22"/>
      <c r="F875" s="22"/>
      <c r="G875" s="25"/>
      <c r="H875" s="25"/>
      <c r="I875" s="92">
        <v>12400</v>
      </c>
      <c r="J875" s="26">
        <f>SUM($I$4:I875)</f>
        <v>79103945.109999999</v>
      </c>
      <c r="K875" s="44">
        <f t="shared" si="13"/>
        <v>1.6045384066557929E-4</v>
      </c>
      <c r="L875" s="22"/>
      <c r="M875" s="22"/>
    </row>
    <row r="876" spans="2:13" ht="12.75">
      <c r="B876" s="21">
        <v>45139</v>
      </c>
      <c r="C876" s="16"/>
      <c r="D876" s="25" t="s">
        <v>264</v>
      </c>
      <c r="E876" s="22"/>
      <c r="F876" s="22"/>
      <c r="G876" s="25"/>
      <c r="H876" s="25"/>
      <c r="I876" s="92">
        <v>25</v>
      </c>
      <c r="J876" s="26">
        <f>SUM($I$4:I876)</f>
        <v>79103970.109999999</v>
      </c>
      <c r="K876" s="44">
        <f t="shared" si="13"/>
        <v>3.2349564650318404E-7</v>
      </c>
      <c r="L876" s="22"/>
      <c r="M876" s="22"/>
    </row>
    <row r="877" spans="2:13" ht="12.75">
      <c r="B877" s="21">
        <v>45139</v>
      </c>
      <c r="C877" s="16"/>
      <c r="D877" s="25" t="s">
        <v>264</v>
      </c>
      <c r="E877" s="22"/>
      <c r="F877" s="22"/>
      <c r="G877" s="25"/>
      <c r="H877" s="25"/>
      <c r="I877" s="92">
        <v>1.87</v>
      </c>
      <c r="J877" s="26">
        <f>SUM($I$4:I877)</f>
        <v>79103971.980000004</v>
      </c>
      <c r="K877" s="44">
        <f t="shared" si="13"/>
        <v>2.4197474358438168E-8</v>
      </c>
      <c r="L877" s="22"/>
      <c r="M877" s="22"/>
    </row>
    <row r="878" spans="2:13" ht="12.75">
      <c r="B878" s="21">
        <v>45139</v>
      </c>
      <c r="C878" s="16"/>
      <c r="D878" s="25" t="s">
        <v>264</v>
      </c>
      <c r="E878" s="22"/>
      <c r="F878" s="22"/>
      <c r="G878" s="25"/>
      <c r="H878" s="25"/>
      <c r="I878" s="92">
        <v>15</v>
      </c>
      <c r="J878" s="26">
        <f>SUM($I$4:I878)</f>
        <v>79103986.980000004</v>
      </c>
      <c r="K878" s="44">
        <f t="shared" si="13"/>
        <v>1.9409738790191043E-7</v>
      </c>
      <c r="L878" s="22"/>
      <c r="M878" s="22"/>
    </row>
    <row r="879" spans="2:13" ht="12.75">
      <c r="B879" s="21">
        <v>45139</v>
      </c>
      <c r="C879" s="16"/>
      <c r="D879" s="25" t="s">
        <v>264</v>
      </c>
      <c r="E879" s="22"/>
      <c r="F879" s="22"/>
      <c r="G879" s="25"/>
      <c r="H879" s="25"/>
      <c r="I879" s="92">
        <v>1.1299999999999999</v>
      </c>
      <c r="J879" s="26">
        <f>SUM($I$4:I879)</f>
        <v>79103988.109999999</v>
      </c>
      <c r="K879" s="44">
        <f t="shared" si="13"/>
        <v>1.4622003221943917E-8</v>
      </c>
      <c r="L879" s="22"/>
      <c r="M879" s="22"/>
    </row>
    <row r="880" spans="2:13" ht="12.75">
      <c r="B880" s="21">
        <v>45139</v>
      </c>
      <c r="C880" s="16"/>
      <c r="D880" s="25" t="s">
        <v>271</v>
      </c>
      <c r="E880" s="22"/>
      <c r="F880" s="22"/>
      <c r="G880" s="25"/>
      <c r="H880" s="25"/>
      <c r="I880" s="92">
        <v>60000</v>
      </c>
      <c r="J880" s="26">
        <f>SUM($I$4:I880)</f>
        <v>79163988.109999999</v>
      </c>
      <c r="K880" s="44">
        <f t="shared" si="13"/>
        <v>7.7638955160764167E-4</v>
      </c>
      <c r="L880" s="22"/>
      <c r="M880" s="22"/>
    </row>
    <row r="881" spans="2:13" ht="12.75">
      <c r="B881" s="21">
        <v>45139</v>
      </c>
      <c r="C881" s="16"/>
      <c r="D881" s="25" t="s">
        <v>264</v>
      </c>
      <c r="E881" s="22"/>
      <c r="F881" s="22"/>
      <c r="G881" s="25"/>
      <c r="H881" s="25"/>
      <c r="I881" s="92">
        <v>50</v>
      </c>
      <c r="J881" s="26">
        <f>SUM($I$4:I881)</f>
        <v>79164038.109999999</v>
      </c>
      <c r="K881" s="44">
        <f t="shared" si="13"/>
        <v>6.4699129300636808E-7</v>
      </c>
      <c r="L881" s="22"/>
      <c r="M881" s="22"/>
    </row>
    <row r="882" spans="2:13" ht="12.75">
      <c r="B882" s="21">
        <v>45139</v>
      </c>
      <c r="C882" s="16"/>
      <c r="D882" s="25" t="s">
        <v>264</v>
      </c>
      <c r="E882" s="22"/>
      <c r="F882" s="22"/>
      <c r="G882" s="25"/>
      <c r="H882" s="25"/>
      <c r="I882" s="92">
        <v>3.75</v>
      </c>
      <c r="J882" s="26">
        <f>SUM($I$4:I882)</f>
        <v>79164041.859999999</v>
      </c>
      <c r="K882" s="44">
        <f t="shared" si="13"/>
        <v>4.8524346975477608E-8</v>
      </c>
      <c r="L882" s="22"/>
      <c r="M882" s="22"/>
    </row>
    <row r="883" spans="2:13" ht="12.75">
      <c r="B883" s="21">
        <v>45146</v>
      </c>
      <c r="C883" s="16"/>
      <c r="D883" s="25" t="s">
        <v>286</v>
      </c>
      <c r="E883" s="22"/>
      <c r="F883" s="22"/>
      <c r="G883" s="25"/>
      <c r="H883" s="25"/>
      <c r="I883" s="92">
        <v>45500</v>
      </c>
      <c r="J883" s="26">
        <f>SUM($I$4:I883)</f>
        <v>79209541.859999999</v>
      </c>
      <c r="K883" s="44">
        <f t="shared" si="13"/>
        <v>5.8876207663579498E-4</v>
      </c>
      <c r="L883" s="22"/>
      <c r="M883" s="22"/>
    </row>
    <row r="884" spans="2:13" ht="12.75">
      <c r="B884" s="21">
        <v>45146</v>
      </c>
      <c r="C884" s="16"/>
      <c r="D884" s="25" t="s">
        <v>264</v>
      </c>
      <c r="E884" s="22"/>
      <c r="F884" s="22"/>
      <c r="G884" s="25"/>
      <c r="H884" s="25"/>
      <c r="I884" s="92">
        <v>25</v>
      </c>
      <c r="J884" s="26">
        <f>SUM($I$4:I884)</f>
        <v>79209566.859999999</v>
      </c>
      <c r="K884" s="44">
        <f t="shared" si="13"/>
        <v>3.2349564650318404E-7</v>
      </c>
      <c r="L884" s="22"/>
      <c r="M884" s="22"/>
    </row>
    <row r="885" spans="2:13" ht="12.75">
      <c r="B885" s="21">
        <v>45146</v>
      </c>
      <c r="C885" s="16"/>
      <c r="D885" s="25" t="s">
        <v>264</v>
      </c>
      <c r="E885" s="22"/>
      <c r="F885" s="22"/>
      <c r="G885" s="25"/>
      <c r="H885" s="25"/>
      <c r="I885" s="92">
        <v>1.87</v>
      </c>
      <c r="J885" s="26">
        <f>SUM($I$4:I885)</f>
        <v>79209568.730000004</v>
      </c>
      <c r="K885" s="44">
        <f t="shared" si="13"/>
        <v>2.4197474358438168E-8</v>
      </c>
      <c r="L885" s="22"/>
      <c r="M885" s="22"/>
    </row>
    <row r="886" spans="2:13" ht="12.75">
      <c r="B886" s="21">
        <v>45146</v>
      </c>
      <c r="C886" s="16"/>
      <c r="D886" s="25" t="s">
        <v>295</v>
      </c>
      <c r="E886" s="22"/>
      <c r="F886" s="22"/>
      <c r="G886" s="25"/>
      <c r="H886" s="25"/>
      <c r="I886" s="92">
        <v>87650</v>
      </c>
      <c r="J886" s="26">
        <f>SUM($I$4:I886)</f>
        <v>79297218.730000004</v>
      </c>
      <c r="K886" s="44">
        <f t="shared" si="13"/>
        <v>1.1341757366401632E-3</v>
      </c>
      <c r="L886" s="22"/>
      <c r="M886" s="22"/>
    </row>
    <row r="887" spans="2:13" ht="12.75">
      <c r="B887" s="21">
        <v>45146</v>
      </c>
      <c r="C887" s="16"/>
      <c r="D887" s="25" t="s">
        <v>264</v>
      </c>
      <c r="E887" s="22"/>
      <c r="F887" s="22"/>
      <c r="G887" s="25"/>
      <c r="H887" s="25"/>
      <c r="I887" s="92">
        <v>50</v>
      </c>
      <c r="J887" s="26">
        <f>SUM($I$4:I887)</f>
        <v>79297268.730000004</v>
      </c>
      <c r="K887" s="44">
        <f t="shared" si="13"/>
        <v>6.4699129300636808E-7</v>
      </c>
      <c r="L887" s="22"/>
      <c r="M887" s="22"/>
    </row>
    <row r="888" spans="2:13" ht="12.75">
      <c r="B888" s="21">
        <v>45146</v>
      </c>
      <c r="C888" s="16"/>
      <c r="D888" s="25" t="s">
        <v>264</v>
      </c>
      <c r="E888" s="22"/>
      <c r="F888" s="22"/>
      <c r="G888" s="25"/>
      <c r="H888" s="25"/>
      <c r="I888" s="92">
        <v>3.75</v>
      </c>
      <c r="J888" s="26">
        <f>SUM($I$4:I888)</f>
        <v>79297272.480000004</v>
      </c>
      <c r="K888" s="44">
        <f t="shared" si="13"/>
        <v>4.8524346975477608E-8</v>
      </c>
      <c r="L888" s="22"/>
      <c r="M888" s="22"/>
    </row>
    <row r="889" spans="2:13" ht="12.75">
      <c r="B889" s="21">
        <v>45146</v>
      </c>
      <c r="C889" s="16"/>
      <c r="D889" s="25" t="s">
        <v>272</v>
      </c>
      <c r="E889" s="22"/>
      <c r="F889" s="22"/>
      <c r="G889" s="25"/>
      <c r="H889" s="25"/>
      <c r="I889" s="92">
        <v>1284865.75</v>
      </c>
      <c r="J889" s="26">
        <f>SUM($I$4:I889)</f>
        <v>80582138.230000004</v>
      </c>
      <c r="K889" s="44">
        <f t="shared" si="13"/>
        <v>1.6625939058641938E-2</v>
      </c>
      <c r="L889" s="22"/>
      <c r="M889" s="22"/>
    </row>
    <row r="890" spans="2:13" ht="12.75">
      <c r="B890" s="21">
        <v>45146</v>
      </c>
      <c r="C890" s="16"/>
      <c r="D890" s="25" t="s">
        <v>264</v>
      </c>
      <c r="E890" s="22"/>
      <c r="F890" s="22"/>
      <c r="G890" s="25"/>
      <c r="H890" s="25"/>
      <c r="I890" s="92">
        <v>100</v>
      </c>
      <c r="J890" s="26">
        <f>SUM($I$4:I890)</f>
        <v>80582238.230000004</v>
      </c>
      <c r="K890" s="44">
        <f t="shared" si="13"/>
        <v>1.2939825860127362E-6</v>
      </c>
      <c r="L890" s="22"/>
      <c r="M890" s="22"/>
    </row>
    <row r="891" spans="2:13" ht="12.75">
      <c r="B891" s="21">
        <v>45146</v>
      </c>
      <c r="C891" s="16"/>
      <c r="D891" s="25" t="s">
        <v>284</v>
      </c>
      <c r="E891" s="22"/>
      <c r="F891" s="22"/>
      <c r="G891" s="25"/>
      <c r="H891" s="25"/>
      <c r="I891" s="92">
        <v>5000</v>
      </c>
      <c r="J891" s="26">
        <f>SUM($I$4:I891)</f>
        <v>80587238.230000004</v>
      </c>
      <c r="K891" s="44">
        <f t="shared" si="13"/>
        <v>6.4699129300636806E-5</v>
      </c>
      <c r="L891" s="22"/>
      <c r="M891" s="22"/>
    </row>
    <row r="892" spans="2:13" ht="12.75">
      <c r="B892" s="21">
        <v>45146</v>
      </c>
      <c r="C892" s="16"/>
      <c r="D892" s="25" t="s">
        <v>264</v>
      </c>
      <c r="E892" s="22"/>
      <c r="F892" s="22"/>
      <c r="G892" s="25"/>
      <c r="H892" s="25"/>
      <c r="I892" s="92">
        <v>10</v>
      </c>
      <c r="J892" s="26">
        <f>SUM($I$4:I892)</f>
        <v>80587248.230000004</v>
      </c>
      <c r="K892" s="44">
        <f t="shared" si="13"/>
        <v>1.293982586012736E-7</v>
      </c>
      <c r="L892" s="22"/>
      <c r="M892" s="22"/>
    </row>
    <row r="893" spans="2:13" ht="12.75">
      <c r="B893" s="21">
        <v>45146</v>
      </c>
      <c r="C893" s="16"/>
      <c r="D893" s="25" t="s">
        <v>264</v>
      </c>
      <c r="E893" s="22"/>
      <c r="F893" s="22"/>
      <c r="G893" s="25"/>
      <c r="H893" s="25"/>
      <c r="I893" s="92">
        <v>0.75</v>
      </c>
      <c r="J893" s="26">
        <f>SUM($I$4:I893)</f>
        <v>80587248.980000004</v>
      </c>
      <c r="K893" s="44">
        <f t="shared" si="13"/>
        <v>9.7048693950955217E-9</v>
      </c>
      <c r="L893" s="22"/>
      <c r="M893" s="22"/>
    </row>
    <row r="894" spans="2:13" ht="12.75">
      <c r="B894" s="21">
        <v>45146</v>
      </c>
      <c r="C894" s="16"/>
      <c r="D894" s="25" t="s">
        <v>318</v>
      </c>
      <c r="E894" s="22"/>
      <c r="F894" s="22"/>
      <c r="G894" s="25"/>
      <c r="H894" s="25"/>
      <c r="I894" s="92">
        <v>11900</v>
      </c>
      <c r="J894" s="26">
        <f>SUM($I$4:I894)</f>
        <v>80599148.980000004</v>
      </c>
      <c r="K894" s="44">
        <f t="shared" si="13"/>
        <v>1.5398392773551561E-4</v>
      </c>
      <c r="L894" s="22"/>
      <c r="M894" s="22"/>
    </row>
    <row r="895" spans="2:13" ht="12.75">
      <c r="B895" s="21">
        <v>45146</v>
      </c>
      <c r="C895" s="16"/>
      <c r="D895" s="25" t="s">
        <v>264</v>
      </c>
      <c r="E895" s="22"/>
      <c r="F895" s="22"/>
      <c r="G895" s="25"/>
      <c r="H895" s="25"/>
      <c r="I895" s="92">
        <v>25</v>
      </c>
      <c r="J895" s="26">
        <f>SUM($I$4:I895)</f>
        <v>80599173.980000004</v>
      </c>
      <c r="K895" s="44">
        <f t="shared" si="13"/>
        <v>3.2349564650318404E-7</v>
      </c>
      <c r="L895" s="22"/>
      <c r="M895" s="22"/>
    </row>
    <row r="896" spans="2:13" ht="12.75">
      <c r="B896" s="21">
        <v>45146</v>
      </c>
      <c r="C896" s="16"/>
      <c r="D896" s="25" t="s">
        <v>264</v>
      </c>
      <c r="E896" s="22"/>
      <c r="F896" s="22"/>
      <c r="G896" s="25"/>
      <c r="H896" s="25"/>
      <c r="I896" s="92">
        <v>1.87</v>
      </c>
      <c r="J896" s="26">
        <f>SUM($I$4:I896)</f>
        <v>80599175.850000009</v>
      </c>
      <c r="K896" s="44">
        <f t="shared" si="13"/>
        <v>2.4197474358438168E-8</v>
      </c>
      <c r="L896" s="22"/>
      <c r="M896" s="22"/>
    </row>
    <row r="897" spans="2:13" ht="12.75">
      <c r="B897" s="21">
        <v>45146</v>
      </c>
      <c r="C897" s="16"/>
      <c r="D897" s="25" t="s">
        <v>280</v>
      </c>
      <c r="E897" s="22"/>
      <c r="F897" s="22"/>
      <c r="G897" s="25"/>
      <c r="H897" s="25"/>
      <c r="I897" s="92">
        <v>45000</v>
      </c>
      <c r="J897" s="26">
        <f>SUM($I$4:I897)</f>
        <v>80644175.850000009</v>
      </c>
      <c r="K897" s="44">
        <f t="shared" si="13"/>
        <v>5.8229216370573125E-4</v>
      </c>
      <c r="L897" s="22"/>
      <c r="M897" s="22"/>
    </row>
    <row r="898" spans="2:13" ht="12.75">
      <c r="B898" s="21">
        <v>45146</v>
      </c>
      <c r="C898" s="16"/>
      <c r="D898" s="25" t="s">
        <v>264</v>
      </c>
      <c r="E898" s="22"/>
      <c r="F898" s="22"/>
      <c r="G898" s="25"/>
      <c r="H898" s="25"/>
      <c r="I898" s="92">
        <v>45</v>
      </c>
      <c r="J898" s="26">
        <f>SUM($I$4:I898)</f>
        <v>80644220.850000009</v>
      </c>
      <c r="K898" s="44">
        <f t="shared" si="13"/>
        <v>5.822921637057313E-7</v>
      </c>
      <c r="L898" s="22"/>
      <c r="M898" s="22"/>
    </row>
    <row r="899" spans="2:13" ht="12.75">
      <c r="B899" s="21">
        <v>45146</v>
      </c>
      <c r="C899" s="16"/>
      <c r="D899" s="25" t="s">
        <v>264</v>
      </c>
      <c r="E899" s="22"/>
      <c r="F899" s="22"/>
      <c r="G899" s="25"/>
      <c r="H899" s="25"/>
      <c r="I899" s="92">
        <v>3.38</v>
      </c>
      <c r="J899" s="26">
        <f>SUM($I$4:I899)</f>
        <v>80644224.230000004</v>
      </c>
      <c r="K899" s="44">
        <f t="shared" si="13"/>
        <v>4.373661140723048E-8</v>
      </c>
      <c r="L899" s="22"/>
      <c r="M899" s="22"/>
    </row>
    <row r="900" spans="2:13" ht="12.75">
      <c r="B900" s="21">
        <v>45146</v>
      </c>
      <c r="C900" s="16"/>
      <c r="D900" s="25" t="s">
        <v>264</v>
      </c>
      <c r="E900" s="22"/>
      <c r="F900" s="22"/>
      <c r="G900" s="25"/>
      <c r="H900" s="25"/>
      <c r="I900" s="92">
        <v>100</v>
      </c>
      <c r="J900" s="26">
        <f>SUM($I$4:I900)</f>
        <v>80644324.230000004</v>
      </c>
      <c r="K900" s="44">
        <f t="shared" si="13"/>
        <v>1.2939825860127362E-6</v>
      </c>
      <c r="L900" s="22"/>
      <c r="M900" s="22"/>
    </row>
    <row r="901" spans="2:13" ht="12.75">
      <c r="B901" s="21">
        <v>45146</v>
      </c>
      <c r="C901" s="16"/>
      <c r="D901" s="25" t="s">
        <v>312</v>
      </c>
      <c r="E901" s="22"/>
      <c r="F901" s="22"/>
      <c r="G901" s="25"/>
      <c r="H901" s="25"/>
      <c r="I901" s="92">
        <v>91578.26</v>
      </c>
      <c r="J901" s="26">
        <f>SUM($I$4:I901)</f>
        <v>80735902.49000001</v>
      </c>
      <c r="K901" s="44">
        <f t="shared" ref="K901:K964" si="14">IF(SUM($I$4:$I$830)=0,"",I901/SUM($I$4:$I$830))</f>
        <v>1.185006736973467E-3</v>
      </c>
      <c r="L901" s="22"/>
      <c r="M901" s="22"/>
    </row>
    <row r="902" spans="2:13" ht="12.75">
      <c r="B902" s="21">
        <v>45146</v>
      </c>
      <c r="C902" s="16"/>
      <c r="D902" s="25" t="s">
        <v>264</v>
      </c>
      <c r="E902" s="22"/>
      <c r="F902" s="22"/>
      <c r="G902" s="25"/>
      <c r="H902" s="25"/>
      <c r="I902" s="92">
        <v>150</v>
      </c>
      <c r="J902" s="26">
        <f>SUM($I$4:I902)</f>
        <v>80736052.49000001</v>
      </c>
      <c r="K902" s="44">
        <f t="shared" si="14"/>
        <v>1.9409738790191043E-6</v>
      </c>
      <c r="L902" s="22"/>
      <c r="M902" s="22"/>
    </row>
    <row r="903" spans="2:13" ht="12.75">
      <c r="B903" s="21">
        <v>45152</v>
      </c>
      <c r="C903" s="16"/>
      <c r="D903" s="25" t="s">
        <v>284</v>
      </c>
      <c r="E903" s="22"/>
      <c r="F903" s="22"/>
      <c r="G903" s="25"/>
      <c r="H903" s="25"/>
      <c r="I903" s="92">
        <v>2000</v>
      </c>
      <c r="J903" s="26">
        <f>SUM($I$4:I903)</f>
        <v>80738052.49000001</v>
      </c>
      <c r="K903" s="44">
        <f t="shared" si="14"/>
        <v>2.5879651720254722E-5</v>
      </c>
      <c r="L903" s="22"/>
      <c r="M903" s="22"/>
    </row>
    <row r="904" spans="2:13" ht="12.75">
      <c r="B904" s="21">
        <v>45152</v>
      </c>
      <c r="C904" s="16"/>
      <c r="D904" s="25" t="s">
        <v>264</v>
      </c>
      <c r="E904" s="22"/>
      <c r="F904" s="22"/>
      <c r="G904" s="25"/>
      <c r="H904" s="25"/>
      <c r="I904" s="92">
        <v>10</v>
      </c>
      <c r="J904" s="26">
        <f>SUM($I$4:I904)</f>
        <v>80738062.49000001</v>
      </c>
      <c r="K904" s="44">
        <f t="shared" si="14"/>
        <v>1.293982586012736E-7</v>
      </c>
      <c r="L904" s="22"/>
      <c r="M904" s="22"/>
    </row>
    <row r="905" spans="2:13" ht="12.75">
      <c r="B905" s="21">
        <v>45152</v>
      </c>
      <c r="C905" s="16"/>
      <c r="D905" s="25" t="s">
        <v>264</v>
      </c>
      <c r="E905" s="22"/>
      <c r="F905" s="22"/>
      <c r="G905" s="25"/>
      <c r="H905" s="25"/>
      <c r="I905" s="92">
        <v>0.75</v>
      </c>
      <c r="J905" s="26">
        <f>SUM($I$4:I905)</f>
        <v>80738063.24000001</v>
      </c>
      <c r="K905" s="44">
        <f t="shared" si="14"/>
        <v>9.7048693950955217E-9</v>
      </c>
      <c r="L905" s="22"/>
      <c r="M905" s="22"/>
    </row>
    <row r="906" spans="2:13" ht="12.75">
      <c r="B906" s="21">
        <v>45152</v>
      </c>
      <c r="C906" s="16"/>
      <c r="D906" s="25" t="s">
        <v>285</v>
      </c>
      <c r="E906" s="22"/>
      <c r="F906" s="22"/>
      <c r="G906" s="25"/>
      <c r="H906" s="25"/>
      <c r="I906" s="92">
        <v>90000</v>
      </c>
      <c r="J906" s="26">
        <f>SUM($I$4:I906)</f>
        <v>80828063.24000001</v>
      </c>
      <c r="K906" s="44">
        <f t="shared" si="14"/>
        <v>1.1645843274114625E-3</v>
      </c>
      <c r="L906" s="22"/>
      <c r="M906" s="22"/>
    </row>
    <row r="907" spans="2:13" ht="12.75">
      <c r="B907" s="21">
        <v>45152</v>
      </c>
      <c r="C907" s="16"/>
      <c r="D907" s="25" t="s">
        <v>264</v>
      </c>
      <c r="E907" s="22"/>
      <c r="F907" s="22"/>
      <c r="G907" s="25"/>
      <c r="H907" s="25"/>
      <c r="I907" s="92">
        <v>50</v>
      </c>
      <c r="J907" s="26">
        <f>SUM($I$4:I907)</f>
        <v>80828113.24000001</v>
      </c>
      <c r="K907" s="44">
        <f t="shared" si="14"/>
        <v>6.4699129300636808E-7</v>
      </c>
      <c r="L907" s="22"/>
      <c r="M907" s="22"/>
    </row>
    <row r="908" spans="2:13" ht="12.75">
      <c r="B908" s="21">
        <v>45152</v>
      </c>
      <c r="C908" s="16"/>
      <c r="D908" s="25" t="s">
        <v>264</v>
      </c>
      <c r="E908" s="22"/>
      <c r="F908" s="22"/>
      <c r="G908" s="25"/>
      <c r="H908" s="25"/>
      <c r="I908" s="92">
        <v>3.75</v>
      </c>
      <c r="J908" s="26">
        <f>SUM($I$4:I908)</f>
        <v>80828116.99000001</v>
      </c>
      <c r="K908" s="44">
        <f t="shared" si="14"/>
        <v>4.8524346975477608E-8</v>
      </c>
      <c r="L908" s="22"/>
      <c r="M908" s="22"/>
    </row>
    <row r="909" spans="2:13" ht="12.75">
      <c r="B909" s="21">
        <v>45152</v>
      </c>
      <c r="C909" s="16"/>
      <c r="D909" s="25" t="s">
        <v>283</v>
      </c>
      <c r="E909" s="22"/>
      <c r="F909" s="22"/>
      <c r="G909" s="25"/>
      <c r="H909" s="25"/>
      <c r="I909" s="92">
        <v>8000</v>
      </c>
      <c r="J909" s="26">
        <f>SUM($I$4:I909)</f>
        <v>80836116.99000001</v>
      </c>
      <c r="K909" s="44">
        <f t="shared" si="14"/>
        <v>1.0351860688101889E-4</v>
      </c>
      <c r="L909" s="22"/>
      <c r="M909" s="22"/>
    </row>
    <row r="910" spans="2:13" ht="12.75">
      <c r="B910" s="21">
        <v>45152</v>
      </c>
      <c r="C910" s="16"/>
      <c r="D910" s="25" t="s">
        <v>295</v>
      </c>
      <c r="E910" s="22"/>
      <c r="F910" s="22"/>
      <c r="G910" s="25"/>
      <c r="H910" s="25"/>
      <c r="I910" s="92">
        <v>4000</v>
      </c>
      <c r="J910" s="26">
        <f>SUM($I$4:I910)</f>
        <v>80840116.99000001</v>
      </c>
      <c r="K910" s="44">
        <f t="shared" si="14"/>
        <v>5.1759303440509444E-5</v>
      </c>
      <c r="L910" s="22"/>
      <c r="M910" s="22"/>
    </row>
    <row r="911" spans="2:13" ht="12.75">
      <c r="B911" s="21">
        <v>45152</v>
      </c>
      <c r="C911" s="16"/>
      <c r="D911" s="25" t="s">
        <v>264</v>
      </c>
      <c r="E911" s="22"/>
      <c r="F911" s="22"/>
      <c r="G911" s="25"/>
      <c r="H911" s="25"/>
      <c r="I911" s="92">
        <v>100</v>
      </c>
      <c r="J911" s="26">
        <f>SUM($I$4:I911)</f>
        <v>80840216.99000001</v>
      </c>
      <c r="K911" s="44">
        <f t="shared" si="14"/>
        <v>1.2939825860127362E-6</v>
      </c>
      <c r="L911" s="22"/>
      <c r="M911" s="22"/>
    </row>
    <row r="912" spans="2:13" ht="12.75">
      <c r="B912" s="21">
        <v>45160</v>
      </c>
      <c r="C912" s="16"/>
      <c r="D912" s="25" t="s">
        <v>285</v>
      </c>
      <c r="E912" s="22"/>
      <c r="F912" s="22"/>
      <c r="G912" s="25"/>
      <c r="H912" s="25"/>
      <c r="I912" s="92">
        <v>100800</v>
      </c>
      <c r="J912" s="26">
        <f>SUM($I$4:I912)</f>
        <v>80941016.99000001</v>
      </c>
      <c r="K912" s="44">
        <f t="shared" si="14"/>
        <v>1.3043344467008381E-3</v>
      </c>
      <c r="L912" s="22"/>
      <c r="M912" s="22"/>
    </row>
    <row r="913" spans="2:13" ht="12.75">
      <c r="B913" s="21">
        <v>45160</v>
      </c>
      <c r="C913" s="16"/>
      <c r="D913" s="25" t="s">
        <v>264</v>
      </c>
      <c r="E913" s="22"/>
      <c r="F913" s="22"/>
      <c r="G913" s="25"/>
      <c r="H913" s="25"/>
      <c r="I913" s="92">
        <v>50</v>
      </c>
      <c r="J913" s="26">
        <f>SUM($I$4:I913)</f>
        <v>80941066.99000001</v>
      </c>
      <c r="K913" s="44">
        <f t="shared" si="14"/>
        <v>6.4699129300636808E-7</v>
      </c>
      <c r="L913" s="22"/>
      <c r="M913" s="22"/>
    </row>
    <row r="914" spans="2:13" ht="12.75">
      <c r="B914" s="21">
        <v>45160</v>
      </c>
      <c r="C914" s="16"/>
      <c r="D914" s="25" t="s">
        <v>264</v>
      </c>
      <c r="E914" s="22"/>
      <c r="F914" s="22"/>
      <c r="G914" s="25"/>
      <c r="H914" s="25"/>
      <c r="I914" s="92">
        <v>3.75</v>
      </c>
      <c r="J914" s="26">
        <f>SUM($I$4:I914)</f>
        <v>80941070.74000001</v>
      </c>
      <c r="K914" s="44">
        <f t="shared" si="14"/>
        <v>4.8524346975477608E-8</v>
      </c>
      <c r="L914" s="22"/>
      <c r="M914" s="22"/>
    </row>
    <row r="915" spans="2:13" ht="12.75">
      <c r="B915" s="21">
        <v>45160</v>
      </c>
      <c r="C915" s="16"/>
      <c r="D915" s="25" t="s">
        <v>264</v>
      </c>
      <c r="E915" s="22"/>
      <c r="F915" s="22"/>
      <c r="G915" s="25"/>
      <c r="H915" s="25"/>
      <c r="I915" s="92">
        <v>100</v>
      </c>
      <c r="J915" s="26">
        <f>SUM($I$4:I915)</f>
        <v>80941170.74000001</v>
      </c>
      <c r="K915" s="44">
        <f t="shared" si="14"/>
        <v>1.2939825860127362E-6</v>
      </c>
      <c r="L915" s="22"/>
      <c r="M915" s="22"/>
    </row>
    <row r="916" spans="2:13" ht="12.75">
      <c r="B916" s="21">
        <v>45160</v>
      </c>
      <c r="C916" s="16"/>
      <c r="D916" s="25" t="s">
        <v>286</v>
      </c>
      <c r="E916" s="22"/>
      <c r="F916" s="22"/>
      <c r="G916" s="25"/>
      <c r="H916" s="25"/>
      <c r="I916" s="92">
        <v>21600</v>
      </c>
      <c r="J916" s="26">
        <f>SUM($I$4:I916)</f>
        <v>80962770.74000001</v>
      </c>
      <c r="K916" s="44">
        <f t="shared" si="14"/>
        <v>2.7950023857875101E-4</v>
      </c>
      <c r="L916" s="22"/>
      <c r="M916" s="22"/>
    </row>
    <row r="917" spans="2:13" ht="12.75">
      <c r="B917" s="21">
        <v>45160</v>
      </c>
      <c r="C917" s="16"/>
      <c r="D917" s="25" t="s">
        <v>264</v>
      </c>
      <c r="E917" s="22"/>
      <c r="F917" s="22"/>
      <c r="G917" s="25"/>
      <c r="H917" s="25"/>
      <c r="I917" s="92">
        <v>25</v>
      </c>
      <c r="J917" s="26">
        <f>SUM($I$4:I917)</f>
        <v>80962795.74000001</v>
      </c>
      <c r="K917" s="44">
        <f t="shared" si="14"/>
        <v>3.2349564650318404E-7</v>
      </c>
      <c r="L917" s="22"/>
      <c r="M917" s="22"/>
    </row>
    <row r="918" spans="2:13" ht="12.75">
      <c r="B918" s="21">
        <v>45160</v>
      </c>
      <c r="C918" s="16"/>
      <c r="D918" s="25" t="s">
        <v>264</v>
      </c>
      <c r="E918" s="22"/>
      <c r="F918" s="22"/>
      <c r="G918" s="25"/>
      <c r="H918" s="25"/>
      <c r="I918" s="92">
        <v>1.87</v>
      </c>
      <c r="J918" s="26">
        <f>SUM($I$4:I918)</f>
        <v>80962797.610000014</v>
      </c>
      <c r="K918" s="44">
        <f t="shared" si="14"/>
        <v>2.4197474358438168E-8</v>
      </c>
      <c r="L918" s="22"/>
      <c r="M918" s="22"/>
    </row>
    <row r="919" spans="2:13" ht="12.75">
      <c r="B919" s="21">
        <v>45160</v>
      </c>
      <c r="C919" s="16"/>
      <c r="D919" s="25" t="s">
        <v>292</v>
      </c>
      <c r="E919" s="22"/>
      <c r="F919" s="22"/>
      <c r="G919" s="25"/>
      <c r="H919" s="25"/>
      <c r="I919" s="92">
        <v>8000</v>
      </c>
      <c r="J919" s="26">
        <f>SUM($I$4:I919)</f>
        <v>80970797.610000014</v>
      </c>
      <c r="K919" s="44">
        <f t="shared" si="14"/>
        <v>1.0351860688101889E-4</v>
      </c>
      <c r="L919" s="22"/>
      <c r="M919" s="22"/>
    </row>
    <row r="920" spans="2:13" ht="12.75">
      <c r="B920" s="21">
        <v>45160</v>
      </c>
      <c r="C920" s="16"/>
      <c r="D920" s="25" t="s">
        <v>319</v>
      </c>
      <c r="E920" s="22"/>
      <c r="F920" s="22"/>
      <c r="G920" s="25"/>
      <c r="H920" s="25"/>
      <c r="I920" s="92">
        <v>39667.5</v>
      </c>
      <c r="J920" s="26">
        <f>SUM($I$4:I920)</f>
        <v>81010465.110000014</v>
      </c>
      <c r="K920" s="44">
        <f t="shared" si="14"/>
        <v>5.1329054230660209E-4</v>
      </c>
      <c r="L920" s="22"/>
      <c r="M920" s="22"/>
    </row>
    <row r="921" spans="2:13" ht="12.75">
      <c r="B921" s="21">
        <v>45169</v>
      </c>
      <c r="C921" s="16"/>
      <c r="D921" s="25" t="s">
        <v>264</v>
      </c>
      <c r="E921" s="22"/>
      <c r="F921" s="22"/>
      <c r="G921" s="25"/>
      <c r="H921" s="25"/>
      <c r="I921" s="92">
        <v>560</v>
      </c>
      <c r="J921" s="26">
        <f>SUM($I$4:I921)</f>
        <v>81011025.110000014</v>
      </c>
      <c r="K921" s="44">
        <f t="shared" si="14"/>
        <v>7.2463024816713223E-6</v>
      </c>
      <c r="L921" s="22"/>
      <c r="M921" s="22"/>
    </row>
    <row r="922" spans="2:13" ht="12.75">
      <c r="B922" s="21">
        <v>45169</v>
      </c>
      <c r="C922" s="16"/>
      <c r="D922" s="25" t="s">
        <v>264</v>
      </c>
      <c r="E922" s="22"/>
      <c r="F922" s="22"/>
      <c r="G922" s="25"/>
      <c r="H922" s="25"/>
      <c r="I922" s="92">
        <v>42</v>
      </c>
      <c r="J922" s="26">
        <f>SUM($I$4:I922)</f>
        <v>81011067.110000014</v>
      </c>
      <c r="K922" s="44">
        <f t="shared" si="14"/>
        <v>5.4347268612534921E-7</v>
      </c>
      <c r="L922" s="22"/>
      <c r="M922" s="22"/>
    </row>
    <row r="923" spans="2:13" ht="12.75">
      <c r="B923" s="21">
        <v>45169</v>
      </c>
      <c r="C923" s="16"/>
      <c r="D923" s="25" t="s">
        <v>264</v>
      </c>
      <c r="E923" s="22"/>
      <c r="F923" s="22"/>
      <c r="G923" s="25"/>
      <c r="H923" s="25"/>
      <c r="I923" s="92">
        <v>5028.67</v>
      </c>
      <c r="J923" s="26">
        <f>SUM($I$4:I923)</f>
        <v>81016095.780000016</v>
      </c>
      <c r="K923" s="44">
        <f t="shared" si="14"/>
        <v>6.5070114108046659E-5</v>
      </c>
      <c r="L923" s="22"/>
      <c r="M923" s="22"/>
    </row>
    <row r="924" spans="2:13" ht="12.75">
      <c r="B924" s="21">
        <v>45169</v>
      </c>
      <c r="C924" s="16"/>
      <c r="D924" s="25" t="s">
        <v>264</v>
      </c>
      <c r="E924" s="22"/>
      <c r="F924" s="22"/>
      <c r="G924" s="25"/>
      <c r="H924" s="25"/>
      <c r="I924" s="92">
        <v>377.15</v>
      </c>
      <c r="J924" s="26">
        <f>SUM($I$4:I924)</f>
        <v>81016472.930000022</v>
      </c>
      <c r="K924" s="44">
        <f t="shared" si="14"/>
        <v>4.8802553231470343E-6</v>
      </c>
      <c r="L924" s="22"/>
      <c r="M924" s="22"/>
    </row>
    <row r="925" spans="2:13" ht="12.75">
      <c r="B925" s="21">
        <v>45170</v>
      </c>
      <c r="C925" s="16"/>
      <c r="D925" s="25" t="s">
        <v>295</v>
      </c>
      <c r="E925" s="22"/>
      <c r="F925" s="22"/>
      <c r="G925" s="25"/>
      <c r="H925" s="25"/>
      <c r="I925" s="92">
        <v>3500</v>
      </c>
      <c r="J925" s="26">
        <f>SUM($I$4:I925)</f>
        <v>81019972.930000022</v>
      </c>
      <c r="K925" s="44">
        <f t="shared" si="14"/>
        <v>4.5289390510445764E-5</v>
      </c>
      <c r="L925" s="22"/>
      <c r="M925" s="22"/>
    </row>
    <row r="926" spans="2:13" ht="12.75">
      <c r="B926" s="21">
        <v>45170</v>
      </c>
      <c r="C926" s="16"/>
      <c r="D926" s="25" t="s">
        <v>295</v>
      </c>
      <c r="E926" s="22"/>
      <c r="F926" s="22"/>
      <c r="G926" s="25"/>
      <c r="H926" s="25"/>
      <c r="I926" s="92">
        <v>137800</v>
      </c>
      <c r="J926" s="26">
        <f>SUM($I$4:I926)</f>
        <v>81157772.930000022</v>
      </c>
      <c r="K926" s="44">
        <f t="shared" si="14"/>
        <v>1.7831080035255503E-3</v>
      </c>
      <c r="L926" s="22"/>
      <c r="M926" s="22"/>
    </row>
    <row r="927" spans="2:13" ht="12.75">
      <c r="B927" s="21">
        <v>45170</v>
      </c>
      <c r="C927" s="16"/>
      <c r="D927" s="25" t="s">
        <v>264</v>
      </c>
      <c r="E927" s="22"/>
      <c r="F927" s="22"/>
      <c r="G927" s="25"/>
      <c r="H927" s="25"/>
      <c r="I927" s="92">
        <v>50</v>
      </c>
      <c r="J927" s="26">
        <f>SUM($I$4:I927)</f>
        <v>81157822.930000022</v>
      </c>
      <c r="K927" s="44">
        <f t="shared" si="14"/>
        <v>6.4699129300636808E-7</v>
      </c>
      <c r="L927" s="22"/>
      <c r="M927" s="22"/>
    </row>
    <row r="928" spans="2:13" ht="12.75">
      <c r="B928" s="21">
        <v>45170</v>
      </c>
      <c r="C928" s="16"/>
      <c r="D928" s="25" t="s">
        <v>264</v>
      </c>
      <c r="E928" s="22"/>
      <c r="F928" s="22"/>
      <c r="G928" s="25"/>
      <c r="H928" s="25"/>
      <c r="I928" s="92">
        <v>3.75</v>
      </c>
      <c r="J928" s="26">
        <f>SUM($I$4:I928)</f>
        <v>81157826.680000022</v>
      </c>
      <c r="K928" s="44">
        <f t="shared" si="14"/>
        <v>4.8524346975477608E-8</v>
      </c>
      <c r="L928" s="22"/>
      <c r="M928" s="22"/>
    </row>
    <row r="929" spans="2:13" ht="12.75">
      <c r="B929" s="21">
        <v>45170</v>
      </c>
      <c r="C929" s="16"/>
      <c r="D929" s="25" t="s">
        <v>271</v>
      </c>
      <c r="E929" s="22"/>
      <c r="F929" s="22"/>
      <c r="G929" s="25"/>
      <c r="H929" s="25"/>
      <c r="I929" s="92">
        <v>114378.23</v>
      </c>
      <c r="J929" s="26">
        <f>SUM($I$4:I929)</f>
        <v>81272204.910000026</v>
      </c>
      <c r="K929" s="44">
        <f t="shared" si="14"/>
        <v>1.4800343783895951E-3</v>
      </c>
      <c r="L929" s="22"/>
      <c r="M929" s="22"/>
    </row>
    <row r="930" spans="2:13" ht="12.75">
      <c r="B930" s="21">
        <v>45170</v>
      </c>
      <c r="C930" s="16"/>
      <c r="D930" s="25" t="s">
        <v>264</v>
      </c>
      <c r="E930" s="22"/>
      <c r="F930" s="22"/>
      <c r="G930" s="25"/>
      <c r="H930" s="25"/>
      <c r="I930" s="92">
        <v>50</v>
      </c>
      <c r="J930" s="26">
        <f>SUM($I$4:I930)</f>
        <v>81272254.910000026</v>
      </c>
      <c r="K930" s="44">
        <f t="shared" si="14"/>
        <v>6.4699129300636808E-7</v>
      </c>
      <c r="L930" s="22"/>
      <c r="M930" s="22"/>
    </row>
    <row r="931" spans="2:13" ht="12.75">
      <c r="B931" s="21">
        <v>45170</v>
      </c>
      <c r="C931" s="16"/>
      <c r="D931" s="25" t="s">
        <v>264</v>
      </c>
      <c r="E931" s="22"/>
      <c r="F931" s="22"/>
      <c r="G931" s="25"/>
      <c r="H931" s="25"/>
      <c r="I931" s="92">
        <v>3.75</v>
      </c>
      <c r="J931" s="26">
        <f>SUM($I$4:I931)</f>
        <v>81272258.660000026</v>
      </c>
      <c r="K931" s="44">
        <f t="shared" si="14"/>
        <v>4.8524346975477608E-8</v>
      </c>
      <c r="L931" s="22"/>
      <c r="M931" s="22"/>
    </row>
    <row r="932" spans="2:13" ht="12.75">
      <c r="B932" s="21">
        <v>45170</v>
      </c>
      <c r="C932" s="16"/>
      <c r="D932" s="25" t="s">
        <v>271</v>
      </c>
      <c r="E932" s="22"/>
      <c r="F932" s="22"/>
      <c r="G932" s="25"/>
      <c r="H932" s="25"/>
      <c r="I932" s="92">
        <v>80353.66</v>
      </c>
      <c r="J932" s="26">
        <f>SUM($I$4:I932)</f>
        <v>81352612.320000023</v>
      </c>
      <c r="K932" s="44">
        <f t="shared" si="14"/>
        <v>1.0397623676238817E-3</v>
      </c>
      <c r="L932" s="22"/>
      <c r="M932" s="22"/>
    </row>
    <row r="933" spans="2:13" ht="12.75">
      <c r="B933" s="21">
        <v>45170</v>
      </c>
      <c r="C933" s="16"/>
      <c r="D933" s="25" t="s">
        <v>264</v>
      </c>
      <c r="E933" s="22"/>
      <c r="F933" s="22"/>
      <c r="G933" s="25"/>
      <c r="H933" s="25"/>
      <c r="I933" s="92">
        <v>50</v>
      </c>
      <c r="J933" s="26">
        <f>SUM($I$4:I933)</f>
        <v>81352662.320000023</v>
      </c>
      <c r="K933" s="44">
        <f t="shared" si="14"/>
        <v>6.4699129300636808E-7</v>
      </c>
      <c r="L933" s="22"/>
      <c r="M933" s="22"/>
    </row>
    <row r="934" spans="2:13" ht="12.75">
      <c r="B934" s="21">
        <v>45170</v>
      </c>
      <c r="C934" s="16"/>
      <c r="D934" s="25" t="s">
        <v>264</v>
      </c>
      <c r="E934" s="22"/>
      <c r="F934" s="22"/>
      <c r="G934" s="25"/>
      <c r="H934" s="25"/>
      <c r="I934" s="92">
        <v>3.75</v>
      </c>
      <c r="J934" s="26">
        <f>SUM($I$4:I934)</f>
        <v>81352666.070000023</v>
      </c>
      <c r="K934" s="44">
        <f t="shared" si="14"/>
        <v>4.8524346975477608E-8</v>
      </c>
      <c r="L934" s="22"/>
      <c r="M934" s="22"/>
    </row>
    <row r="935" spans="2:13" ht="12.75">
      <c r="B935" s="21">
        <v>45170</v>
      </c>
      <c r="C935" s="16"/>
      <c r="D935" s="25" t="s">
        <v>271</v>
      </c>
      <c r="E935" s="22"/>
      <c r="F935" s="22"/>
      <c r="G935" s="25"/>
      <c r="H935" s="25"/>
      <c r="I935" s="92">
        <v>187942.82</v>
      </c>
      <c r="J935" s="26">
        <f>SUM($I$4:I935)</f>
        <v>81540608.890000015</v>
      </c>
      <c r="K935" s="44">
        <f t="shared" si="14"/>
        <v>2.4319473624612618E-3</v>
      </c>
      <c r="L935" s="22"/>
      <c r="M935" s="22"/>
    </row>
    <row r="936" spans="2:13" ht="12.75">
      <c r="B936" s="21">
        <v>45170</v>
      </c>
      <c r="C936" s="16"/>
      <c r="D936" s="25" t="s">
        <v>264</v>
      </c>
      <c r="E936" s="22"/>
      <c r="F936" s="22"/>
      <c r="G936" s="25"/>
      <c r="H936" s="25"/>
      <c r="I936" s="92">
        <v>50</v>
      </c>
      <c r="J936" s="26">
        <f>SUM($I$4:I936)</f>
        <v>81540658.890000015</v>
      </c>
      <c r="K936" s="44">
        <f t="shared" si="14"/>
        <v>6.4699129300636808E-7</v>
      </c>
      <c r="L936" s="22"/>
      <c r="M936" s="22"/>
    </row>
    <row r="937" spans="2:13" ht="12.75">
      <c r="B937" s="21">
        <v>45170</v>
      </c>
      <c r="C937" s="16"/>
      <c r="D937" s="25" t="s">
        <v>264</v>
      </c>
      <c r="E937" s="22"/>
      <c r="F937" s="22"/>
      <c r="G937" s="25"/>
      <c r="H937" s="25"/>
      <c r="I937" s="92">
        <v>3.75</v>
      </c>
      <c r="J937" s="26">
        <f>SUM($I$4:I937)</f>
        <v>81540662.640000015</v>
      </c>
      <c r="K937" s="44">
        <f t="shared" si="14"/>
        <v>4.8524346975477608E-8</v>
      </c>
      <c r="L937" s="22"/>
      <c r="M937" s="22"/>
    </row>
    <row r="938" spans="2:13" ht="12.75">
      <c r="B938" s="21">
        <v>45170</v>
      </c>
      <c r="C938" s="16"/>
      <c r="D938" s="25" t="s">
        <v>271</v>
      </c>
      <c r="E938" s="22"/>
      <c r="F938" s="22"/>
      <c r="G938" s="25"/>
      <c r="H938" s="25"/>
      <c r="I938" s="92">
        <v>164859.59</v>
      </c>
      <c r="J938" s="26">
        <f>SUM($I$4:I938)</f>
        <v>81705522.230000019</v>
      </c>
      <c r="K938" s="44">
        <f t="shared" si="14"/>
        <v>2.1332543859719942E-3</v>
      </c>
      <c r="L938" s="22"/>
      <c r="M938" s="22"/>
    </row>
    <row r="939" spans="2:13" ht="12.75">
      <c r="B939" s="21">
        <v>45170</v>
      </c>
      <c r="C939" s="16"/>
      <c r="D939" s="25" t="s">
        <v>271</v>
      </c>
      <c r="E939" s="22"/>
      <c r="F939" s="22"/>
      <c r="G939" s="25"/>
      <c r="H939" s="25"/>
      <c r="I939" s="92">
        <v>144479.15</v>
      </c>
      <c r="J939" s="26">
        <f>SUM($I$4:I939)</f>
        <v>81850001.380000025</v>
      </c>
      <c r="K939" s="44">
        <f t="shared" si="14"/>
        <v>1.8695350414192199E-3</v>
      </c>
      <c r="L939" s="22"/>
      <c r="M939" s="22"/>
    </row>
    <row r="940" spans="2:13" ht="12.75">
      <c r="B940" s="21">
        <v>45170</v>
      </c>
      <c r="C940" s="16"/>
      <c r="D940" s="25" t="s">
        <v>271</v>
      </c>
      <c r="E940" s="22"/>
      <c r="F940" s="22"/>
      <c r="G940" s="25"/>
      <c r="H940" s="25"/>
      <c r="I940" s="92">
        <v>108405.26</v>
      </c>
      <c r="J940" s="26">
        <f>SUM($I$4:I940)</f>
        <v>81958406.64000003</v>
      </c>
      <c r="K940" s="44">
        <f t="shared" si="14"/>
        <v>1.4027451867218302E-3</v>
      </c>
      <c r="L940" s="22"/>
      <c r="M940" s="22"/>
    </row>
    <row r="941" spans="2:13" ht="12.75">
      <c r="B941" s="21">
        <v>45170</v>
      </c>
      <c r="C941" s="16"/>
      <c r="D941" s="25" t="s">
        <v>271</v>
      </c>
      <c r="E941" s="22"/>
      <c r="F941" s="22"/>
      <c r="G941" s="25"/>
      <c r="H941" s="25"/>
      <c r="I941" s="92">
        <v>191119.33</v>
      </c>
      <c r="J941" s="26">
        <f>SUM($I$4:I941)</f>
        <v>82149525.970000029</v>
      </c>
      <c r="K941" s="44">
        <f t="shared" si="14"/>
        <v>2.4730508487042151E-3</v>
      </c>
      <c r="L941" s="22"/>
      <c r="M941" s="22"/>
    </row>
    <row r="942" spans="2:13" ht="12.75">
      <c r="B942" s="21">
        <v>45170</v>
      </c>
      <c r="C942" s="16"/>
      <c r="D942" s="25" t="s">
        <v>271</v>
      </c>
      <c r="E942" s="22"/>
      <c r="F942" s="22"/>
      <c r="G942" s="25"/>
      <c r="H942" s="25"/>
      <c r="I942" s="92">
        <v>79353.66</v>
      </c>
      <c r="J942" s="26">
        <f>SUM($I$4:I942)</f>
        <v>82228879.630000025</v>
      </c>
      <c r="K942" s="44">
        <f t="shared" si="14"/>
        <v>1.0268225417637542E-3</v>
      </c>
      <c r="L942" s="22"/>
      <c r="M942" s="22"/>
    </row>
    <row r="943" spans="2:13" ht="12.75">
      <c r="B943" s="21">
        <v>45170</v>
      </c>
      <c r="C943" s="16"/>
      <c r="D943" s="25" t="s">
        <v>271</v>
      </c>
      <c r="E943" s="22"/>
      <c r="F943" s="22"/>
      <c r="G943" s="25"/>
      <c r="H943" s="25"/>
      <c r="I943" s="92">
        <v>390860.52</v>
      </c>
      <c r="J943" s="26">
        <f>SUM($I$4:I943)</f>
        <v>82619740.150000021</v>
      </c>
      <c r="K943" s="44">
        <f t="shared" si="14"/>
        <v>5.0576670643988283E-3</v>
      </c>
      <c r="L943" s="22"/>
      <c r="M943" s="22"/>
    </row>
    <row r="944" spans="2:13" ht="12.75">
      <c r="B944" s="21">
        <v>45170</v>
      </c>
      <c r="C944" s="16"/>
      <c r="D944" s="25" t="s">
        <v>264</v>
      </c>
      <c r="E944" s="22"/>
      <c r="F944" s="22"/>
      <c r="G944" s="25"/>
      <c r="H944" s="25"/>
      <c r="I944" s="92">
        <v>135</v>
      </c>
      <c r="J944" s="26">
        <f>SUM($I$4:I944)</f>
        <v>82619875.150000021</v>
      </c>
      <c r="K944" s="44">
        <f t="shared" si="14"/>
        <v>1.7468764911171939E-6</v>
      </c>
      <c r="L944" s="22"/>
      <c r="M944" s="22"/>
    </row>
    <row r="945" spans="2:13" ht="12.75">
      <c r="B945" s="21">
        <v>45170</v>
      </c>
      <c r="C945" s="16"/>
      <c r="D945" s="25" t="s">
        <v>264</v>
      </c>
      <c r="E945" s="22"/>
      <c r="F945" s="22"/>
      <c r="G945" s="25"/>
      <c r="H945" s="25"/>
      <c r="I945" s="92">
        <v>10.130000000000001</v>
      </c>
      <c r="J945" s="26">
        <f>SUM($I$4:I945)</f>
        <v>82619885.280000016</v>
      </c>
      <c r="K945" s="44">
        <f t="shared" si="14"/>
        <v>1.310804359630902E-7</v>
      </c>
      <c r="L945" s="22"/>
      <c r="M945" s="22"/>
    </row>
    <row r="946" spans="2:13" ht="12.75">
      <c r="B946" s="21">
        <v>45170</v>
      </c>
      <c r="C946" s="16"/>
      <c r="D946" s="25" t="s">
        <v>271</v>
      </c>
      <c r="E946" s="22"/>
      <c r="F946" s="22"/>
      <c r="G946" s="25"/>
      <c r="H946" s="25"/>
      <c r="I946" s="92">
        <v>59347.83</v>
      </c>
      <c r="J946" s="26">
        <f>SUM($I$4:I946)</f>
        <v>82679233.110000014</v>
      </c>
      <c r="K946" s="44">
        <f t="shared" si="14"/>
        <v>7.6795058537644241E-4</v>
      </c>
      <c r="L946" s="22"/>
      <c r="M946" s="22"/>
    </row>
    <row r="947" spans="2:13" ht="12.75">
      <c r="B947" s="21">
        <v>45170</v>
      </c>
      <c r="C947" s="16"/>
      <c r="D947" s="25" t="s">
        <v>264</v>
      </c>
      <c r="E947" s="22"/>
      <c r="F947" s="22"/>
      <c r="G947" s="25"/>
      <c r="H947" s="25"/>
      <c r="I947" s="92">
        <v>50</v>
      </c>
      <c r="J947" s="26">
        <f>SUM($I$4:I947)</f>
        <v>82679283.110000014</v>
      </c>
      <c r="K947" s="44">
        <f t="shared" si="14"/>
        <v>6.4699129300636808E-7</v>
      </c>
      <c r="L947" s="22"/>
      <c r="M947" s="22"/>
    </row>
    <row r="948" spans="2:13" ht="12.75">
      <c r="B948" s="21">
        <v>45170</v>
      </c>
      <c r="C948" s="16"/>
      <c r="D948" s="25" t="s">
        <v>264</v>
      </c>
      <c r="E948" s="22"/>
      <c r="F948" s="22"/>
      <c r="G948" s="25"/>
      <c r="H948" s="25"/>
      <c r="I948" s="92">
        <v>3.75</v>
      </c>
      <c r="J948" s="26">
        <f>SUM($I$4:I948)</f>
        <v>82679286.860000014</v>
      </c>
      <c r="K948" s="44">
        <f t="shared" si="14"/>
        <v>4.8524346975477608E-8</v>
      </c>
      <c r="L948" s="22"/>
      <c r="M948" s="22"/>
    </row>
    <row r="949" spans="2:13" ht="12.75">
      <c r="B949" s="21">
        <v>45170</v>
      </c>
      <c r="C949" s="16"/>
      <c r="D949" s="25" t="s">
        <v>280</v>
      </c>
      <c r="E949" s="22"/>
      <c r="F949" s="22"/>
      <c r="G949" s="25"/>
      <c r="H949" s="25"/>
      <c r="I949" s="92">
        <v>20000</v>
      </c>
      <c r="J949" s="26">
        <f>SUM($I$4:I949)</f>
        <v>82699286.860000014</v>
      </c>
      <c r="K949" s="44">
        <f t="shared" si="14"/>
        <v>2.5879651720254722E-4</v>
      </c>
      <c r="L949" s="22"/>
      <c r="M949" s="22"/>
    </row>
    <row r="950" spans="2:13" ht="12.75">
      <c r="B950" s="21">
        <v>45170</v>
      </c>
      <c r="C950" s="16"/>
      <c r="D950" s="25" t="s">
        <v>264</v>
      </c>
      <c r="E950" s="22"/>
      <c r="F950" s="22"/>
      <c r="G950" s="25"/>
      <c r="H950" s="25"/>
      <c r="I950" s="92">
        <v>25</v>
      </c>
      <c r="J950" s="26">
        <f>SUM($I$4:I950)</f>
        <v>82699311.860000014</v>
      </c>
      <c r="K950" s="44">
        <f t="shared" si="14"/>
        <v>3.2349564650318404E-7</v>
      </c>
      <c r="L950" s="22"/>
      <c r="M950" s="22"/>
    </row>
    <row r="951" spans="2:13" ht="12.75">
      <c r="B951" s="21">
        <v>45170</v>
      </c>
      <c r="C951" s="16"/>
      <c r="D951" s="25" t="s">
        <v>264</v>
      </c>
      <c r="E951" s="22"/>
      <c r="F951" s="22"/>
      <c r="G951" s="25"/>
      <c r="H951" s="25"/>
      <c r="I951" s="92">
        <v>1.87</v>
      </c>
      <c r="J951" s="26">
        <f>SUM($I$4:I951)</f>
        <v>82699313.730000019</v>
      </c>
      <c r="K951" s="44">
        <f t="shared" si="14"/>
        <v>2.4197474358438168E-8</v>
      </c>
      <c r="L951" s="22"/>
      <c r="M951" s="22"/>
    </row>
    <row r="952" spans="2:13" ht="12.75">
      <c r="B952" s="21">
        <v>45170</v>
      </c>
      <c r="C952" s="16"/>
      <c r="D952" s="25" t="s">
        <v>280</v>
      </c>
      <c r="E952" s="22"/>
      <c r="F952" s="22"/>
      <c r="G952" s="25"/>
      <c r="H952" s="25"/>
      <c r="I952" s="92">
        <v>20000</v>
      </c>
      <c r="J952" s="26">
        <f>SUM($I$4:I952)</f>
        <v>82719313.730000019</v>
      </c>
      <c r="K952" s="44">
        <f t="shared" si="14"/>
        <v>2.5879651720254722E-4</v>
      </c>
      <c r="L952" s="22"/>
      <c r="M952" s="22"/>
    </row>
    <row r="953" spans="2:13" ht="12.75">
      <c r="B953" s="21">
        <v>45170</v>
      </c>
      <c r="C953" s="16"/>
      <c r="D953" s="25" t="s">
        <v>264</v>
      </c>
      <c r="E953" s="22"/>
      <c r="F953" s="22"/>
      <c r="G953" s="25"/>
      <c r="H953" s="25"/>
      <c r="I953" s="92">
        <v>25</v>
      </c>
      <c r="J953" s="26">
        <f>SUM($I$4:I953)</f>
        <v>82719338.730000019</v>
      </c>
      <c r="K953" s="44">
        <f t="shared" si="14"/>
        <v>3.2349564650318404E-7</v>
      </c>
      <c r="L953" s="22"/>
      <c r="M953" s="22"/>
    </row>
    <row r="954" spans="2:13" ht="12.75">
      <c r="B954" s="21">
        <v>45170</v>
      </c>
      <c r="C954" s="16"/>
      <c r="D954" s="25" t="s">
        <v>264</v>
      </c>
      <c r="E954" s="22"/>
      <c r="F954" s="22"/>
      <c r="G954" s="25"/>
      <c r="H954" s="25"/>
      <c r="I954" s="92">
        <v>1.87</v>
      </c>
      <c r="J954" s="26">
        <f>SUM($I$4:I954)</f>
        <v>82719340.600000024</v>
      </c>
      <c r="K954" s="44">
        <f t="shared" si="14"/>
        <v>2.4197474358438168E-8</v>
      </c>
      <c r="L954" s="22"/>
      <c r="M954" s="22"/>
    </row>
    <row r="955" spans="2:13" ht="12.75">
      <c r="B955" s="21">
        <v>45170</v>
      </c>
      <c r="C955" s="16"/>
      <c r="D955" s="25" t="s">
        <v>271</v>
      </c>
      <c r="E955" s="22"/>
      <c r="F955" s="22"/>
      <c r="G955" s="25"/>
      <c r="H955" s="25"/>
      <c r="I955" s="92">
        <v>207920.46</v>
      </c>
      <c r="J955" s="26">
        <f>SUM($I$4:I955)</f>
        <v>82927261.060000017</v>
      </c>
      <c r="K955" s="44">
        <f t="shared" si="14"/>
        <v>2.6904545451575767E-3</v>
      </c>
      <c r="L955" s="22"/>
      <c r="M955" s="22"/>
    </row>
    <row r="956" spans="2:13" ht="12.75">
      <c r="B956" s="21">
        <v>45170</v>
      </c>
      <c r="C956" s="16"/>
      <c r="D956" s="25" t="s">
        <v>280</v>
      </c>
      <c r="E956" s="22"/>
      <c r="F956" s="22"/>
      <c r="G956" s="25"/>
      <c r="H956" s="25"/>
      <c r="I956" s="92">
        <v>20000</v>
      </c>
      <c r="J956" s="26">
        <f>SUM($I$4:I956)</f>
        <v>82947261.060000017</v>
      </c>
      <c r="K956" s="44">
        <f t="shared" si="14"/>
        <v>2.5879651720254722E-4</v>
      </c>
      <c r="L956" s="22"/>
      <c r="M956" s="22"/>
    </row>
    <row r="957" spans="2:13" ht="12.75">
      <c r="B957" s="21">
        <v>45170</v>
      </c>
      <c r="C957" s="16"/>
      <c r="D957" s="25" t="s">
        <v>280</v>
      </c>
      <c r="E957" s="22"/>
      <c r="F957" s="22"/>
      <c r="G957" s="25"/>
      <c r="H957" s="25"/>
      <c r="I957" s="92">
        <v>10434.780000000001</v>
      </c>
      <c r="J957" s="26">
        <f>SUM($I$4:I957)</f>
        <v>82957695.840000018</v>
      </c>
      <c r="K957" s="44">
        <f t="shared" si="14"/>
        <v>1.3502423608873979E-4</v>
      </c>
      <c r="L957" s="22"/>
      <c r="M957" s="22"/>
    </row>
    <row r="958" spans="2:13" ht="12.75">
      <c r="B958" s="21">
        <v>45170</v>
      </c>
      <c r="C958" s="16"/>
      <c r="D958" s="25" t="s">
        <v>280</v>
      </c>
      <c r="E958" s="22"/>
      <c r="F958" s="22"/>
      <c r="G958" s="25"/>
      <c r="H958" s="25"/>
      <c r="I958" s="92">
        <v>20000</v>
      </c>
      <c r="J958" s="26">
        <f>SUM($I$4:I958)</f>
        <v>82977695.840000018</v>
      </c>
      <c r="K958" s="44">
        <f t="shared" si="14"/>
        <v>2.5879651720254722E-4</v>
      </c>
      <c r="L958" s="22"/>
      <c r="M958" s="22"/>
    </row>
    <row r="959" spans="2:13" ht="12.75">
      <c r="B959" s="21">
        <v>45170</v>
      </c>
      <c r="C959" s="16"/>
      <c r="D959" s="25" t="s">
        <v>280</v>
      </c>
      <c r="E959" s="22"/>
      <c r="F959" s="22"/>
      <c r="G959" s="25"/>
      <c r="H959" s="25"/>
      <c r="I959" s="92">
        <v>20000</v>
      </c>
      <c r="J959" s="26">
        <f>SUM($I$4:I959)</f>
        <v>82997695.840000018</v>
      </c>
      <c r="K959" s="44">
        <f t="shared" si="14"/>
        <v>2.5879651720254722E-4</v>
      </c>
      <c r="L959" s="22"/>
      <c r="M959" s="22"/>
    </row>
    <row r="960" spans="2:13" ht="12.75">
      <c r="B960" s="21">
        <v>45170</v>
      </c>
      <c r="C960" s="16"/>
      <c r="D960" s="25" t="s">
        <v>280</v>
      </c>
      <c r="E960" s="22"/>
      <c r="F960" s="22"/>
      <c r="G960" s="25"/>
      <c r="H960" s="25"/>
      <c r="I960" s="92">
        <v>20000</v>
      </c>
      <c r="J960" s="26">
        <f>SUM($I$4:I960)</f>
        <v>83017695.840000018</v>
      </c>
      <c r="K960" s="44">
        <f t="shared" si="14"/>
        <v>2.5879651720254722E-4</v>
      </c>
      <c r="L960" s="22"/>
      <c r="M960" s="22"/>
    </row>
    <row r="961" spans="2:13" ht="12.75">
      <c r="B961" s="21">
        <v>45170</v>
      </c>
      <c r="C961" s="16"/>
      <c r="D961" s="25" t="s">
        <v>280</v>
      </c>
      <c r="E961" s="22"/>
      <c r="F961" s="22"/>
      <c r="G961" s="25"/>
      <c r="H961" s="25"/>
      <c r="I961" s="92">
        <v>20000</v>
      </c>
      <c r="J961" s="26">
        <f>SUM($I$4:I961)</f>
        <v>83037695.840000018</v>
      </c>
      <c r="K961" s="44">
        <f t="shared" si="14"/>
        <v>2.5879651720254722E-4</v>
      </c>
      <c r="L961" s="22"/>
      <c r="M961" s="22"/>
    </row>
    <row r="962" spans="2:13" ht="12.75">
      <c r="B962" s="21">
        <v>45170</v>
      </c>
      <c r="C962" s="16"/>
      <c r="D962" s="25" t="s">
        <v>280</v>
      </c>
      <c r="E962" s="22"/>
      <c r="F962" s="22"/>
      <c r="G962" s="25"/>
      <c r="H962" s="25"/>
      <c r="I962" s="92">
        <v>20000</v>
      </c>
      <c r="J962" s="26">
        <f>SUM($I$4:I962)</f>
        <v>83057695.840000018</v>
      </c>
      <c r="K962" s="44">
        <f t="shared" si="14"/>
        <v>2.5879651720254722E-4</v>
      </c>
      <c r="L962" s="22"/>
      <c r="M962" s="22"/>
    </row>
    <row r="963" spans="2:13" ht="12.75">
      <c r="B963" s="21">
        <v>45170</v>
      </c>
      <c r="C963" s="16"/>
      <c r="D963" s="25" t="s">
        <v>264</v>
      </c>
      <c r="E963" s="22"/>
      <c r="F963" s="22"/>
      <c r="G963" s="25"/>
      <c r="H963" s="25"/>
      <c r="I963" s="92">
        <v>25</v>
      </c>
      <c r="J963" s="26">
        <f>SUM($I$4:I963)</f>
        <v>83057720.840000018</v>
      </c>
      <c r="K963" s="44">
        <f t="shared" si="14"/>
        <v>3.2349564650318404E-7</v>
      </c>
      <c r="L963" s="22"/>
      <c r="M963" s="22"/>
    </row>
    <row r="964" spans="2:13" ht="12.75">
      <c r="B964" s="21">
        <v>45170</v>
      </c>
      <c r="C964" s="16"/>
      <c r="D964" s="25" t="s">
        <v>264</v>
      </c>
      <c r="E964" s="22"/>
      <c r="F964" s="22"/>
      <c r="G964" s="25"/>
      <c r="H964" s="25"/>
      <c r="I964" s="92">
        <v>1.87</v>
      </c>
      <c r="J964" s="26">
        <f>SUM($I$4:I964)</f>
        <v>83057722.710000023</v>
      </c>
      <c r="K964" s="44">
        <f t="shared" si="14"/>
        <v>2.4197474358438168E-8</v>
      </c>
      <c r="L964" s="22"/>
      <c r="M964" s="22"/>
    </row>
    <row r="965" spans="2:13" ht="12.75">
      <c r="B965" s="21">
        <v>45170</v>
      </c>
      <c r="C965" s="16"/>
      <c r="D965" s="25" t="s">
        <v>271</v>
      </c>
      <c r="E965" s="22"/>
      <c r="F965" s="22"/>
      <c r="G965" s="25"/>
      <c r="H965" s="25"/>
      <c r="I965" s="92">
        <v>152000</v>
      </c>
      <c r="J965" s="26">
        <f>SUM($I$4:I965)</f>
        <v>83209722.710000023</v>
      </c>
      <c r="K965" s="44">
        <f t="shared" ref="K965:K1028" si="15">IF(SUM($I$4:$I$830)=0,"",I965/SUM($I$4:$I$830))</f>
        <v>1.9668535307393589E-3</v>
      </c>
      <c r="L965" s="22"/>
      <c r="M965" s="22"/>
    </row>
    <row r="966" spans="2:13" ht="12.75">
      <c r="B966" s="21">
        <v>45170</v>
      </c>
      <c r="C966" s="16"/>
      <c r="D966" s="25" t="s">
        <v>264</v>
      </c>
      <c r="E966" s="22"/>
      <c r="F966" s="22"/>
      <c r="G966" s="25"/>
      <c r="H966" s="25"/>
      <c r="I966" s="92">
        <v>50</v>
      </c>
      <c r="J966" s="26">
        <f>SUM($I$4:I966)</f>
        <v>83209772.710000023</v>
      </c>
      <c r="K966" s="44">
        <f t="shared" si="15"/>
        <v>6.4699129300636808E-7</v>
      </c>
      <c r="L966" s="22"/>
      <c r="M966" s="22"/>
    </row>
    <row r="967" spans="2:13" ht="12.75">
      <c r="B967" s="21">
        <v>45170</v>
      </c>
      <c r="C967" s="16"/>
      <c r="D967" s="25" t="s">
        <v>264</v>
      </c>
      <c r="E967" s="22"/>
      <c r="F967" s="22"/>
      <c r="G967" s="25"/>
      <c r="H967" s="25"/>
      <c r="I967" s="92">
        <v>3.75</v>
      </c>
      <c r="J967" s="26">
        <f>SUM($I$4:I967)</f>
        <v>83209776.460000023</v>
      </c>
      <c r="K967" s="44">
        <f t="shared" si="15"/>
        <v>4.8524346975477608E-8</v>
      </c>
      <c r="L967" s="22"/>
      <c r="M967" s="22"/>
    </row>
    <row r="968" spans="2:13" ht="12.75">
      <c r="B968" s="21">
        <v>45170</v>
      </c>
      <c r="C968" s="16"/>
      <c r="D968" s="25" t="s">
        <v>320</v>
      </c>
      <c r="E968" s="22"/>
      <c r="F968" s="22"/>
      <c r="G968" s="25"/>
      <c r="H968" s="25"/>
      <c r="I968" s="92">
        <v>150000</v>
      </c>
      <c r="J968" s="26">
        <f>SUM($I$4:I968)</f>
        <v>83359776.460000023</v>
      </c>
      <c r="K968" s="44">
        <f t="shared" si="15"/>
        <v>1.9409738790191042E-3</v>
      </c>
      <c r="L968" s="22"/>
      <c r="M968" s="22"/>
    </row>
    <row r="969" spans="2:13" ht="12.75">
      <c r="B969" s="21">
        <v>45170</v>
      </c>
      <c r="C969" s="16"/>
      <c r="D969" s="25" t="s">
        <v>264</v>
      </c>
      <c r="E969" s="22"/>
      <c r="F969" s="22"/>
      <c r="G969" s="25"/>
      <c r="H969" s="25"/>
      <c r="I969" s="92">
        <v>50</v>
      </c>
      <c r="J969" s="26">
        <f>SUM($I$4:I969)</f>
        <v>83359826.460000023</v>
      </c>
      <c r="K969" s="44">
        <f t="shared" si="15"/>
        <v>6.4699129300636808E-7</v>
      </c>
      <c r="L969" s="22"/>
      <c r="M969" s="22"/>
    </row>
    <row r="970" spans="2:13" ht="12.75">
      <c r="B970" s="21">
        <v>45170</v>
      </c>
      <c r="C970" s="16"/>
      <c r="D970" s="25" t="s">
        <v>264</v>
      </c>
      <c r="E970" s="22"/>
      <c r="F970" s="22"/>
      <c r="G970" s="25"/>
      <c r="H970" s="25"/>
      <c r="I970" s="92">
        <v>3.75</v>
      </c>
      <c r="J970" s="26">
        <f>SUM($I$4:I970)</f>
        <v>83359830.210000023</v>
      </c>
      <c r="K970" s="44">
        <f t="shared" si="15"/>
        <v>4.8524346975477608E-8</v>
      </c>
      <c r="L970" s="22"/>
      <c r="M970" s="22"/>
    </row>
    <row r="971" spans="2:13" ht="12.75">
      <c r="B971" s="21">
        <v>45170</v>
      </c>
      <c r="C971" s="16"/>
      <c r="D971" s="25" t="s">
        <v>271</v>
      </c>
      <c r="E971" s="22"/>
      <c r="F971" s="22"/>
      <c r="G971" s="25"/>
      <c r="H971" s="25"/>
      <c r="I971" s="92">
        <v>30000</v>
      </c>
      <c r="J971" s="26">
        <f>SUM($I$4:I971)</f>
        <v>83389830.210000023</v>
      </c>
      <c r="K971" s="44">
        <f t="shared" si="15"/>
        <v>3.8819477580382083E-4</v>
      </c>
      <c r="L971" s="22"/>
      <c r="M971" s="22"/>
    </row>
    <row r="972" spans="2:13" ht="12.75">
      <c r="B972" s="21">
        <v>45170</v>
      </c>
      <c r="C972" s="16"/>
      <c r="D972" s="25" t="s">
        <v>264</v>
      </c>
      <c r="E972" s="22"/>
      <c r="F972" s="22"/>
      <c r="G972" s="25"/>
      <c r="H972" s="25"/>
      <c r="I972" s="92">
        <v>25</v>
      </c>
      <c r="J972" s="26">
        <f>SUM($I$4:I972)</f>
        <v>83389855.210000023</v>
      </c>
      <c r="K972" s="44">
        <f t="shared" si="15"/>
        <v>3.2349564650318404E-7</v>
      </c>
      <c r="L972" s="22"/>
      <c r="M972" s="22"/>
    </row>
    <row r="973" spans="2:13" ht="12.75">
      <c r="B973" s="21">
        <v>45170</v>
      </c>
      <c r="C973" s="16"/>
      <c r="D973" s="25" t="s">
        <v>264</v>
      </c>
      <c r="E973" s="22"/>
      <c r="F973" s="22"/>
      <c r="G973" s="25"/>
      <c r="H973" s="25"/>
      <c r="I973" s="92">
        <v>1.87</v>
      </c>
      <c r="J973" s="26">
        <f>SUM($I$4:I973)</f>
        <v>83389857.080000028</v>
      </c>
      <c r="K973" s="44">
        <f t="shared" si="15"/>
        <v>2.4197474358438168E-8</v>
      </c>
      <c r="L973" s="22"/>
      <c r="M973" s="22"/>
    </row>
    <row r="974" spans="2:13" ht="12.75">
      <c r="B974" s="21">
        <v>45170</v>
      </c>
      <c r="C974" s="16"/>
      <c r="D974" s="25" t="s">
        <v>280</v>
      </c>
      <c r="E974" s="22"/>
      <c r="F974" s="22"/>
      <c r="G974" s="25"/>
      <c r="H974" s="25"/>
      <c r="I974" s="92">
        <v>20000</v>
      </c>
      <c r="J974" s="26">
        <f>SUM($I$4:I974)</f>
        <v>83409857.080000028</v>
      </c>
      <c r="K974" s="44">
        <f t="shared" si="15"/>
        <v>2.5879651720254722E-4</v>
      </c>
      <c r="L974" s="22"/>
      <c r="M974" s="22"/>
    </row>
    <row r="975" spans="2:13" ht="12.75">
      <c r="B975" s="21">
        <v>45170</v>
      </c>
      <c r="C975" s="16"/>
      <c r="D975" s="25" t="s">
        <v>264</v>
      </c>
      <c r="E975" s="22"/>
      <c r="F975" s="22"/>
      <c r="G975" s="25"/>
      <c r="H975" s="25"/>
      <c r="I975" s="92">
        <v>135</v>
      </c>
      <c r="J975" s="26">
        <f>SUM($I$4:I975)</f>
        <v>83409992.080000028</v>
      </c>
      <c r="K975" s="44">
        <f t="shared" si="15"/>
        <v>1.7468764911171939E-6</v>
      </c>
      <c r="L975" s="22"/>
      <c r="M975" s="22"/>
    </row>
    <row r="976" spans="2:13" ht="12.75">
      <c r="B976" s="21">
        <v>45170</v>
      </c>
      <c r="C976" s="16"/>
      <c r="D976" s="25" t="s">
        <v>264</v>
      </c>
      <c r="E976" s="22"/>
      <c r="F976" s="22"/>
      <c r="G976" s="25"/>
      <c r="H976" s="25"/>
      <c r="I976" s="92">
        <v>10.130000000000001</v>
      </c>
      <c r="J976" s="26">
        <f>SUM($I$4:I976)</f>
        <v>83410002.210000023</v>
      </c>
      <c r="K976" s="44">
        <f t="shared" si="15"/>
        <v>1.310804359630902E-7</v>
      </c>
      <c r="L976" s="22"/>
      <c r="M976" s="22"/>
    </row>
    <row r="977" spans="2:13" ht="12.75">
      <c r="B977" s="21">
        <v>45170</v>
      </c>
      <c r="C977" s="16"/>
      <c r="D977" s="25" t="s">
        <v>286</v>
      </c>
      <c r="E977" s="22"/>
      <c r="F977" s="22"/>
      <c r="G977" s="25"/>
      <c r="H977" s="25"/>
      <c r="I977" s="92">
        <v>27000</v>
      </c>
      <c r="J977" s="26">
        <f>SUM($I$4:I977)</f>
        <v>83437002.210000023</v>
      </c>
      <c r="K977" s="44">
        <f t="shared" si="15"/>
        <v>3.4937529822343875E-4</v>
      </c>
      <c r="L977" s="22"/>
      <c r="M977" s="22"/>
    </row>
    <row r="978" spans="2:13" ht="12.75">
      <c r="B978" s="21">
        <v>45170</v>
      </c>
      <c r="C978" s="16"/>
      <c r="D978" s="25" t="s">
        <v>264</v>
      </c>
      <c r="E978" s="22"/>
      <c r="F978" s="22"/>
      <c r="G978" s="25"/>
      <c r="H978" s="25"/>
      <c r="I978" s="92">
        <v>25</v>
      </c>
      <c r="J978" s="26">
        <f>SUM($I$4:I978)</f>
        <v>83437027.210000023</v>
      </c>
      <c r="K978" s="44">
        <f t="shared" si="15"/>
        <v>3.2349564650318404E-7</v>
      </c>
      <c r="L978" s="22"/>
      <c r="M978" s="22"/>
    </row>
    <row r="979" spans="2:13" ht="12.75">
      <c r="B979" s="21">
        <v>45170</v>
      </c>
      <c r="C979" s="16"/>
      <c r="D979" s="25" t="s">
        <v>264</v>
      </c>
      <c r="E979" s="22"/>
      <c r="F979" s="22"/>
      <c r="G979" s="25"/>
      <c r="H979" s="25"/>
      <c r="I979" s="92">
        <v>1.87</v>
      </c>
      <c r="J979" s="26">
        <f>SUM($I$4:I979)</f>
        <v>83437029.080000028</v>
      </c>
      <c r="K979" s="44">
        <f t="shared" si="15"/>
        <v>2.4197474358438168E-8</v>
      </c>
      <c r="L979" s="22"/>
      <c r="M979" s="22"/>
    </row>
    <row r="980" spans="2:13" ht="12.75">
      <c r="B980" s="21">
        <v>45170</v>
      </c>
      <c r="C980" s="16"/>
      <c r="D980" s="25" t="s">
        <v>285</v>
      </c>
      <c r="E980" s="22"/>
      <c r="F980" s="22"/>
      <c r="G980" s="25"/>
      <c r="H980" s="25"/>
      <c r="I980" s="92">
        <v>100800</v>
      </c>
      <c r="J980" s="26">
        <f>SUM($I$4:I980)</f>
        <v>83537829.080000028</v>
      </c>
      <c r="K980" s="44">
        <f t="shared" si="15"/>
        <v>1.3043344467008381E-3</v>
      </c>
      <c r="L980" s="22"/>
      <c r="M980" s="22"/>
    </row>
    <row r="981" spans="2:13" ht="12.75">
      <c r="B981" s="21">
        <v>45170</v>
      </c>
      <c r="C981" s="16"/>
      <c r="D981" s="25" t="s">
        <v>264</v>
      </c>
      <c r="E981" s="22"/>
      <c r="F981" s="22"/>
      <c r="G981" s="25"/>
      <c r="H981" s="25"/>
      <c r="I981" s="92">
        <v>50</v>
      </c>
      <c r="J981" s="26">
        <f>SUM($I$4:I981)</f>
        <v>83537879.080000028</v>
      </c>
      <c r="K981" s="44">
        <f t="shared" si="15"/>
        <v>6.4699129300636808E-7</v>
      </c>
      <c r="L981" s="22"/>
      <c r="M981" s="22"/>
    </row>
    <row r="982" spans="2:13" ht="12.75">
      <c r="B982" s="21">
        <v>45170</v>
      </c>
      <c r="C982" s="16"/>
      <c r="D982" s="25" t="s">
        <v>264</v>
      </c>
      <c r="E982" s="22"/>
      <c r="F982" s="22"/>
      <c r="G982" s="25"/>
      <c r="H982" s="25"/>
      <c r="I982" s="92">
        <v>3.75</v>
      </c>
      <c r="J982" s="26">
        <f>SUM($I$4:I982)</f>
        <v>83537882.830000028</v>
      </c>
      <c r="K982" s="44">
        <f t="shared" si="15"/>
        <v>4.8524346975477608E-8</v>
      </c>
      <c r="L982" s="22"/>
      <c r="M982" s="22"/>
    </row>
    <row r="983" spans="2:13" ht="12.75">
      <c r="B983" s="21">
        <v>45170</v>
      </c>
      <c r="C983" s="16"/>
      <c r="D983" s="25" t="s">
        <v>264</v>
      </c>
      <c r="E983" s="22"/>
      <c r="F983" s="22"/>
      <c r="G983" s="25"/>
      <c r="H983" s="25"/>
      <c r="I983" s="92">
        <v>12000</v>
      </c>
      <c r="J983" s="26">
        <f>SUM($I$4:I983)</f>
        <v>83549882.830000028</v>
      </c>
      <c r="K983" s="44">
        <f t="shared" si="15"/>
        <v>1.5527791032152833E-4</v>
      </c>
      <c r="L983" s="22"/>
      <c r="M983" s="22"/>
    </row>
    <row r="984" spans="2:13" ht="12.75">
      <c r="B984" s="21">
        <v>45170</v>
      </c>
      <c r="C984" s="16"/>
      <c r="D984" s="25" t="s">
        <v>264</v>
      </c>
      <c r="E984" s="22"/>
      <c r="F984" s="22"/>
      <c r="G984" s="25"/>
      <c r="H984" s="25"/>
      <c r="I984" s="92">
        <v>25</v>
      </c>
      <c r="J984" s="26">
        <f>SUM($I$4:I984)</f>
        <v>83549907.830000028</v>
      </c>
      <c r="K984" s="44">
        <f t="shared" si="15"/>
        <v>3.2349564650318404E-7</v>
      </c>
      <c r="L984" s="22"/>
      <c r="M984" s="22"/>
    </row>
    <row r="985" spans="2:13" ht="12.75">
      <c r="B985" s="21">
        <v>45170</v>
      </c>
      <c r="C985" s="16"/>
      <c r="D985" s="25" t="s">
        <v>264</v>
      </c>
      <c r="E985" s="22"/>
      <c r="F985" s="22"/>
      <c r="G985" s="25"/>
      <c r="H985" s="25"/>
      <c r="I985" s="92">
        <v>1.87</v>
      </c>
      <c r="J985" s="26">
        <f>SUM($I$4:I985)</f>
        <v>83549909.700000033</v>
      </c>
      <c r="K985" s="44">
        <f t="shared" si="15"/>
        <v>2.4197474358438168E-8</v>
      </c>
      <c r="L985" s="22"/>
      <c r="M985" s="22"/>
    </row>
    <row r="986" spans="2:13" ht="12.75">
      <c r="B986" s="21">
        <v>45170</v>
      </c>
      <c r="C986" s="16"/>
      <c r="D986" s="25" t="s">
        <v>264</v>
      </c>
      <c r="E986" s="22"/>
      <c r="F986" s="22"/>
      <c r="G986" s="25"/>
      <c r="H986" s="25"/>
      <c r="I986" s="92">
        <v>15</v>
      </c>
      <c r="J986" s="26">
        <f>SUM($I$4:I986)</f>
        <v>83549924.700000033</v>
      </c>
      <c r="K986" s="44">
        <f t="shared" si="15"/>
        <v>1.9409738790191043E-7</v>
      </c>
      <c r="L986" s="22"/>
      <c r="M986" s="22"/>
    </row>
    <row r="987" spans="2:13" ht="12.75">
      <c r="B987" s="21">
        <v>45170</v>
      </c>
      <c r="C987" s="16"/>
      <c r="D987" s="25" t="s">
        <v>264</v>
      </c>
      <c r="E987" s="22"/>
      <c r="F987" s="22"/>
      <c r="G987" s="25"/>
      <c r="H987" s="25"/>
      <c r="I987" s="92">
        <v>1.1299999999999999</v>
      </c>
      <c r="J987" s="26">
        <f>SUM($I$4:I987)</f>
        <v>83549925.830000028</v>
      </c>
      <c r="K987" s="44">
        <f t="shared" si="15"/>
        <v>1.4622003221943917E-8</v>
      </c>
      <c r="L987" s="22"/>
      <c r="M987" s="22"/>
    </row>
    <row r="988" spans="2:13" ht="12.75">
      <c r="B988" s="21">
        <v>45170</v>
      </c>
      <c r="C988" s="16"/>
      <c r="D988" s="25" t="s">
        <v>276</v>
      </c>
      <c r="E988" s="22"/>
      <c r="F988" s="22"/>
      <c r="G988" s="25"/>
      <c r="H988" s="25"/>
      <c r="I988" s="92">
        <v>50000</v>
      </c>
      <c r="J988" s="26">
        <f>SUM($I$4:I988)</f>
        <v>83599925.830000028</v>
      </c>
      <c r="K988" s="44">
        <f t="shared" si="15"/>
        <v>6.4699129300636806E-4</v>
      </c>
      <c r="L988" s="22"/>
      <c r="M988" s="22"/>
    </row>
    <row r="989" spans="2:13" ht="12.75">
      <c r="B989" s="21">
        <v>45170</v>
      </c>
      <c r="C989" s="16"/>
      <c r="D989" s="25" t="s">
        <v>264</v>
      </c>
      <c r="E989" s="22"/>
      <c r="F989" s="22"/>
      <c r="G989" s="25"/>
      <c r="H989" s="25"/>
      <c r="I989" s="92">
        <v>50</v>
      </c>
      <c r="J989" s="26">
        <f>SUM($I$4:I989)</f>
        <v>83599975.830000028</v>
      </c>
      <c r="K989" s="44">
        <f t="shared" si="15"/>
        <v>6.4699129300636808E-7</v>
      </c>
      <c r="L989" s="22"/>
      <c r="M989" s="22"/>
    </row>
    <row r="990" spans="2:13" ht="12.75">
      <c r="B990" s="21">
        <v>45170</v>
      </c>
      <c r="C990" s="16"/>
      <c r="D990" s="25" t="s">
        <v>276</v>
      </c>
      <c r="E990" s="22"/>
      <c r="F990" s="22"/>
      <c r="G990" s="25"/>
      <c r="H990" s="25"/>
      <c r="I990" s="92">
        <v>50000</v>
      </c>
      <c r="J990" s="26">
        <f>SUM($I$4:I990)</f>
        <v>83649975.830000028</v>
      </c>
      <c r="K990" s="44">
        <f t="shared" si="15"/>
        <v>6.4699129300636806E-4</v>
      </c>
      <c r="L990" s="22"/>
      <c r="M990" s="22"/>
    </row>
    <row r="991" spans="2:13" ht="12.75">
      <c r="B991" s="21">
        <v>45170</v>
      </c>
      <c r="C991" s="16"/>
      <c r="D991" s="25" t="s">
        <v>264</v>
      </c>
      <c r="E991" s="22"/>
      <c r="F991" s="22"/>
      <c r="G991" s="25"/>
      <c r="H991" s="25"/>
      <c r="I991" s="92">
        <v>50</v>
      </c>
      <c r="J991" s="26">
        <f>SUM($I$4:I991)</f>
        <v>83650025.830000028</v>
      </c>
      <c r="K991" s="44">
        <f t="shared" si="15"/>
        <v>6.4699129300636808E-7</v>
      </c>
      <c r="L991" s="22"/>
      <c r="M991" s="22"/>
    </row>
    <row r="992" spans="2:13" ht="12.75">
      <c r="B992" s="21">
        <v>45170</v>
      </c>
      <c r="C992" s="16"/>
      <c r="D992" s="25" t="s">
        <v>276</v>
      </c>
      <c r="E992" s="22"/>
      <c r="F992" s="22"/>
      <c r="G992" s="25"/>
      <c r="H992" s="25"/>
      <c r="I992" s="92">
        <v>1200000</v>
      </c>
      <c r="J992" s="26">
        <f>SUM($I$4:I992)</f>
        <v>84850025.830000028</v>
      </c>
      <c r="K992" s="44">
        <f t="shared" si="15"/>
        <v>1.5527791032152833E-2</v>
      </c>
      <c r="L992" s="22"/>
      <c r="M992" s="22"/>
    </row>
    <row r="993" spans="2:13" ht="12.75">
      <c r="B993" s="21">
        <v>45170</v>
      </c>
      <c r="C993" s="16"/>
      <c r="D993" s="25" t="s">
        <v>264</v>
      </c>
      <c r="E993" s="22"/>
      <c r="F993" s="22"/>
      <c r="G993" s="25"/>
      <c r="H993" s="25"/>
      <c r="I993" s="92">
        <v>50</v>
      </c>
      <c r="J993" s="26">
        <f>SUM($I$4:I993)</f>
        <v>84850075.830000028</v>
      </c>
      <c r="K993" s="44">
        <f t="shared" si="15"/>
        <v>6.4699129300636808E-7</v>
      </c>
      <c r="L993" s="22"/>
      <c r="M993" s="22"/>
    </row>
    <row r="994" spans="2:13" ht="12.75">
      <c r="B994" s="21">
        <v>45176</v>
      </c>
      <c r="C994" s="16"/>
      <c r="D994" s="25" t="s">
        <v>280</v>
      </c>
      <c r="E994" s="22"/>
      <c r="F994" s="22"/>
      <c r="G994" s="25"/>
      <c r="H994" s="25"/>
      <c r="I994" s="92">
        <v>74880</v>
      </c>
      <c r="J994" s="26">
        <f>SUM($I$4:I994)</f>
        <v>84924955.830000028</v>
      </c>
      <c r="K994" s="44">
        <f t="shared" si="15"/>
        <v>9.6893416040633683E-4</v>
      </c>
      <c r="L994" s="22"/>
      <c r="M994" s="22"/>
    </row>
    <row r="995" spans="2:13" ht="12.75">
      <c r="B995" s="21">
        <v>45176</v>
      </c>
      <c r="C995" s="16"/>
      <c r="D995" s="25" t="s">
        <v>280</v>
      </c>
      <c r="E995" s="22"/>
      <c r="F995" s="22"/>
      <c r="G995" s="25"/>
      <c r="H995" s="25"/>
      <c r="I995" s="92">
        <v>18898.650000000001</v>
      </c>
      <c r="J995" s="26">
        <f>SUM($I$4:I995)</f>
        <v>84943854.480000034</v>
      </c>
      <c r="K995" s="44">
        <f t="shared" si="15"/>
        <v>2.4454523999149601E-4</v>
      </c>
      <c r="L995" s="22"/>
      <c r="M995" s="22"/>
    </row>
    <row r="996" spans="2:13" ht="12.75">
      <c r="B996" s="21">
        <v>45176</v>
      </c>
      <c r="C996" s="16"/>
      <c r="D996" s="25" t="s">
        <v>264</v>
      </c>
      <c r="E996" s="22"/>
      <c r="F996" s="22"/>
      <c r="G996" s="25"/>
      <c r="H996" s="25"/>
      <c r="I996" s="92">
        <v>25</v>
      </c>
      <c r="J996" s="26">
        <f>SUM($I$4:I996)</f>
        <v>84943879.480000034</v>
      </c>
      <c r="K996" s="44">
        <f t="shared" si="15"/>
        <v>3.2349564650318404E-7</v>
      </c>
      <c r="L996" s="22"/>
      <c r="M996" s="22"/>
    </row>
    <row r="997" spans="2:13" ht="12.75">
      <c r="B997" s="21">
        <v>45176</v>
      </c>
      <c r="C997" s="16"/>
      <c r="D997" s="25" t="s">
        <v>264</v>
      </c>
      <c r="E997" s="22"/>
      <c r="F997" s="22"/>
      <c r="G997" s="25"/>
      <c r="H997" s="25"/>
      <c r="I997" s="92">
        <v>1.87</v>
      </c>
      <c r="J997" s="26">
        <f>SUM($I$4:I997)</f>
        <v>84943881.350000039</v>
      </c>
      <c r="K997" s="44">
        <f t="shared" si="15"/>
        <v>2.4197474358438168E-8</v>
      </c>
      <c r="L997" s="22"/>
      <c r="M997" s="22"/>
    </row>
    <row r="998" spans="2:13" ht="12.75">
      <c r="B998" s="21">
        <v>45176</v>
      </c>
      <c r="C998" s="16"/>
      <c r="D998" s="25" t="s">
        <v>275</v>
      </c>
      <c r="E998" s="22"/>
      <c r="F998" s="22"/>
      <c r="G998" s="25"/>
      <c r="H998" s="25"/>
      <c r="I998" s="92">
        <v>500</v>
      </c>
      <c r="J998" s="26">
        <f>SUM($I$4:I998)</f>
        <v>84944381.350000039</v>
      </c>
      <c r="K998" s="44">
        <f t="shared" si="15"/>
        <v>6.4699129300636806E-6</v>
      </c>
      <c r="L998" s="22"/>
      <c r="M998" s="22"/>
    </row>
    <row r="999" spans="2:13" ht="12.75">
      <c r="B999" s="21">
        <v>45176</v>
      </c>
      <c r="C999" s="16"/>
      <c r="D999" s="25" t="s">
        <v>275</v>
      </c>
      <c r="E999" s="22"/>
      <c r="F999" s="22"/>
      <c r="G999" s="25"/>
      <c r="H999" s="25"/>
      <c r="I999" s="92">
        <v>500</v>
      </c>
      <c r="J999" s="26">
        <f>SUM($I$4:I999)</f>
        <v>84944881.350000039</v>
      </c>
      <c r="K999" s="44">
        <f t="shared" si="15"/>
        <v>6.4699129300636806E-6</v>
      </c>
      <c r="L999" s="22"/>
      <c r="M999" s="22"/>
    </row>
    <row r="1000" spans="2:13" ht="12.75">
      <c r="B1000" s="21">
        <v>45176</v>
      </c>
      <c r="C1000" s="16"/>
      <c r="D1000" s="25" t="s">
        <v>264</v>
      </c>
      <c r="E1000" s="22"/>
      <c r="F1000" s="22"/>
      <c r="G1000" s="25"/>
      <c r="H1000" s="25"/>
      <c r="I1000" s="92">
        <v>10</v>
      </c>
      <c r="J1000" s="26">
        <f>SUM($I$4:I1000)</f>
        <v>84944891.350000039</v>
      </c>
      <c r="K1000" s="44">
        <f t="shared" si="15"/>
        <v>1.293982586012736E-7</v>
      </c>
      <c r="L1000" s="22"/>
      <c r="M1000" s="22"/>
    </row>
    <row r="1001" spans="2:13" ht="12.75">
      <c r="B1001" s="21">
        <v>45176</v>
      </c>
      <c r="C1001" s="16"/>
      <c r="D1001" s="25" t="s">
        <v>264</v>
      </c>
      <c r="E1001" s="22"/>
      <c r="F1001" s="22"/>
      <c r="G1001" s="25"/>
      <c r="H1001" s="25"/>
      <c r="I1001" s="92">
        <v>0.75</v>
      </c>
      <c r="J1001" s="26">
        <f>SUM($I$4:I1001)</f>
        <v>84944892.100000039</v>
      </c>
      <c r="K1001" s="44">
        <f t="shared" si="15"/>
        <v>9.7048693950955217E-9</v>
      </c>
      <c r="L1001" s="22"/>
      <c r="M1001" s="22"/>
    </row>
    <row r="1002" spans="2:13" ht="12.75">
      <c r="B1002" s="21">
        <v>45176</v>
      </c>
      <c r="C1002" s="16"/>
      <c r="D1002" s="25" t="s">
        <v>275</v>
      </c>
      <c r="E1002" s="22"/>
      <c r="F1002" s="22"/>
      <c r="G1002" s="25"/>
      <c r="H1002" s="25"/>
      <c r="I1002" s="92">
        <v>1000</v>
      </c>
      <c r="J1002" s="26">
        <f>SUM($I$4:I1002)</f>
        <v>84945892.100000039</v>
      </c>
      <c r="K1002" s="44">
        <f t="shared" si="15"/>
        <v>1.2939825860127361E-5</v>
      </c>
      <c r="L1002" s="22"/>
      <c r="M1002" s="22"/>
    </row>
    <row r="1003" spans="2:13" ht="12.75">
      <c r="B1003" s="21">
        <v>45176</v>
      </c>
      <c r="C1003" s="16"/>
      <c r="D1003" s="25" t="s">
        <v>264</v>
      </c>
      <c r="E1003" s="22"/>
      <c r="F1003" s="22"/>
      <c r="G1003" s="25"/>
      <c r="H1003" s="25"/>
      <c r="I1003" s="92">
        <v>10</v>
      </c>
      <c r="J1003" s="26">
        <f>SUM($I$4:I1003)</f>
        <v>84945902.100000039</v>
      </c>
      <c r="K1003" s="44">
        <f t="shared" si="15"/>
        <v>1.293982586012736E-7</v>
      </c>
      <c r="L1003" s="22"/>
      <c r="M1003" s="22"/>
    </row>
    <row r="1004" spans="2:13" ht="12.75">
      <c r="B1004" s="21">
        <v>45176</v>
      </c>
      <c r="C1004" s="16"/>
      <c r="D1004" s="25" t="s">
        <v>264</v>
      </c>
      <c r="E1004" s="22"/>
      <c r="F1004" s="22"/>
      <c r="G1004" s="25"/>
      <c r="H1004" s="25"/>
      <c r="I1004" s="92">
        <v>0.75</v>
      </c>
      <c r="J1004" s="26">
        <f>SUM($I$4:I1004)</f>
        <v>84945902.850000039</v>
      </c>
      <c r="K1004" s="44">
        <f t="shared" si="15"/>
        <v>9.7048693950955217E-9</v>
      </c>
      <c r="L1004" s="22"/>
      <c r="M1004" s="22"/>
    </row>
    <row r="1005" spans="2:13" ht="12.75">
      <c r="B1005" s="21">
        <v>45178</v>
      </c>
      <c r="C1005" s="16"/>
      <c r="D1005" s="25" t="s">
        <v>272</v>
      </c>
      <c r="E1005" s="22"/>
      <c r="F1005" s="22"/>
      <c r="G1005" s="25"/>
      <c r="H1005" s="25"/>
      <c r="I1005" s="92">
        <v>1341225.32</v>
      </c>
      <c r="J1005" s="26">
        <f>SUM($I$4:I1005)</f>
        <v>86287128.170000032</v>
      </c>
      <c r="K1005" s="44">
        <f t="shared" si="15"/>
        <v>1.7355222079993595E-2</v>
      </c>
      <c r="L1005" s="22"/>
      <c r="M1005" s="22"/>
    </row>
    <row r="1006" spans="2:13" ht="12.75">
      <c r="B1006" s="21">
        <v>45178</v>
      </c>
      <c r="C1006" s="16"/>
      <c r="D1006" s="25" t="s">
        <v>264</v>
      </c>
      <c r="E1006" s="22"/>
      <c r="F1006" s="22"/>
      <c r="G1006" s="25"/>
      <c r="H1006" s="25"/>
      <c r="I1006" s="92">
        <v>100</v>
      </c>
      <c r="J1006" s="26">
        <f>SUM($I$4:I1006)</f>
        <v>86287228.170000032</v>
      </c>
      <c r="K1006" s="44">
        <f t="shared" si="15"/>
        <v>1.2939825860127362E-6</v>
      </c>
      <c r="L1006" s="22"/>
      <c r="M1006" s="22"/>
    </row>
    <row r="1007" spans="2:13" ht="12.75">
      <c r="B1007" s="21">
        <v>45180</v>
      </c>
      <c r="C1007" s="16"/>
      <c r="D1007" s="25" t="s">
        <v>289</v>
      </c>
      <c r="E1007" s="22"/>
      <c r="F1007" s="22"/>
      <c r="G1007" s="25"/>
      <c r="H1007" s="25"/>
      <c r="I1007" s="92">
        <v>100000</v>
      </c>
      <c r="J1007" s="26">
        <f>SUM($I$4:I1007)</f>
        <v>86387228.170000032</v>
      </c>
      <c r="K1007" s="44">
        <f t="shared" si="15"/>
        <v>1.2939825860127361E-3</v>
      </c>
      <c r="L1007" s="22"/>
      <c r="M1007" s="22"/>
    </row>
    <row r="1008" spans="2:13" ht="12.75">
      <c r="B1008" s="21">
        <v>45180</v>
      </c>
      <c r="C1008" s="16"/>
      <c r="D1008" s="25" t="s">
        <v>264</v>
      </c>
      <c r="E1008" s="22"/>
      <c r="F1008" s="22"/>
      <c r="G1008" s="25"/>
      <c r="H1008" s="25"/>
      <c r="I1008" s="92">
        <v>50</v>
      </c>
      <c r="J1008" s="26">
        <f>SUM($I$4:I1008)</f>
        <v>86387278.170000032</v>
      </c>
      <c r="K1008" s="44">
        <f t="shared" si="15"/>
        <v>6.4699129300636808E-7</v>
      </c>
      <c r="L1008" s="22"/>
      <c r="M1008" s="22"/>
    </row>
    <row r="1009" spans="2:13" ht="12.75">
      <c r="B1009" s="21">
        <v>45180</v>
      </c>
      <c r="C1009" s="16"/>
      <c r="D1009" s="25" t="s">
        <v>264</v>
      </c>
      <c r="E1009" s="22"/>
      <c r="F1009" s="22"/>
      <c r="G1009" s="25"/>
      <c r="H1009" s="25"/>
      <c r="I1009" s="92">
        <v>3.75</v>
      </c>
      <c r="J1009" s="26">
        <f>SUM($I$4:I1009)</f>
        <v>86387281.920000032</v>
      </c>
      <c r="K1009" s="44">
        <f t="shared" si="15"/>
        <v>4.8524346975477608E-8</v>
      </c>
      <c r="L1009" s="22"/>
      <c r="M1009" s="22"/>
    </row>
    <row r="1010" spans="2:13" ht="12.75">
      <c r="B1010" s="21">
        <v>45183</v>
      </c>
      <c r="C1010" s="16"/>
      <c r="D1010" s="25" t="s">
        <v>280</v>
      </c>
      <c r="E1010" s="22"/>
      <c r="F1010" s="22"/>
      <c r="G1010" s="25"/>
      <c r="H1010" s="25"/>
      <c r="I1010" s="92">
        <v>68400</v>
      </c>
      <c r="J1010" s="26">
        <f>SUM($I$4:I1010)</f>
        <v>86455681.920000032</v>
      </c>
      <c r="K1010" s="44">
        <f t="shared" si="15"/>
        <v>8.8508408883271154E-4</v>
      </c>
      <c r="L1010" s="22"/>
      <c r="M1010" s="22"/>
    </row>
    <row r="1011" spans="2:13" ht="12.75">
      <c r="B1011" s="21">
        <v>45183</v>
      </c>
      <c r="C1011" s="16"/>
      <c r="D1011" s="25" t="s">
        <v>285</v>
      </c>
      <c r="E1011" s="22"/>
      <c r="F1011" s="22"/>
      <c r="G1011" s="25"/>
      <c r="H1011" s="25"/>
      <c r="I1011" s="92">
        <v>37200</v>
      </c>
      <c r="J1011" s="26">
        <f>SUM($I$4:I1011)</f>
        <v>86492881.920000032</v>
      </c>
      <c r="K1011" s="44">
        <f t="shared" si="15"/>
        <v>4.8136152199673786E-4</v>
      </c>
      <c r="L1011" s="22"/>
      <c r="M1011" s="22"/>
    </row>
    <row r="1012" spans="2:13" ht="12.75">
      <c r="B1012" s="21">
        <v>45183</v>
      </c>
      <c r="C1012" s="16"/>
      <c r="D1012" s="25" t="s">
        <v>264</v>
      </c>
      <c r="E1012" s="22"/>
      <c r="F1012" s="22"/>
      <c r="G1012" s="25"/>
      <c r="H1012" s="25"/>
      <c r="I1012" s="92">
        <v>50</v>
      </c>
      <c r="J1012" s="26">
        <f>SUM($I$4:I1012)</f>
        <v>86492931.920000032</v>
      </c>
      <c r="K1012" s="44">
        <f t="shared" si="15"/>
        <v>6.4699129300636808E-7</v>
      </c>
      <c r="L1012" s="22"/>
      <c r="M1012" s="22"/>
    </row>
    <row r="1013" spans="2:13" ht="12.75">
      <c r="B1013" s="21">
        <v>45187</v>
      </c>
      <c r="C1013" s="16"/>
      <c r="D1013" s="25" t="s">
        <v>285</v>
      </c>
      <c r="E1013" s="22"/>
      <c r="F1013" s="22"/>
      <c r="G1013" s="25"/>
      <c r="H1013" s="25"/>
      <c r="I1013" s="92">
        <v>108000</v>
      </c>
      <c r="J1013" s="26">
        <f>SUM($I$4:I1013)</f>
        <v>86600931.920000032</v>
      </c>
      <c r="K1013" s="44">
        <f t="shared" si="15"/>
        <v>1.397501192893755E-3</v>
      </c>
      <c r="L1013" s="22"/>
      <c r="M1013" s="22"/>
    </row>
    <row r="1014" spans="2:13" ht="12.75">
      <c r="B1014" s="21">
        <v>45187</v>
      </c>
      <c r="C1014" s="16"/>
      <c r="D1014" s="25" t="s">
        <v>264</v>
      </c>
      <c r="E1014" s="22"/>
      <c r="F1014" s="22"/>
      <c r="G1014" s="25"/>
      <c r="H1014" s="25"/>
      <c r="I1014" s="92">
        <v>50</v>
      </c>
      <c r="J1014" s="26">
        <f>SUM($I$4:I1014)</f>
        <v>86600981.920000032</v>
      </c>
      <c r="K1014" s="44">
        <f t="shared" si="15"/>
        <v>6.4699129300636808E-7</v>
      </c>
      <c r="L1014" s="22"/>
      <c r="M1014" s="22"/>
    </row>
    <row r="1015" spans="2:13" ht="12.75">
      <c r="B1015" s="21">
        <v>45187</v>
      </c>
      <c r="C1015" s="16"/>
      <c r="D1015" s="25" t="s">
        <v>264</v>
      </c>
      <c r="E1015" s="22"/>
      <c r="F1015" s="22"/>
      <c r="G1015" s="25"/>
      <c r="H1015" s="25"/>
      <c r="I1015" s="92">
        <v>3.75</v>
      </c>
      <c r="J1015" s="26">
        <f>SUM($I$4:I1015)</f>
        <v>86600985.670000032</v>
      </c>
      <c r="K1015" s="44">
        <f t="shared" si="15"/>
        <v>4.8524346975477608E-8</v>
      </c>
      <c r="L1015" s="22"/>
      <c r="M1015" s="22"/>
    </row>
    <row r="1016" spans="2:13" ht="12.75">
      <c r="B1016" s="21">
        <v>45187</v>
      </c>
      <c r="C1016" s="16"/>
      <c r="D1016" s="25" t="s">
        <v>318</v>
      </c>
      <c r="E1016" s="22"/>
      <c r="F1016" s="22"/>
      <c r="G1016" s="25"/>
      <c r="H1016" s="25"/>
      <c r="I1016" s="92">
        <v>10815</v>
      </c>
      <c r="J1016" s="26">
        <f>SUM($I$4:I1016)</f>
        <v>86611800.670000032</v>
      </c>
      <c r="K1016" s="44">
        <f t="shared" si="15"/>
        <v>1.3994421667727741E-4</v>
      </c>
      <c r="L1016" s="22"/>
      <c r="M1016" s="22"/>
    </row>
    <row r="1017" spans="2:13" ht="12.75">
      <c r="B1017" s="21">
        <v>45187</v>
      </c>
      <c r="C1017" s="16"/>
      <c r="D1017" s="25" t="s">
        <v>264</v>
      </c>
      <c r="E1017" s="22"/>
      <c r="F1017" s="22"/>
      <c r="G1017" s="25"/>
      <c r="H1017" s="25"/>
      <c r="I1017" s="92">
        <v>25</v>
      </c>
      <c r="J1017" s="26">
        <f>SUM($I$4:I1017)</f>
        <v>86611825.670000032</v>
      </c>
      <c r="K1017" s="44">
        <f t="shared" si="15"/>
        <v>3.2349564650318404E-7</v>
      </c>
      <c r="L1017" s="22"/>
      <c r="M1017" s="22"/>
    </row>
    <row r="1018" spans="2:13" ht="12.75">
      <c r="B1018" s="21">
        <v>45187</v>
      </c>
      <c r="C1018" s="16"/>
      <c r="D1018" s="25" t="s">
        <v>264</v>
      </c>
      <c r="E1018" s="22"/>
      <c r="F1018" s="22"/>
      <c r="G1018" s="25"/>
      <c r="H1018" s="25"/>
      <c r="I1018" s="92">
        <v>1.87</v>
      </c>
      <c r="J1018" s="26">
        <f>SUM($I$4:I1018)</f>
        <v>86611827.540000036</v>
      </c>
      <c r="K1018" s="44">
        <f t="shared" si="15"/>
        <v>2.4197474358438168E-8</v>
      </c>
      <c r="L1018" s="22"/>
      <c r="M1018" s="22"/>
    </row>
    <row r="1019" spans="2:13" ht="12.75">
      <c r="B1019" s="21">
        <v>45187</v>
      </c>
      <c r="C1019" s="16"/>
      <c r="D1019" s="25" t="s">
        <v>284</v>
      </c>
      <c r="E1019" s="22"/>
      <c r="F1019" s="22"/>
      <c r="G1019" s="25"/>
      <c r="H1019" s="25"/>
      <c r="I1019" s="92">
        <v>8500</v>
      </c>
      <c r="J1019" s="26">
        <f>SUM($I$4:I1019)</f>
        <v>86620327.540000036</v>
      </c>
      <c r="K1019" s="44">
        <f t="shared" si="15"/>
        <v>1.0998851981108257E-4</v>
      </c>
      <c r="L1019" s="22"/>
      <c r="M1019" s="22"/>
    </row>
    <row r="1020" spans="2:13" ht="12.75">
      <c r="B1020" s="21">
        <v>45187</v>
      </c>
      <c r="C1020" s="16"/>
      <c r="D1020" s="25" t="s">
        <v>264</v>
      </c>
      <c r="E1020" s="22"/>
      <c r="F1020" s="22"/>
      <c r="G1020" s="25"/>
      <c r="H1020" s="25"/>
      <c r="I1020" s="92">
        <v>25</v>
      </c>
      <c r="J1020" s="26">
        <f>SUM($I$4:I1020)</f>
        <v>86620352.540000036</v>
      </c>
      <c r="K1020" s="44">
        <f t="shared" si="15"/>
        <v>3.2349564650318404E-7</v>
      </c>
      <c r="L1020" s="22"/>
      <c r="M1020" s="22"/>
    </row>
    <row r="1021" spans="2:13" ht="12.75">
      <c r="B1021" s="21">
        <v>45187</v>
      </c>
      <c r="C1021" s="16"/>
      <c r="D1021" s="25" t="s">
        <v>264</v>
      </c>
      <c r="E1021" s="22"/>
      <c r="F1021" s="22"/>
      <c r="G1021" s="25"/>
      <c r="H1021" s="25"/>
      <c r="I1021" s="92">
        <v>1.87</v>
      </c>
      <c r="J1021" s="26">
        <f>SUM($I$4:I1021)</f>
        <v>86620354.410000041</v>
      </c>
      <c r="K1021" s="44">
        <f t="shared" si="15"/>
        <v>2.4197474358438168E-8</v>
      </c>
      <c r="L1021" s="22"/>
      <c r="M1021" s="22"/>
    </row>
    <row r="1022" spans="2:13" ht="12.75">
      <c r="B1022" s="21">
        <v>45187</v>
      </c>
      <c r="C1022" s="16"/>
      <c r="D1022" s="25" t="s">
        <v>296</v>
      </c>
      <c r="E1022" s="22"/>
      <c r="F1022" s="22"/>
      <c r="G1022" s="25"/>
      <c r="H1022" s="25"/>
      <c r="I1022" s="92">
        <v>314545</v>
      </c>
      <c r="J1022" s="26">
        <f>SUM($I$4:I1022)</f>
        <v>86934899.410000041</v>
      </c>
      <c r="K1022" s="44">
        <f t="shared" si="15"/>
        <v>4.0701575251737608E-3</v>
      </c>
      <c r="L1022" s="22"/>
      <c r="M1022" s="22"/>
    </row>
    <row r="1023" spans="2:13" ht="12.75">
      <c r="B1023" s="21">
        <v>45187</v>
      </c>
      <c r="C1023" s="16"/>
      <c r="D1023" s="25" t="s">
        <v>264</v>
      </c>
      <c r="E1023" s="22"/>
      <c r="F1023" s="22"/>
      <c r="G1023" s="25"/>
      <c r="H1023" s="25"/>
      <c r="I1023" s="92">
        <v>50</v>
      </c>
      <c r="J1023" s="26">
        <f>SUM($I$4:I1023)</f>
        <v>86934949.410000041</v>
      </c>
      <c r="K1023" s="44">
        <f t="shared" si="15"/>
        <v>6.4699129300636808E-7</v>
      </c>
      <c r="L1023" s="22"/>
      <c r="M1023" s="22"/>
    </row>
    <row r="1024" spans="2:13" ht="12.75">
      <c r="B1024" s="21">
        <v>45187</v>
      </c>
      <c r="C1024" s="16"/>
      <c r="D1024" s="25" t="s">
        <v>264</v>
      </c>
      <c r="E1024" s="22"/>
      <c r="F1024" s="22"/>
      <c r="G1024" s="25"/>
      <c r="H1024" s="25"/>
      <c r="I1024" s="92">
        <v>3.75</v>
      </c>
      <c r="J1024" s="26">
        <f>SUM($I$4:I1024)</f>
        <v>86934953.160000041</v>
      </c>
      <c r="K1024" s="44">
        <f t="shared" si="15"/>
        <v>4.8524346975477608E-8</v>
      </c>
      <c r="L1024" s="22"/>
      <c r="M1024" s="22"/>
    </row>
    <row r="1025" spans="2:13" ht="12.75">
      <c r="B1025" s="21">
        <v>45190</v>
      </c>
      <c r="C1025" s="16"/>
      <c r="D1025" s="25" t="s">
        <v>275</v>
      </c>
      <c r="E1025" s="22"/>
      <c r="F1025" s="22"/>
      <c r="G1025" s="25"/>
      <c r="H1025" s="25"/>
      <c r="I1025" s="92">
        <v>1000</v>
      </c>
      <c r="J1025" s="26">
        <f>SUM($I$4:I1025)</f>
        <v>86935953.160000041</v>
      </c>
      <c r="K1025" s="44">
        <f t="shared" si="15"/>
        <v>1.2939825860127361E-5</v>
      </c>
      <c r="L1025" s="22"/>
      <c r="M1025" s="22"/>
    </row>
    <row r="1026" spans="2:13" ht="12.75">
      <c r="B1026" s="21">
        <v>45190</v>
      </c>
      <c r="C1026" s="16"/>
      <c r="D1026" s="25" t="s">
        <v>264</v>
      </c>
      <c r="E1026" s="22"/>
      <c r="F1026" s="22"/>
      <c r="G1026" s="25"/>
      <c r="H1026" s="25"/>
      <c r="I1026" s="92">
        <v>10</v>
      </c>
      <c r="J1026" s="26">
        <f>SUM($I$4:I1026)</f>
        <v>86935963.160000041</v>
      </c>
      <c r="K1026" s="44">
        <f t="shared" si="15"/>
        <v>1.293982586012736E-7</v>
      </c>
      <c r="L1026" s="22"/>
      <c r="M1026" s="22"/>
    </row>
    <row r="1027" spans="2:13" ht="12.75">
      <c r="B1027" s="21">
        <v>45190</v>
      </c>
      <c r="C1027" s="16"/>
      <c r="D1027" s="25" t="s">
        <v>264</v>
      </c>
      <c r="E1027" s="22"/>
      <c r="F1027" s="22"/>
      <c r="G1027" s="25"/>
      <c r="H1027" s="25"/>
      <c r="I1027" s="92">
        <v>0.75</v>
      </c>
      <c r="J1027" s="26">
        <f>SUM($I$4:I1027)</f>
        <v>86935963.910000041</v>
      </c>
      <c r="K1027" s="44">
        <f t="shared" si="15"/>
        <v>9.7048693950955217E-9</v>
      </c>
      <c r="L1027" s="22"/>
      <c r="M1027" s="22"/>
    </row>
    <row r="1028" spans="2:13" ht="12.75">
      <c r="B1028" s="21">
        <v>45190</v>
      </c>
      <c r="C1028" s="16"/>
      <c r="D1028" s="25" t="s">
        <v>275</v>
      </c>
      <c r="E1028" s="22"/>
      <c r="F1028" s="22"/>
      <c r="G1028" s="25"/>
      <c r="H1028" s="25"/>
      <c r="I1028" s="92">
        <v>500</v>
      </c>
      <c r="J1028" s="26">
        <f>SUM($I$4:I1028)</f>
        <v>86936463.910000041</v>
      </c>
      <c r="K1028" s="44">
        <f t="shared" si="15"/>
        <v>6.4699129300636806E-6</v>
      </c>
      <c r="L1028" s="22"/>
      <c r="M1028" s="22"/>
    </row>
    <row r="1029" spans="2:13" ht="12.75">
      <c r="B1029" s="21">
        <v>45190</v>
      </c>
      <c r="C1029" s="16"/>
      <c r="D1029" s="25" t="s">
        <v>275</v>
      </c>
      <c r="E1029" s="22"/>
      <c r="F1029" s="22"/>
      <c r="G1029" s="25"/>
      <c r="H1029" s="25"/>
      <c r="I1029" s="92">
        <v>500</v>
      </c>
      <c r="J1029" s="26">
        <f>SUM($I$4:I1029)</f>
        <v>86936963.910000041</v>
      </c>
      <c r="K1029" s="44">
        <f t="shared" ref="K1029:K1092" si="16">IF(SUM($I$4:$I$830)=0,"",I1029/SUM($I$4:$I$830))</f>
        <v>6.4699129300636806E-6</v>
      </c>
      <c r="L1029" s="22"/>
      <c r="M1029" s="22"/>
    </row>
    <row r="1030" spans="2:13" ht="12.75">
      <c r="B1030" s="21">
        <v>45190</v>
      </c>
      <c r="C1030" s="16"/>
      <c r="D1030" s="25" t="s">
        <v>286</v>
      </c>
      <c r="E1030" s="22"/>
      <c r="F1030" s="22"/>
      <c r="G1030" s="25"/>
      <c r="H1030" s="25"/>
      <c r="I1030" s="92">
        <v>24300</v>
      </c>
      <c r="J1030" s="26">
        <f>SUM($I$4:I1030)</f>
        <v>86961263.910000041</v>
      </c>
      <c r="K1030" s="44">
        <f t="shared" si="16"/>
        <v>3.1443776840109491E-4</v>
      </c>
      <c r="L1030" s="22"/>
      <c r="M1030" s="22"/>
    </row>
    <row r="1031" spans="2:13" ht="12.75">
      <c r="B1031" s="21">
        <v>45190</v>
      </c>
      <c r="C1031" s="16"/>
      <c r="D1031" s="25" t="s">
        <v>264</v>
      </c>
      <c r="E1031" s="22"/>
      <c r="F1031" s="22"/>
      <c r="G1031" s="25"/>
      <c r="H1031" s="25"/>
      <c r="I1031" s="92">
        <v>25</v>
      </c>
      <c r="J1031" s="26">
        <f>SUM($I$4:I1031)</f>
        <v>86961288.910000041</v>
      </c>
      <c r="K1031" s="44">
        <f t="shared" si="16"/>
        <v>3.2349564650318404E-7</v>
      </c>
      <c r="L1031" s="22"/>
      <c r="M1031" s="22"/>
    </row>
    <row r="1032" spans="2:13" ht="12.75">
      <c r="B1032" s="21">
        <v>45190</v>
      </c>
      <c r="C1032" s="16"/>
      <c r="D1032" s="25" t="s">
        <v>264</v>
      </c>
      <c r="E1032" s="22"/>
      <c r="F1032" s="22"/>
      <c r="G1032" s="25"/>
      <c r="H1032" s="25"/>
      <c r="I1032" s="92">
        <v>1.87</v>
      </c>
      <c r="J1032" s="26">
        <f>SUM($I$4:I1032)</f>
        <v>86961290.780000046</v>
      </c>
      <c r="K1032" s="44">
        <f t="shared" si="16"/>
        <v>2.4197474358438168E-8</v>
      </c>
      <c r="L1032" s="22"/>
      <c r="M1032" s="22"/>
    </row>
    <row r="1033" spans="2:13" ht="12.75">
      <c r="B1033" s="21">
        <v>45190</v>
      </c>
      <c r="C1033" s="16"/>
      <c r="D1033" s="25" t="s">
        <v>283</v>
      </c>
      <c r="E1033" s="22"/>
      <c r="F1033" s="22"/>
      <c r="G1033" s="25"/>
      <c r="H1033" s="25"/>
      <c r="I1033" s="92">
        <v>8000</v>
      </c>
      <c r="J1033" s="26">
        <f>SUM($I$4:I1033)</f>
        <v>86969290.780000046</v>
      </c>
      <c r="K1033" s="44">
        <f t="shared" si="16"/>
        <v>1.0351860688101889E-4</v>
      </c>
      <c r="L1033" s="22"/>
      <c r="M1033" s="22"/>
    </row>
    <row r="1034" spans="2:13" ht="12.75">
      <c r="B1034" s="21">
        <v>45190</v>
      </c>
      <c r="C1034" s="16"/>
      <c r="D1034" s="25" t="s">
        <v>264</v>
      </c>
      <c r="E1034" s="22"/>
      <c r="F1034" s="22"/>
      <c r="G1034" s="25"/>
      <c r="H1034" s="25"/>
      <c r="I1034" s="92">
        <v>100</v>
      </c>
      <c r="J1034" s="26">
        <f>SUM($I$4:I1034)</f>
        <v>86969390.780000046</v>
      </c>
      <c r="K1034" s="44">
        <f t="shared" si="16"/>
        <v>1.2939825860127362E-6</v>
      </c>
      <c r="L1034" s="22"/>
      <c r="M1034" s="22"/>
    </row>
    <row r="1035" spans="2:13" ht="12.75">
      <c r="B1035" s="21">
        <v>45199</v>
      </c>
      <c r="C1035" s="16"/>
      <c r="D1035" s="25" t="s">
        <v>264</v>
      </c>
      <c r="E1035" s="22"/>
      <c r="F1035" s="22"/>
      <c r="G1035" s="25"/>
      <c r="H1035" s="25"/>
      <c r="I1035" s="92">
        <v>5952.15</v>
      </c>
      <c r="J1035" s="26">
        <f>SUM($I$4:I1035)</f>
        <v>86975342.930000052</v>
      </c>
      <c r="K1035" s="44">
        <f t="shared" si="16"/>
        <v>7.7019784493357065E-5</v>
      </c>
      <c r="L1035" s="22"/>
      <c r="M1035" s="22"/>
    </row>
    <row r="1036" spans="2:13" ht="12.75">
      <c r="B1036" s="21">
        <v>45199</v>
      </c>
      <c r="C1036" s="16"/>
      <c r="D1036" s="25" t="s">
        <v>264</v>
      </c>
      <c r="E1036" s="22"/>
      <c r="F1036" s="22"/>
      <c r="G1036" s="25"/>
      <c r="H1036" s="25"/>
      <c r="I1036" s="92">
        <v>446.41</v>
      </c>
      <c r="J1036" s="26">
        <f>SUM($I$4:I1036)</f>
        <v>86975789.340000048</v>
      </c>
      <c r="K1036" s="44">
        <f t="shared" si="16"/>
        <v>5.7764676622194555E-6</v>
      </c>
      <c r="L1036" s="22"/>
      <c r="M1036" s="22"/>
    </row>
    <row r="1037" spans="2:13" ht="12.75">
      <c r="B1037" s="21">
        <v>45200</v>
      </c>
      <c r="C1037" s="16"/>
      <c r="D1037" s="25" t="s">
        <v>264</v>
      </c>
      <c r="E1037" s="22"/>
      <c r="F1037" s="22"/>
      <c r="G1037" s="25"/>
      <c r="H1037" s="25"/>
      <c r="I1037" s="92">
        <v>592</v>
      </c>
      <c r="J1037" s="26">
        <f>SUM($I$4:I1037)</f>
        <v>86976381.340000048</v>
      </c>
      <c r="K1037" s="44">
        <f t="shared" si="16"/>
        <v>7.6603769091953973E-6</v>
      </c>
      <c r="L1037" s="22"/>
      <c r="M1037" s="22"/>
    </row>
    <row r="1038" spans="2:13" ht="12.75">
      <c r="B1038" s="21">
        <v>45200</v>
      </c>
      <c r="C1038" s="16"/>
      <c r="D1038" s="25" t="s">
        <v>264</v>
      </c>
      <c r="E1038" s="22"/>
      <c r="F1038" s="22"/>
      <c r="G1038" s="25"/>
      <c r="H1038" s="25"/>
      <c r="I1038" s="92">
        <v>44.4</v>
      </c>
      <c r="J1038" s="26">
        <f>SUM($I$4:I1038)</f>
        <v>86976425.740000054</v>
      </c>
      <c r="K1038" s="44">
        <f t="shared" si="16"/>
        <v>5.7452826818965482E-7</v>
      </c>
      <c r="L1038" s="22"/>
      <c r="M1038" s="22"/>
    </row>
    <row r="1039" spans="2:13" ht="12.75">
      <c r="B1039" s="21">
        <v>45200</v>
      </c>
      <c r="C1039" s="16"/>
      <c r="D1039" s="25" t="s">
        <v>271</v>
      </c>
      <c r="E1039" s="22"/>
      <c r="F1039" s="22"/>
      <c r="G1039" s="25"/>
      <c r="H1039" s="25"/>
      <c r="I1039" s="92">
        <v>393137</v>
      </c>
      <c r="J1039" s="26">
        <f>SUM($I$4:I1039)</f>
        <v>87369562.740000054</v>
      </c>
      <c r="K1039" s="44">
        <f t="shared" si="16"/>
        <v>5.0871243191728905E-3</v>
      </c>
      <c r="L1039" s="22"/>
      <c r="M1039" s="22"/>
    </row>
    <row r="1040" spans="2:13" ht="12.75">
      <c r="B1040" s="21">
        <v>45200</v>
      </c>
      <c r="C1040" s="16"/>
      <c r="D1040" s="25" t="s">
        <v>271</v>
      </c>
      <c r="E1040" s="22"/>
      <c r="F1040" s="22"/>
      <c r="G1040" s="25"/>
      <c r="H1040" s="25"/>
      <c r="I1040" s="92">
        <v>144479.15</v>
      </c>
      <c r="J1040" s="26">
        <f>SUM($I$4:I1040)</f>
        <v>87514041.89000006</v>
      </c>
      <c r="K1040" s="44">
        <f t="shared" si="16"/>
        <v>1.8695350414192199E-3</v>
      </c>
      <c r="L1040" s="22"/>
      <c r="M1040" s="22"/>
    </row>
    <row r="1041" spans="2:13" ht="12.75">
      <c r="B1041" s="21">
        <v>45200</v>
      </c>
      <c r="C1041" s="16"/>
      <c r="D1041" s="25" t="s">
        <v>271</v>
      </c>
      <c r="E1041" s="22"/>
      <c r="F1041" s="22"/>
      <c r="G1041" s="25"/>
      <c r="H1041" s="25"/>
      <c r="I1041" s="92">
        <v>228207.66</v>
      </c>
      <c r="J1041" s="26">
        <f>SUM($I$4:I1041)</f>
        <v>87742249.550000057</v>
      </c>
      <c r="K1041" s="44">
        <f t="shared" si="16"/>
        <v>2.9529673803471526E-3</v>
      </c>
      <c r="L1041" s="22"/>
      <c r="M1041" s="22"/>
    </row>
    <row r="1042" spans="2:13" ht="12.75">
      <c r="B1042" s="21">
        <v>45200</v>
      </c>
      <c r="C1042" s="16"/>
      <c r="D1042" s="25" t="s">
        <v>271</v>
      </c>
      <c r="E1042" s="22"/>
      <c r="F1042" s="22"/>
      <c r="G1042" s="25"/>
      <c r="H1042" s="25"/>
      <c r="I1042" s="92">
        <v>102815.62</v>
      </c>
      <c r="J1042" s="26">
        <f>SUM($I$4:I1042)</f>
        <v>87845065.170000061</v>
      </c>
      <c r="K1042" s="44">
        <f t="shared" si="16"/>
        <v>1.3304162185010279E-3</v>
      </c>
      <c r="L1042" s="22"/>
      <c r="M1042" s="22"/>
    </row>
    <row r="1043" spans="2:13" ht="12.75">
      <c r="B1043" s="21">
        <v>45200</v>
      </c>
      <c r="C1043" s="16"/>
      <c r="D1043" s="25" t="s">
        <v>271</v>
      </c>
      <c r="E1043" s="22"/>
      <c r="F1043" s="22"/>
      <c r="G1043" s="25"/>
      <c r="H1043" s="25"/>
      <c r="I1043" s="92">
        <v>24353.66</v>
      </c>
      <c r="J1043" s="26">
        <f>SUM($I$4:I1043)</f>
        <v>87869418.830000058</v>
      </c>
      <c r="K1043" s="44">
        <f t="shared" si="16"/>
        <v>3.1513211945674932E-4</v>
      </c>
      <c r="L1043" s="22"/>
      <c r="M1043" s="22"/>
    </row>
    <row r="1044" spans="2:13" ht="12.75">
      <c r="B1044" s="21">
        <v>45200</v>
      </c>
      <c r="C1044" s="16"/>
      <c r="D1044" s="25" t="s">
        <v>271</v>
      </c>
      <c r="E1044" s="22"/>
      <c r="F1044" s="22"/>
      <c r="G1044" s="25"/>
      <c r="H1044" s="25"/>
      <c r="I1044" s="92">
        <v>96378.23</v>
      </c>
      <c r="J1044" s="26">
        <f>SUM($I$4:I1044)</f>
        <v>87965797.060000062</v>
      </c>
      <c r="K1044" s="44">
        <f t="shared" si="16"/>
        <v>1.2471175129073026E-3</v>
      </c>
      <c r="L1044" s="22"/>
      <c r="M1044" s="22"/>
    </row>
    <row r="1045" spans="2:13" ht="12.75">
      <c r="B1045" s="21">
        <v>45200</v>
      </c>
      <c r="C1045" s="16"/>
      <c r="D1045" s="25" t="s">
        <v>264</v>
      </c>
      <c r="E1045" s="22"/>
      <c r="F1045" s="22"/>
      <c r="G1045" s="25"/>
      <c r="H1045" s="25"/>
      <c r="I1045" s="92">
        <v>50</v>
      </c>
      <c r="J1045" s="26">
        <f>SUM($I$4:I1045)</f>
        <v>87965847.060000062</v>
      </c>
      <c r="K1045" s="44">
        <f t="shared" si="16"/>
        <v>6.4699129300636808E-7</v>
      </c>
      <c r="L1045" s="22"/>
      <c r="M1045" s="22"/>
    </row>
    <row r="1046" spans="2:13" ht="12.75">
      <c r="B1046" s="21">
        <v>45200</v>
      </c>
      <c r="C1046" s="16"/>
      <c r="D1046" s="25" t="s">
        <v>264</v>
      </c>
      <c r="E1046" s="22"/>
      <c r="F1046" s="22"/>
      <c r="G1046" s="25"/>
      <c r="H1046" s="25"/>
      <c r="I1046" s="92">
        <v>3.75</v>
      </c>
      <c r="J1046" s="26">
        <f>SUM($I$4:I1046)</f>
        <v>87965850.810000062</v>
      </c>
      <c r="K1046" s="44">
        <f t="shared" si="16"/>
        <v>4.8524346975477608E-8</v>
      </c>
      <c r="L1046" s="22"/>
      <c r="M1046" s="22"/>
    </row>
    <row r="1047" spans="2:13" ht="12.75">
      <c r="B1047" s="21">
        <v>45200</v>
      </c>
      <c r="C1047" s="16"/>
      <c r="D1047" s="25" t="s">
        <v>271</v>
      </c>
      <c r="E1047" s="22"/>
      <c r="F1047" s="22"/>
      <c r="G1047" s="25"/>
      <c r="H1047" s="25"/>
      <c r="I1047" s="92">
        <v>80353.66</v>
      </c>
      <c r="J1047" s="26">
        <f>SUM($I$4:I1047)</f>
        <v>88046204.470000058</v>
      </c>
      <c r="K1047" s="44">
        <f t="shared" si="16"/>
        <v>1.0397623676238817E-3</v>
      </c>
      <c r="L1047" s="22"/>
      <c r="M1047" s="22"/>
    </row>
    <row r="1048" spans="2:13" ht="12.75">
      <c r="B1048" s="21">
        <v>45200</v>
      </c>
      <c r="C1048" s="16"/>
      <c r="D1048" s="25" t="s">
        <v>264</v>
      </c>
      <c r="E1048" s="22"/>
      <c r="F1048" s="22"/>
      <c r="G1048" s="25"/>
      <c r="H1048" s="25"/>
      <c r="I1048" s="92">
        <v>50</v>
      </c>
      <c r="J1048" s="26">
        <f>SUM($I$4:I1048)</f>
        <v>88046254.470000058</v>
      </c>
      <c r="K1048" s="44">
        <f t="shared" si="16"/>
        <v>6.4699129300636808E-7</v>
      </c>
      <c r="L1048" s="22"/>
      <c r="M1048" s="22"/>
    </row>
    <row r="1049" spans="2:13" ht="12.75">
      <c r="B1049" s="21">
        <v>45200</v>
      </c>
      <c r="C1049" s="16"/>
      <c r="D1049" s="25" t="s">
        <v>264</v>
      </c>
      <c r="E1049" s="22"/>
      <c r="F1049" s="22"/>
      <c r="G1049" s="25"/>
      <c r="H1049" s="25"/>
      <c r="I1049" s="92">
        <v>3.75</v>
      </c>
      <c r="J1049" s="26">
        <f>SUM($I$4:I1049)</f>
        <v>88046258.220000058</v>
      </c>
      <c r="K1049" s="44">
        <f t="shared" si="16"/>
        <v>4.8524346975477608E-8</v>
      </c>
      <c r="L1049" s="22"/>
      <c r="M1049" s="22"/>
    </row>
    <row r="1050" spans="2:13" ht="12.75">
      <c r="B1050" s="21">
        <v>45200</v>
      </c>
      <c r="C1050" s="16"/>
      <c r="D1050" s="25" t="s">
        <v>271</v>
      </c>
      <c r="E1050" s="22"/>
      <c r="F1050" s="22"/>
      <c r="G1050" s="25"/>
      <c r="H1050" s="25"/>
      <c r="I1050" s="92">
        <v>168523.14</v>
      </c>
      <c r="J1050" s="26">
        <f>SUM($I$4:I1050)</f>
        <v>88214781.360000059</v>
      </c>
      <c r="K1050" s="44">
        <f t="shared" si="16"/>
        <v>2.1806600850018641E-3</v>
      </c>
      <c r="L1050" s="22"/>
      <c r="M1050" s="22"/>
    </row>
    <row r="1051" spans="2:13" ht="12.75">
      <c r="B1051" s="21">
        <v>45200</v>
      </c>
      <c r="C1051" s="16"/>
      <c r="D1051" s="25" t="s">
        <v>264</v>
      </c>
      <c r="E1051" s="22"/>
      <c r="F1051" s="22"/>
      <c r="G1051" s="25"/>
      <c r="H1051" s="25"/>
      <c r="I1051" s="92">
        <v>120</v>
      </c>
      <c r="J1051" s="26">
        <f>SUM($I$4:I1051)</f>
        <v>88214901.360000059</v>
      </c>
      <c r="K1051" s="44">
        <f t="shared" si="16"/>
        <v>1.5527791032152835E-6</v>
      </c>
      <c r="L1051" s="22"/>
      <c r="M1051" s="22"/>
    </row>
    <row r="1052" spans="2:13" ht="12.75">
      <c r="B1052" s="21">
        <v>45200</v>
      </c>
      <c r="C1052" s="16"/>
      <c r="D1052" s="25" t="s">
        <v>264</v>
      </c>
      <c r="E1052" s="22"/>
      <c r="F1052" s="22"/>
      <c r="G1052" s="25"/>
      <c r="H1052" s="25"/>
      <c r="I1052" s="92">
        <v>9</v>
      </c>
      <c r="J1052" s="26">
        <f>SUM($I$4:I1052)</f>
        <v>88214910.360000059</v>
      </c>
      <c r="K1052" s="44">
        <f t="shared" si="16"/>
        <v>1.1645843274114626E-7</v>
      </c>
      <c r="L1052" s="22"/>
      <c r="M1052" s="22"/>
    </row>
    <row r="1053" spans="2:13" ht="12.75">
      <c r="B1053" s="21">
        <v>45200</v>
      </c>
      <c r="C1053" s="16"/>
      <c r="D1053" s="25" t="s">
        <v>271</v>
      </c>
      <c r="E1053" s="22"/>
      <c r="F1053" s="22"/>
      <c r="G1053" s="25"/>
      <c r="H1053" s="25"/>
      <c r="I1053" s="92">
        <v>30000</v>
      </c>
      <c r="J1053" s="26">
        <f>SUM($I$4:I1053)</f>
        <v>88244910.360000059</v>
      </c>
      <c r="K1053" s="44">
        <f t="shared" si="16"/>
        <v>3.8819477580382083E-4</v>
      </c>
      <c r="L1053" s="22"/>
      <c r="M1053" s="22"/>
    </row>
    <row r="1054" spans="2:13" ht="12.75">
      <c r="B1054" s="21">
        <v>45200</v>
      </c>
      <c r="C1054" s="16"/>
      <c r="D1054" s="25" t="s">
        <v>264</v>
      </c>
      <c r="E1054" s="22"/>
      <c r="F1054" s="22"/>
      <c r="G1054" s="25"/>
      <c r="H1054" s="25"/>
      <c r="I1054" s="92">
        <v>25</v>
      </c>
      <c r="J1054" s="26">
        <f>SUM($I$4:I1054)</f>
        <v>88244935.360000059</v>
      </c>
      <c r="K1054" s="44">
        <f t="shared" si="16"/>
        <v>3.2349564650318404E-7</v>
      </c>
      <c r="L1054" s="22"/>
      <c r="M1054" s="22"/>
    </row>
    <row r="1055" spans="2:13" ht="12.75">
      <c r="B1055" s="21">
        <v>45200</v>
      </c>
      <c r="C1055" s="16"/>
      <c r="D1055" s="25" t="s">
        <v>264</v>
      </c>
      <c r="E1055" s="22"/>
      <c r="F1055" s="22"/>
      <c r="G1055" s="25"/>
      <c r="H1055" s="25"/>
      <c r="I1055" s="92">
        <v>1.87</v>
      </c>
      <c r="J1055" s="26">
        <f>SUM($I$4:I1055)</f>
        <v>88244937.230000064</v>
      </c>
      <c r="K1055" s="44">
        <f t="shared" si="16"/>
        <v>2.4197474358438168E-8</v>
      </c>
      <c r="L1055" s="22"/>
      <c r="M1055" s="22"/>
    </row>
    <row r="1056" spans="2:13" ht="12.75">
      <c r="B1056" s="21">
        <v>45200</v>
      </c>
      <c r="C1056" s="16"/>
      <c r="D1056" s="25" t="s">
        <v>271</v>
      </c>
      <c r="E1056" s="22"/>
      <c r="F1056" s="22"/>
      <c r="G1056" s="25"/>
      <c r="H1056" s="25"/>
      <c r="I1056" s="92">
        <v>60000</v>
      </c>
      <c r="J1056" s="26">
        <f>SUM($I$4:I1056)</f>
        <v>88304937.230000064</v>
      </c>
      <c r="K1056" s="44">
        <f t="shared" si="16"/>
        <v>7.7638955160764167E-4</v>
      </c>
      <c r="L1056" s="22"/>
      <c r="M1056" s="22"/>
    </row>
    <row r="1057" spans="2:13" ht="12.75">
      <c r="B1057" s="21">
        <v>45200</v>
      </c>
      <c r="C1057" s="16"/>
      <c r="D1057" s="25" t="s">
        <v>264</v>
      </c>
      <c r="E1057" s="22"/>
      <c r="F1057" s="22"/>
      <c r="G1057" s="25"/>
      <c r="H1057" s="25"/>
      <c r="I1057" s="92">
        <v>50</v>
      </c>
      <c r="J1057" s="26">
        <f>SUM($I$4:I1057)</f>
        <v>88304987.230000064</v>
      </c>
      <c r="K1057" s="44">
        <f t="shared" si="16"/>
        <v>6.4699129300636808E-7</v>
      </c>
      <c r="L1057" s="22"/>
      <c r="M1057" s="22"/>
    </row>
    <row r="1058" spans="2:13" ht="12.75">
      <c r="B1058" s="21">
        <v>45200</v>
      </c>
      <c r="C1058" s="16"/>
      <c r="D1058" s="25" t="s">
        <v>264</v>
      </c>
      <c r="E1058" s="22"/>
      <c r="F1058" s="22"/>
      <c r="G1058" s="25"/>
      <c r="H1058" s="25"/>
      <c r="I1058" s="92">
        <v>3.75</v>
      </c>
      <c r="J1058" s="26">
        <f>SUM($I$4:I1058)</f>
        <v>88304990.980000064</v>
      </c>
      <c r="K1058" s="44">
        <f t="shared" si="16"/>
        <v>4.8524346975477608E-8</v>
      </c>
      <c r="L1058" s="22"/>
      <c r="M1058" s="22"/>
    </row>
    <row r="1059" spans="2:13" ht="12.75">
      <c r="B1059" s="21">
        <v>45200</v>
      </c>
      <c r="C1059" s="16"/>
      <c r="D1059" s="25" t="s">
        <v>271</v>
      </c>
      <c r="E1059" s="22"/>
      <c r="F1059" s="22"/>
      <c r="G1059" s="25"/>
      <c r="H1059" s="25"/>
      <c r="I1059" s="92">
        <v>152000</v>
      </c>
      <c r="J1059" s="26">
        <f>SUM($I$4:I1059)</f>
        <v>88456990.980000064</v>
      </c>
      <c r="K1059" s="44">
        <f t="shared" si="16"/>
        <v>1.9668535307393589E-3</v>
      </c>
      <c r="L1059" s="22"/>
      <c r="M1059" s="22"/>
    </row>
    <row r="1060" spans="2:13" ht="12.75">
      <c r="B1060" s="21">
        <v>45200</v>
      </c>
      <c r="C1060" s="16"/>
      <c r="D1060" s="25" t="s">
        <v>264</v>
      </c>
      <c r="E1060" s="22"/>
      <c r="F1060" s="22"/>
      <c r="G1060" s="25"/>
      <c r="H1060" s="25"/>
      <c r="I1060" s="92">
        <v>50</v>
      </c>
      <c r="J1060" s="26">
        <f>SUM($I$4:I1060)</f>
        <v>88457040.980000064</v>
      </c>
      <c r="K1060" s="44">
        <f t="shared" si="16"/>
        <v>6.4699129300636808E-7</v>
      </c>
      <c r="L1060" s="22"/>
      <c r="M1060" s="22"/>
    </row>
    <row r="1061" spans="2:13" ht="12.75">
      <c r="B1061" s="21">
        <v>45200</v>
      </c>
      <c r="C1061" s="16"/>
      <c r="D1061" s="25" t="s">
        <v>264</v>
      </c>
      <c r="E1061" s="22"/>
      <c r="F1061" s="22"/>
      <c r="G1061" s="25"/>
      <c r="H1061" s="25"/>
      <c r="I1061" s="92">
        <v>3.75</v>
      </c>
      <c r="J1061" s="26">
        <f>SUM($I$4:I1061)</f>
        <v>88457044.730000064</v>
      </c>
      <c r="K1061" s="44">
        <f t="shared" si="16"/>
        <v>4.8524346975477608E-8</v>
      </c>
      <c r="L1061" s="22"/>
      <c r="M1061" s="22"/>
    </row>
    <row r="1062" spans="2:13" ht="12.75">
      <c r="B1062" s="21">
        <v>45200</v>
      </c>
      <c r="C1062" s="16"/>
      <c r="D1062" s="25" t="s">
        <v>280</v>
      </c>
      <c r="E1062" s="22"/>
      <c r="F1062" s="22"/>
      <c r="G1062" s="25"/>
      <c r="H1062" s="25"/>
      <c r="I1062" s="92">
        <v>20000</v>
      </c>
      <c r="J1062" s="26">
        <f>SUM($I$4:I1062)</f>
        <v>88477044.730000064</v>
      </c>
      <c r="K1062" s="44">
        <f t="shared" si="16"/>
        <v>2.5879651720254722E-4</v>
      </c>
      <c r="L1062" s="22"/>
      <c r="M1062" s="22"/>
    </row>
    <row r="1063" spans="2:13" ht="12.75">
      <c r="B1063" s="21">
        <v>45200</v>
      </c>
      <c r="C1063" s="16"/>
      <c r="D1063" s="25" t="s">
        <v>280</v>
      </c>
      <c r="E1063" s="22"/>
      <c r="F1063" s="22"/>
      <c r="G1063" s="25"/>
      <c r="H1063" s="25"/>
      <c r="I1063" s="92">
        <v>20000</v>
      </c>
      <c r="J1063" s="26">
        <f>SUM($I$4:I1063)</f>
        <v>88497044.730000064</v>
      </c>
      <c r="K1063" s="44">
        <f t="shared" si="16"/>
        <v>2.5879651720254722E-4</v>
      </c>
      <c r="L1063" s="22"/>
      <c r="M1063" s="22"/>
    </row>
    <row r="1064" spans="2:13" ht="12.75">
      <c r="B1064" s="21">
        <v>45200</v>
      </c>
      <c r="C1064" s="16"/>
      <c r="D1064" s="25" t="s">
        <v>264</v>
      </c>
      <c r="E1064" s="22"/>
      <c r="F1064" s="22"/>
      <c r="G1064" s="25"/>
      <c r="H1064" s="25"/>
      <c r="I1064" s="92">
        <v>25</v>
      </c>
      <c r="J1064" s="26">
        <f>SUM($I$4:I1064)</f>
        <v>88497069.730000064</v>
      </c>
      <c r="K1064" s="44">
        <f t="shared" si="16"/>
        <v>3.2349564650318404E-7</v>
      </c>
      <c r="L1064" s="22"/>
      <c r="M1064" s="22"/>
    </row>
    <row r="1065" spans="2:13" ht="12.75">
      <c r="B1065" s="21">
        <v>45200</v>
      </c>
      <c r="C1065" s="16"/>
      <c r="D1065" s="25" t="s">
        <v>264</v>
      </c>
      <c r="E1065" s="22"/>
      <c r="F1065" s="22"/>
      <c r="G1065" s="25"/>
      <c r="H1065" s="25"/>
      <c r="I1065" s="92">
        <v>1.87</v>
      </c>
      <c r="J1065" s="26">
        <f>SUM($I$4:I1065)</f>
        <v>88497071.600000069</v>
      </c>
      <c r="K1065" s="44">
        <f t="shared" si="16"/>
        <v>2.4197474358438168E-8</v>
      </c>
      <c r="L1065" s="22"/>
      <c r="M1065" s="22"/>
    </row>
    <row r="1066" spans="2:13" ht="12.75">
      <c r="B1066" s="21">
        <v>45200</v>
      </c>
      <c r="C1066" s="16"/>
      <c r="D1066" s="25" t="s">
        <v>280</v>
      </c>
      <c r="E1066" s="22"/>
      <c r="F1066" s="22"/>
      <c r="G1066" s="25"/>
      <c r="H1066" s="25"/>
      <c r="I1066" s="92">
        <v>20000</v>
      </c>
      <c r="J1066" s="26">
        <f>SUM($I$4:I1066)</f>
        <v>88517071.600000069</v>
      </c>
      <c r="K1066" s="44">
        <f t="shared" si="16"/>
        <v>2.5879651720254722E-4</v>
      </c>
      <c r="L1066" s="22"/>
      <c r="M1066" s="22"/>
    </row>
    <row r="1067" spans="2:13" ht="12.75">
      <c r="B1067" s="21">
        <v>45200</v>
      </c>
      <c r="C1067" s="16"/>
      <c r="D1067" s="25" t="s">
        <v>264</v>
      </c>
      <c r="E1067" s="22"/>
      <c r="F1067" s="22"/>
      <c r="G1067" s="25"/>
      <c r="H1067" s="25"/>
      <c r="I1067" s="92">
        <v>25</v>
      </c>
      <c r="J1067" s="26">
        <f>SUM($I$4:I1067)</f>
        <v>88517096.600000069</v>
      </c>
      <c r="K1067" s="44">
        <f t="shared" si="16"/>
        <v>3.2349564650318404E-7</v>
      </c>
      <c r="L1067" s="22"/>
      <c r="M1067" s="22"/>
    </row>
    <row r="1068" spans="2:13" ht="12.75">
      <c r="B1068" s="21">
        <v>45200</v>
      </c>
      <c r="C1068" s="16"/>
      <c r="D1068" s="25" t="s">
        <v>264</v>
      </c>
      <c r="E1068" s="22"/>
      <c r="F1068" s="22"/>
      <c r="G1068" s="25"/>
      <c r="H1068" s="25"/>
      <c r="I1068" s="92">
        <v>1.87</v>
      </c>
      <c r="J1068" s="26">
        <f>SUM($I$4:I1068)</f>
        <v>88517098.470000073</v>
      </c>
      <c r="K1068" s="44">
        <f t="shared" si="16"/>
        <v>2.4197474358438168E-8</v>
      </c>
      <c r="L1068" s="22"/>
      <c r="M1068" s="22"/>
    </row>
    <row r="1069" spans="2:13" ht="12.75">
      <c r="B1069" s="21">
        <v>45200</v>
      </c>
      <c r="C1069" s="16"/>
      <c r="D1069" s="25" t="s">
        <v>280</v>
      </c>
      <c r="E1069" s="22"/>
      <c r="F1069" s="22"/>
      <c r="G1069" s="25"/>
      <c r="H1069" s="25"/>
      <c r="I1069" s="92">
        <v>20000</v>
      </c>
      <c r="J1069" s="26">
        <f>SUM($I$4:I1069)</f>
        <v>88537098.470000073</v>
      </c>
      <c r="K1069" s="44">
        <f t="shared" si="16"/>
        <v>2.5879651720254722E-4</v>
      </c>
      <c r="L1069" s="22"/>
      <c r="M1069" s="22"/>
    </row>
    <row r="1070" spans="2:13" ht="12.75">
      <c r="B1070" s="21">
        <v>45200</v>
      </c>
      <c r="C1070" s="16"/>
      <c r="D1070" s="25" t="s">
        <v>280</v>
      </c>
      <c r="E1070" s="22"/>
      <c r="F1070" s="22"/>
      <c r="G1070" s="25"/>
      <c r="H1070" s="25"/>
      <c r="I1070" s="92">
        <v>20000</v>
      </c>
      <c r="J1070" s="26">
        <f>SUM($I$4:I1070)</f>
        <v>88557098.470000073</v>
      </c>
      <c r="K1070" s="44">
        <f t="shared" si="16"/>
        <v>2.5879651720254722E-4</v>
      </c>
      <c r="L1070" s="22"/>
      <c r="M1070" s="22"/>
    </row>
    <row r="1071" spans="2:13" ht="12.75">
      <c r="B1071" s="21">
        <v>45200</v>
      </c>
      <c r="C1071" s="16"/>
      <c r="D1071" s="25" t="s">
        <v>280</v>
      </c>
      <c r="E1071" s="22"/>
      <c r="F1071" s="22"/>
      <c r="G1071" s="25"/>
      <c r="H1071" s="25"/>
      <c r="I1071" s="92">
        <v>20000</v>
      </c>
      <c r="J1071" s="26">
        <f>SUM($I$4:I1071)</f>
        <v>88577098.470000073</v>
      </c>
      <c r="K1071" s="44">
        <f t="shared" si="16"/>
        <v>2.5879651720254722E-4</v>
      </c>
      <c r="L1071" s="22"/>
      <c r="M1071" s="22"/>
    </row>
    <row r="1072" spans="2:13" ht="12.75">
      <c r="B1072" s="21">
        <v>45200</v>
      </c>
      <c r="C1072" s="16"/>
      <c r="D1072" s="25" t="s">
        <v>280</v>
      </c>
      <c r="E1072" s="22"/>
      <c r="F1072" s="22"/>
      <c r="G1072" s="25"/>
      <c r="H1072" s="25"/>
      <c r="I1072" s="92">
        <v>20000</v>
      </c>
      <c r="J1072" s="26">
        <f>SUM($I$4:I1072)</f>
        <v>88597098.470000073</v>
      </c>
      <c r="K1072" s="44">
        <f t="shared" si="16"/>
        <v>2.5879651720254722E-4</v>
      </c>
      <c r="L1072" s="22"/>
      <c r="M1072" s="22"/>
    </row>
    <row r="1073" spans="2:13" ht="12.75">
      <c r="B1073" s="21">
        <v>45200</v>
      </c>
      <c r="C1073" s="16"/>
      <c r="D1073" s="25" t="s">
        <v>280</v>
      </c>
      <c r="E1073" s="22"/>
      <c r="F1073" s="22"/>
      <c r="G1073" s="25"/>
      <c r="H1073" s="25"/>
      <c r="I1073" s="92">
        <v>20000</v>
      </c>
      <c r="J1073" s="26">
        <f>SUM($I$4:I1073)</f>
        <v>88617098.470000073</v>
      </c>
      <c r="K1073" s="44">
        <f t="shared" si="16"/>
        <v>2.5879651720254722E-4</v>
      </c>
      <c r="L1073" s="22"/>
      <c r="M1073" s="22"/>
    </row>
    <row r="1074" spans="2:13" ht="12.75">
      <c r="B1074" s="21">
        <v>45200</v>
      </c>
      <c r="C1074" s="16"/>
      <c r="D1074" s="25" t="s">
        <v>264</v>
      </c>
      <c r="E1074" s="22"/>
      <c r="F1074" s="22"/>
      <c r="G1074" s="25"/>
      <c r="H1074" s="25"/>
      <c r="I1074" s="92">
        <v>120</v>
      </c>
      <c r="J1074" s="26">
        <f>SUM($I$4:I1074)</f>
        <v>88617218.470000073</v>
      </c>
      <c r="K1074" s="44">
        <f t="shared" si="16"/>
        <v>1.5527791032152835E-6</v>
      </c>
      <c r="L1074" s="22"/>
      <c r="M1074" s="22"/>
    </row>
    <row r="1075" spans="2:13" ht="12.75">
      <c r="B1075" s="21">
        <v>45200</v>
      </c>
      <c r="C1075" s="16"/>
      <c r="D1075" s="25" t="s">
        <v>264</v>
      </c>
      <c r="E1075" s="22"/>
      <c r="F1075" s="22"/>
      <c r="G1075" s="25"/>
      <c r="H1075" s="25"/>
      <c r="I1075" s="92">
        <v>9</v>
      </c>
      <c r="J1075" s="26">
        <f>SUM($I$4:I1075)</f>
        <v>88617227.470000073</v>
      </c>
      <c r="K1075" s="44">
        <f t="shared" si="16"/>
        <v>1.1645843274114626E-7</v>
      </c>
      <c r="L1075" s="22"/>
      <c r="M1075" s="22"/>
    </row>
    <row r="1076" spans="2:13" ht="12.75">
      <c r="B1076" s="21">
        <v>45200</v>
      </c>
      <c r="C1076" s="16"/>
      <c r="D1076" s="25" t="s">
        <v>276</v>
      </c>
      <c r="E1076" s="22"/>
      <c r="F1076" s="22"/>
      <c r="G1076" s="25"/>
      <c r="H1076" s="25"/>
      <c r="I1076" s="92">
        <v>50000</v>
      </c>
      <c r="J1076" s="26">
        <f>SUM($I$4:I1076)</f>
        <v>88667227.470000073</v>
      </c>
      <c r="K1076" s="44">
        <f t="shared" si="16"/>
        <v>6.4699129300636806E-4</v>
      </c>
      <c r="L1076" s="22"/>
      <c r="M1076" s="22"/>
    </row>
    <row r="1077" spans="2:13" ht="12.75">
      <c r="B1077" s="21">
        <v>45200</v>
      </c>
      <c r="C1077" s="16"/>
      <c r="D1077" s="25" t="s">
        <v>264</v>
      </c>
      <c r="E1077" s="22"/>
      <c r="F1077" s="22"/>
      <c r="G1077" s="25"/>
      <c r="H1077" s="25"/>
      <c r="I1077" s="92">
        <v>50</v>
      </c>
      <c r="J1077" s="26">
        <f>SUM($I$4:I1077)</f>
        <v>88667277.470000073</v>
      </c>
      <c r="K1077" s="44">
        <f t="shared" si="16"/>
        <v>6.4699129300636808E-7</v>
      </c>
      <c r="L1077" s="22"/>
      <c r="M1077" s="22"/>
    </row>
    <row r="1078" spans="2:13" ht="12.75">
      <c r="B1078" s="21">
        <v>45200</v>
      </c>
      <c r="C1078" s="16"/>
      <c r="D1078" s="25" t="s">
        <v>276</v>
      </c>
      <c r="E1078" s="22"/>
      <c r="F1078" s="22"/>
      <c r="G1078" s="25"/>
      <c r="H1078" s="25"/>
      <c r="I1078" s="92">
        <v>50000</v>
      </c>
      <c r="J1078" s="26">
        <f>SUM($I$4:I1078)</f>
        <v>88717277.470000073</v>
      </c>
      <c r="K1078" s="44">
        <f t="shared" si="16"/>
        <v>6.4699129300636806E-4</v>
      </c>
      <c r="L1078" s="22"/>
      <c r="M1078" s="22"/>
    </row>
    <row r="1079" spans="2:13" ht="12.75">
      <c r="B1079" s="21">
        <v>45200</v>
      </c>
      <c r="C1079" s="16"/>
      <c r="D1079" s="25" t="s">
        <v>264</v>
      </c>
      <c r="E1079" s="22"/>
      <c r="F1079" s="22"/>
      <c r="G1079" s="25"/>
      <c r="H1079" s="25"/>
      <c r="I1079" s="92">
        <v>50</v>
      </c>
      <c r="J1079" s="26">
        <f>SUM($I$4:I1079)</f>
        <v>88717327.470000073</v>
      </c>
      <c r="K1079" s="44">
        <f t="shared" si="16"/>
        <v>6.4699129300636808E-7</v>
      </c>
      <c r="L1079" s="22"/>
      <c r="M1079" s="22"/>
    </row>
    <row r="1080" spans="2:13" ht="12.75">
      <c r="B1080" s="21">
        <v>45200</v>
      </c>
      <c r="C1080" s="16"/>
      <c r="D1080" s="25" t="s">
        <v>276</v>
      </c>
      <c r="E1080" s="22"/>
      <c r="F1080" s="22"/>
      <c r="G1080" s="25"/>
      <c r="H1080" s="25"/>
      <c r="I1080" s="92">
        <v>1200000</v>
      </c>
      <c r="J1080" s="26">
        <f>SUM($I$4:I1080)</f>
        <v>89917327.470000073</v>
      </c>
      <c r="K1080" s="44">
        <f t="shared" si="16"/>
        <v>1.5527791032152833E-2</v>
      </c>
      <c r="L1080" s="22"/>
      <c r="M1080" s="22"/>
    </row>
    <row r="1081" spans="2:13" ht="12.75">
      <c r="B1081" s="21">
        <v>45200</v>
      </c>
      <c r="C1081" s="16"/>
      <c r="D1081" s="25" t="s">
        <v>264</v>
      </c>
      <c r="E1081" s="22"/>
      <c r="F1081" s="22"/>
      <c r="G1081" s="25"/>
      <c r="H1081" s="25"/>
      <c r="I1081" s="92">
        <v>50</v>
      </c>
      <c r="J1081" s="26">
        <f>SUM($I$4:I1081)</f>
        <v>89917377.470000073</v>
      </c>
      <c r="K1081" s="44">
        <f t="shared" si="16"/>
        <v>6.4699129300636808E-7</v>
      </c>
      <c r="L1081" s="22"/>
      <c r="M1081" s="22"/>
    </row>
    <row r="1082" spans="2:13" ht="12.75">
      <c r="B1082" s="21">
        <v>45200</v>
      </c>
      <c r="C1082" s="16"/>
      <c r="D1082" s="25" t="s">
        <v>271</v>
      </c>
      <c r="E1082" s="22"/>
      <c r="F1082" s="22"/>
      <c r="G1082" s="25"/>
      <c r="H1082" s="25"/>
      <c r="I1082" s="92">
        <v>36088.33</v>
      </c>
      <c r="J1082" s="26">
        <f>SUM($I$4:I1082)</f>
        <v>89953465.800000072</v>
      </c>
      <c r="K1082" s="44">
        <f t="shared" si="16"/>
        <v>4.6697670578281009E-4</v>
      </c>
      <c r="L1082" s="22"/>
      <c r="M1082" s="22"/>
    </row>
    <row r="1083" spans="2:13" ht="12.75">
      <c r="B1083" s="21">
        <v>45200</v>
      </c>
      <c r="C1083" s="16"/>
      <c r="D1083" s="25" t="s">
        <v>271</v>
      </c>
      <c r="E1083" s="22"/>
      <c r="F1083" s="22"/>
      <c r="G1083" s="25"/>
      <c r="H1083" s="25"/>
      <c r="I1083" s="92">
        <v>43185.64</v>
      </c>
      <c r="J1083" s="26">
        <f>SUM($I$4:I1083)</f>
        <v>89996651.440000072</v>
      </c>
      <c r="K1083" s="44">
        <f t="shared" si="16"/>
        <v>5.5881466125815059E-4</v>
      </c>
      <c r="L1083" s="22"/>
      <c r="M1083" s="22"/>
    </row>
    <row r="1084" spans="2:13" ht="12.75">
      <c r="B1084" s="21">
        <v>45204</v>
      </c>
      <c r="C1084" s="16"/>
      <c r="D1084" s="25" t="s">
        <v>295</v>
      </c>
      <c r="E1084" s="22"/>
      <c r="F1084" s="22"/>
      <c r="G1084" s="25"/>
      <c r="H1084" s="25"/>
      <c r="I1084" s="92">
        <v>3500</v>
      </c>
      <c r="J1084" s="26">
        <f>SUM($I$4:I1084)</f>
        <v>90000151.440000072</v>
      </c>
      <c r="K1084" s="44">
        <f t="shared" si="16"/>
        <v>4.5289390510445764E-5</v>
      </c>
      <c r="L1084" s="22"/>
      <c r="M1084" s="22"/>
    </row>
    <row r="1085" spans="2:13" ht="12.75">
      <c r="B1085" s="21">
        <v>45204</v>
      </c>
      <c r="C1085" s="16"/>
      <c r="D1085" s="25" t="s">
        <v>295</v>
      </c>
      <c r="E1085" s="22"/>
      <c r="F1085" s="22"/>
      <c r="G1085" s="25"/>
      <c r="H1085" s="25"/>
      <c r="I1085" s="92">
        <v>34500</v>
      </c>
      <c r="J1085" s="26">
        <f>SUM($I$4:I1085)</f>
        <v>90034651.440000072</v>
      </c>
      <c r="K1085" s="44">
        <f t="shared" si="16"/>
        <v>4.4642399217439396E-4</v>
      </c>
      <c r="L1085" s="22"/>
      <c r="M1085" s="22"/>
    </row>
    <row r="1086" spans="2:13" ht="12.75">
      <c r="B1086" s="21">
        <v>45204</v>
      </c>
      <c r="C1086" s="16"/>
      <c r="D1086" s="25" t="s">
        <v>264</v>
      </c>
      <c r="E1086" s="22"/>
      <c r="F1086" s="22"/>
      <c r="G1086" s="25"/>
      <c r="H1086" s="25"/>
      <c r="I1086" s="92">
        <v>25</v>
      </c>
      <c r="J1086" s="26">
        <f>SUM($I$4:I1086)</f>
        <v>90034676.440000072</v>
      </c>
      <c r="K1086" s="44">
        <f t="shared" si="16"/>
        <v>3.2349564650318404E-7</v>
      </c>
      <c r="L1086" s="22"/>
      <c r="M1086" s="22"/>
    </row>
    <row r="1087" spans="2:13" ht="12.75">
      <c r="B1087" s="21">
        <v>45204</v>
      </c>
      <c r="C1087" s="16"/>
      <c r="D1087" s="25" t="s">
        <v>264</v>
      </c>
      <c r="E1087" s="22"/>
      <c r="F1087" s="22"/>
      <c r="G1087" s="25"/>
      <c r="H1087" s="25"/>
      <c r="I1087" s="92">
        <v>1.87</v>
      </c>
      <c r="J1087" s="26">
        <f>SUM($I$4:I1087)</f>
        <v>90034678.310000077</v>
      </c>
      <c r="K1087" s="44">
        <f t="shared" si="16"/>
        <v>2.4197474358438168E-8</v>
      </c>
      <c r="L1087" s="22"/>
      <c r="M1087" s="22"/>
    </row>
    <row r="1088" spans="2:13" ht="12.75">
      <c r="B1088" s="21">
        <v>45204</v>
      </c>
      <c r="C1088" s="16"/>
      <c r="D1088" s="25" t="s">
        <v>289</v>
      </c>
      <c r="E1088" s="22"/>
      <c r="F1088" s="22"/>
      <c r="G1088" s="25"/>
      <c r="H1088" s="25"/>
      <c r="I1088" s="92">
        <v>50000</v>
      </c>
      <c r="J1088" s="26">
        <f>SUM($I$4:I1088)</f>
        <v>90084678.310000077</v>
      </c>
      <c r="K1088" s="44">
        <f t="shared" si="16"/>
        <v>6.4699129300636806E-4</v>
      </c>
      <c r="L1088" s="22"/>
      <c r="M1088" s="22"/>
    </row>
    <row r="1089" spans="2:13" ht="12.75">
      <c r="B1089" s="21">
        <v>45204</v>
      </c>
      <c r="C1089" s="16"/>
      <c r="D1089" s="25" t="s">
        <v>264</v>
      </c>
      <c r="E1089" s="22"/>
      <c r="F1089" s="22"/>
      <c r="G1089" s="25"/>
      <c r="H1089" s="25"/>
      <c r="I1089" s="92">
        <v>25</v>
      </c>
      <c r="J1089" s="26">
        <f>SUM($I$4:I1089)</f>
        <v>90084703.310000077</v>
      </c>
      <c r="K1089" s="44">
        <f t="shared" si="16"/>
        <v>3.2349564650318404E-7</v>
      </c>
      <c r="L1089" s="22"/>
      <c r="M1089" s="22"/>
    </row>
    <row r="1090" spans="2:13" ht="12.75">
      <c r="B1090" s="21">
        <v>45204</v>
      </c>
      <c r="C1090" s="16"/>
      <c r="D1090" s="25" t="s">
        <v>264</v>
      </c>
      <c r="E1090" s="22"/>
      <c r="F1090" s="22"/>
      <c r="G1090" s="25"/>
      <c r="H1090" s="25"/>
      <c r="I1090" s="92">
        <v>1.87</v>
      </c>
      <c r="J1090" s="26">
        <f>SUM($I$4:I1090)</f>
        <v>90084705.180000082</v>
      </c>
      <c r="K1090" s="44">
        <f t="shared" si="16"/>
        <v>2.4197474358438168E-8</v>
      </c>
      <c r="L1090" s="22"/>
      <c r="M1090" s="22"/>
    </row>
    <row r="1091" spans="2:13" ht="12.75">
      <c r="B1091" s="21">
        <v>45204</v>
      </c>
      <c r="C1091" s="16"/>
      <c r="D1091" s="25" t="s">
        <v>285</v>
      </c>
      <c r="E1091" s="22"/>
      <c r="F1091" s="22"/>
      <c r="G1091" s="25"/>
      <c r="H1091" s="25"/>
      <c r="I1091" s="92">
        <v>120000</v>
      </c>
      <c r="J1091" s="26">
        <f>SUM($I$4:I1091)</f>
        <v>90204705.180000082</v>
      </c>
      <c r="K1091" s="44">
        <f t="shared" si="16"/>
        <v>1.5527791032152833E-3</v>
      </c>
      <c r="L1091" s="22"/>
      <c r="M1091" s="22"/>
    </row>
    <row r="1092" spans="2:13" ht="12.75">
      <c r="B1092" s="21">
        <v>45204</v>
      </c>
      <c r="C1092" s="16"/>
      <c r="D1092" s="25" t="s">
        <v>264</v>
      </c>
      <c r="E1092" s="22"/>
      <c r="F1092" s="22"/>
      <c r="G1092" s="25"/>
      <c r="H1092" s="25"/>
      <c r="I1092" s="92">
        <v>50</v>
      </c>
      <c r="J1092" s="26">
        <f>SUM($I$4:I1092)</f>
        <v>90204755.180000082</v>
      </c>
      <c r="K1092" s="44">
        <f t="shared" si="16"/>
        <v>6.4699129300636808E-7</v>
      </c>
      <c r="L1092" s="22"/>
      <c r="M1092" s="22"/>
    </row>
    <row r="1093" spans="2:13" ht="12.75">
      <c r="B1093" s="21">
        <v>45204</v>
      </c>
      <c r="C1093" s="16"/>
      <c r="D1093" s="25" t="s">
        <v>264</v>
      </c>
      <c r="E1093" s="22"/>
      <c r="F1093" s="22"/>
      <c r="G1093" s="25"/>
      <c r="H1093" s="25"/>
      <c r="I1093" s="92">
        <v>3.75</v>
      </c>
      <c r="J1093" s="26">
        <f>SUM($I$4:I1093)</f>
        <v>90204758.930000082</v>
      </c>
      <c r="K1093" s="44">
        <f t="shared" ref="K1093:K1156" si="17">IF(SUM($I$4:$I$830)=0,"",I1093/SUM($I$4:$I$830))</f>
        <v>4.8524346975477608E-8</v>
      </c>
      <c r="L1093" s="22"/>
      <c r="M1093" s="22"/>
    </row>
    <row r="1094" spans="2:13" ht="12.75">
      <c r="B1094" s="21">
        <v>45204</v>
      </c>
      <c r="C1094" s="16"/>
      <c r="D1094" s="25" t="s">
        <v>286</v>
      </c>
      <c r="E1094" s="22"/>
      <c r="F1094" s="22"/>
      <c r="G1094" s="25"/>
      <c r="H1094" s="25"/>
      <c r="I1094" s="92">
        <v>22500</v>
      </c>
      <c r="J1094" s="26">
        <f>SUM($I$4:I1094)</f>
        <v>90227258.930000082</v>
      </c>
      <c r="K1094" s="44">
        <f t="shared" si="17"/>
        <v>2.9114608185286563E-4</v>
      </c>
      <c r="L1094" s="22"/>
      <c r="M1094" s="22"/>
    </row>
    <row r="1095" spans="2:13" ht="12.75">
      <c r="B1095" s="21">
        <v>45204</v>
      </c>
      <c r="C1095" s="16"/>
      <c r="D1095" s="25" t="s">
        <v>264</v>
      </c>
      <c r="E1095" s="22"/>
      <c r="F1095" s="22"/>
      <c r="G1095" s="25"/>
      <c r="H1095" s="25"/>
      <c r="I1095" s="92">
        <v>25</v>
      </c>
      <c r="J1095" s="26">
        <f>SUM($I$4:I1095)</f>
        <v>90227283.930000082</v>
      </c>
      <c r="K1095" s="44">
        <f t="shared" si="17"/>
        <v>3.2349564650318404E-7</v>
      </c>
      <c r="L1095" s="22"/>
      <c r="M1095" s="22"/>
    </row>
    <row r="1096" spans="2:13" ht="12.75">
      <c r="B1096" s="21">
        <v>45204</v>
      </c>
      <c r="C1096" s="16"/>
      <c r="D1096" s="25" t="s">
        <v>264</v>
      </c>
      <c r="E1096" s="22"/>
      <c r="F1096" s="22"/>
      <c r="G1096" s="25"/>
      <c r="H1096" s="25"/>
      <c r="I1096" s="92">
        <v>1.87</v>
      </c>
      <c r="J1096" s="26">
        <f>SUM($I$4:I1096)</f>
        <v>90227285.800000086</v>
      </c>
      <c r="K1096" s="44">
        <f t="shared" si="17"/>
        <v>2.4197474358438168E-8</v>
      </c>
      <c r="L1096" s="22"/>
      <c r="M1096" s="22"/>
    </row>
    <row r="1097" spans="2:13" ht="12.75">
      <c r="B1097" s="21">
        <v>45204</v>
      </c>
      <c r="C1097" s="16"/>
      <c r="D1097" s="25" t="s">
        <v>295</v>
      </c>
      <c r="E1097" s="22"/>
      <c r="F1097" s="22"/>
      <c r="G1097" s="25"/>
      <c r="H1097" s="25"/>
      <c r="I1097" s="92">
        <v>99500</v>
      </c>
      <c r="J1097" s="26">
        <f>SUM($I$4:I1097)</f>
        <v>90326785.800000086</v>
      </c>
      <c r="K1097" s="44">
        <f t="shared" si="17"/>
        <v>1.2875126730826725E-3</v>
      </c>
      <c r="L1097" s="22"/>
      <c r="M1097" s="22"/>
    </row>
    <row r="1098" spans="2:13" ht="12.75">
      <c r="B1098" s="21">
        <v>45204</v>
      </c>
      <c r="C1098" s="16"/>
      <c r="D1098" s="25" t="s">
        <v>264</v>
      </c>
      <c r="E1098" s="22"/>
      <c r="F1098" s="22"/>
      <c r="G1098" s="25"/>
      <c r="H1098" s="25"/>
      <c r="I1098" s="92">
        <v>50</v>
      </c>
      <c r="J1098" s="26">
        <f>SUM($I$4:I1098)</f>
        <v>90326835.800000086</v>
      </c>
      <c r="K1098" s="44">
        <f t="shared" si="17"/>
        <v>6.4699129300636808E-7</v>
      </c>
      <c r="L1098" s="22"/>
      <c r="M1098" s="22"/>
    </row>
    <row r="1099" spans="2:13" ht="12.75">
      <c r="B1099" s="21">
        <v>45204</v>
      </c>
      <c r="C1099" s="16"/>
      <c r="D1099" s="25" t="s">
        <v>264</v>
      </c>
      <c r="E1099" s="22"/>
      <c r="F1099" s="22"/>
      <c r="G1099" s="25"/>
      <c r="H1099" s="25"/>
      <c r="I1099" s="92">
        <v>3.75</v>
      </c>
      <c r="J1099" s="26">
        <f>SUM($I$4:I1099)</f>
        <v>90326839.550000086</v>
      </c>
      <c r="K1099" s="44">
        <f t="shared" si="17"/>
        <v>4.8524346975477608E-8</v>
      </c>
      <c r="L1099" s="22"/>
      <c r="M1099" s="22"/>
    </row>
    <row r="1100" spans="2:13" ht="12.75">
      <c r="B1100" s="21">
        <v>45212</v>
      </c>
      <c r="C1100" s="16"/>
      <c r="D1100" s="25" t="s">
        <v>285</v>
      </c>
      <c r="E1100" s="22"/>
      <c r="F1100" s="22"/>
      <c r="G1100" s="25"/>
      <c r="H1100" s="25"/>
      <c r="I1100" s="92">
        <v>120000</v>
      </c>
      <c r="J1100" s="26">
        <f>SUM($I$4:I1100)</f>
        <v>90446839.550000086</v>
      </c>
      <c r="K1100" s="44">
        <f t="shared" si="17"/>
        <v>1.5527791032152833E-3</v>
      </c>
      <c r="L1100" s="22"/>
      <c r="M1100" s="22"/>
    </row>
    <row r="1101" spans="2:13" ht="12.75">
      <c r="B1101" s="21">
        <v>45212</v>
      </c>
      <c r="C1101" s="16"/>
      <c r="D1101" s="25" t="s">
        <v>264</v>
      </c>
      <c r="E1101" s="22"/>
      <c r="F1101" s="22"/>
      <c r="G1101" s="25"/>
      <c r="H1101" s="25"/>
      <c r="I1101" s="92">
        <v>50</v>
      </c>
      <c r="J1101" s="26">
        <f>SUM($I$4:I1101)</f>
        <v>90446889.550000086</v>
      </c>
      <c r="K1101" s="44">
        <f t="shared" si="17"/>
        <v>6.4699129300636808E-7</v>
      </c>
      <c r="L1101" s="22"/>
      <c r="M1101" s="22"/>
    </row>
    <row r="1102" spans="2:13" ht="12.75">
      <c r="B1102" s="21">
        <v>45212</v>
      </c>
      <c r="C1102" s="16"/>
      <c r="D1102" s="25" t="s">
        <v>264</v>
      </c>
      <c r="E1102" s="22"/>
      <c r="F1102" s="22"/>
      <c r="G1102" s="25"/>
      <c r="H1102" s="25"/>
      <c r="I1102" s="92">
        <v>3.75</v>
      </c>
      <c r="J1102" s="26">
        <f>SUM($I$4:I1102)</f>
        <v>90446893.300000086</v>
      </c>
      <c r="K1102" s="44">
        <f t="shared" si="17"/>
        <v>4.8524346975477608E-8</v>
      </c>
      <c r="L1102" s="22"/>
      <c r="M1102" s="22"/>
    </row>
    <row r="1103" spans="2:13" ht="12.75">
      <c r="B1103" s="21">
        <v>45212</v>
      </c>
      <c r="C1103" s="16"/>
      <c r="D1103" s="25" t="s">
        <v>286</v>
      </c>
      <c r="E1103" s="22"/>
      <c r="F1103" s="22"/>
      <c r="G1103" s="25"/>
      <c r="H1103" s="25"/>
      <c r="I1103" s="92">
        <v>11661.25</v>
      </c>
      <c r="J1103" s="26">
        <f>SUM($I$4:I1103)</f>
        <v>90458554.550000086</v>
      </c>
      <c r="K1103" s="44">
        <f t="shared" si="17"/>
        <v>1.508945443114102E-4</v>
      </c>
      <c r="L1103" s="22"/>
      <c r="M1103" s="22"/>
    </row>
    <row r="1104" spans="2:13" ht="12.75">
      <c r="B1104" s="21">
        <v>45212</v>
      </c>
      <c r="C1104" s="16"/>
      <c r="D1104" s="25" t="s">
        <v>264</v>
      </c>
      <c r="E1104" s="22"/>
      <c r="F1104" s="22"/>
      <c r="G1104" s="25"/>
      <c r="H1104" s="25"/>
      <c r="I1104" s="92">
        <v>100</v>
      </c>
      <c r="J1104" s="26">
        <f>SUM($I$4:I1104)</f>
        <v>90458654.550000086</v>
      </c>
      <c r="K1104" s="44">
        <f t="shared" si="17"/>
        <v>1.2939825860127362E-6</v>
      </c>
      <c r="L1104" s="22"/>
      <c r="M1104" s="22"/>
    </row>
    <row r="1105" spans="2:13" ht="12.75">
      <c r="B1105" s="21">
        <v>45212</v>
      </c>
      <c r="C1105" s="16"/>
      <c r="D1105" s="25" t="s">
        <v>285</v>
      </c>
      <c r="E1105" s="22"/>
      <c r="F1105" s="22"/>
      <c r="G1105" s="25"/>
      <c r="H1105" s="25"/>
      <c r="I1105" s="92">
        <v>42000</v>
      </c>
      <c r="J1105" s="26">
        <f>SUM($I$4:I1105)</f>
        <v>90500654.550000086</v>
      </c>
      <c r="K1105" s="44">
        <f t="shared" si="17"/>
        <v>5.4347268612534917E-4</v>
      </c>
      <c r="L1105" s="22"/>
      <c r="M1105" s="22"/>
    </row>
    <row r="1106" spans="2:13" ht="12.75">
      <c r="B1106" s="21">
        <v>45212</v>
      </c>
      <c r="C1106" s="16"/>
      <c r="D1106" s="25" t="s">
        <v>264</v>
      </c>
      <c r="E1106" s="22"/>
      <c r="F1106" s="22"/>
      <c r="G1106" s="25"/>
      <c r="H1106" s="25"/>
      <c r="I1106" s="92">
        <v>25</v>
      </c>
      <c r="J1106" s="26">
        <f>SUM($I$4:I1106)</f>
        <v>90500679.550000086</v>
      </c>
      <c r="K1106" s="44">
        <f t="shared" si="17"/>
        <v>3.2349564650318404E-7</v>
      </c>
      <c r="L1106" s="22"/>
      <c r="M1106" s="22"/>
    </row>
    <row r="1107" spans="2:13" ht="12.75">
      <c r="B1107" s="21">
        <v>45212</v>
      </c>
      <c r="C1107" s="16"/>
      <c r="D1107" s="25" t="s">
        <v>264</v>
      </c>
      <c r="E1107" s="22"/>
      <c r="F1107" s="22"/>
      <c r="G1107" s="25"/>
      <c r="H1107" s="25"/>
      <c r="I1107" s="92">
        <v>1.87</v>
      </c>
      <c r="J1107" s="26">
        <f>SUM($I$4:I1107)</f>
        <v>90500681.420000091</v>
      </c>
      <c r="K1107" s="44">
        <f t="shared" si="17"/>
        <v>2.4197474358438168E-8</v>
      </c>
      <c r="L1107" s="22"/>
      <c r="M1107" s="22"/>
    </row>
    <row r="1108" spans="2:13" ht="12.75">
      <c r="B1108" s="21">
        <v>45214</v>
      </c>
      <c r="C1108" s="16"/>
      <c r="D1108" s="25" t="s">
        <v>264</v>
      </c>
      <c r="E1108" s="22"/>
      <c r="F1108" s="22"/>
      <c r="G1108" s="25"/>
      <c r="H1108" s="25"/>
      <c r="I1108" s="92">
        <v>50</v>
      </c>
      <c r="J1108" s="26">
        <f>SUM($I$4:I1108)</f>
        <v>90500731.420000091</v>
      </c>
      <c r="K1108" s="44">
        <f t="shared" si="17"/>
        <v>6.4699129300636808E-7</v>
      </c>
      <c r="L1108" s="22"/>
      <c r="M1108" s="22"/>
    </row>
    <row r="1109" spans="2:13" ht="12.75">
      <c r="B1109" s="21">
        <v>45215</v>
      </c>
      <c r="C1109" s="16"/>
      <c r="D1109" s="25" t="s">
        <v>289</v>
      </c>
      <c r="E1109" s="22"/>
      <c r="F1109" s="22"/>
      <c r="G1109" s="25"/>
      <c r="H1109" s="25"/>
      <c r="I1109" s="92">
        <v>50000</v>
      </c>
      <c r="J1109" s="26">
        <f>SUM($I$4:I1109)</f>
        <v>90550731.420000091</v>
      </c>
      <c r="K1109" s="44">
        <f t="shared" si="17"/>
        <v>6.4699129300636806E-4</v>
      </c>
      <c r="L1109" s="22"/>
      <c r="M1109" s="22"/>
    </row>
    <row r="1110" spans="2:13" ht="12.75">
      <c r="B1110" s="21">
        <v>45215</v>
      </c>
      <c r="C1110" s="16"/>
      <c r="D1110" s="25" t="s">
        <v>264</v>
      </c>
      <c r="E1110" s="22"/>
      <c r="F1110" s="22"/>
      <c r="G1110" s="25"/>
      <c r="H1110" s="25"/>
      <c r="I1110" s="92">
        <v>25</v>
      </c>
      <c r="J1110" s="26">
        <f>SUM($I$4:I1110)</f>
        <v>90550756.420000091</v>
      </c>
      <c r="K1110" s="44">
        <f t="shared" si="17"/>
        <v>3.2349564650318404E-7</v>
      </c>
      <c r="L1110" s="22"/>
      <c r="M1110" s="22"/>
    </row>
    <row r="1111" spans="2:13" ht="12.75">
      <c r="B1111" s="21">
        <v>45215</v>
      </c>
      <c r="C1111" s="16"/>
      <c r="D1111" s="25" t="s">
        <v>264</v>
      </c>
      <c r="E1111" s="22"/>
      <c r="F1111" s="22"/>
      <c r="G1111" s="25"/>
      <c r="H1111" s="25"/>
      <c r="I1111" s="92">
        <v>1.87</v>
      </c>
      <c r="J1111" s="26">
        <f>SUM($I$4:I1111)</f>
        <v>90550758.290000096</v>
      </c>
      <c r="K1111" s="44">
        <f t="shared" si="17"/>
        <v>2.4197474358438168E-8</v>
      </c>
      <c r="L1111" s="22"/>
      <c r="M1111" s="22"/>
    </row>
    <row r="1112" spans="2:13" ht="12.75">
      <c r="B1112" s="21">
        <v>45215</v>
      </c>
      <c r="C1112" s="16"/>
      <c r="D1112" s="25" t="s">
        <v>275</v>
      </c>
      <c r="E1112" s="22"/>
      <c r="F1112" s="22"/>
      <c r="G1112" s="25"/>
      <c r="H1112" s="25"/>
      <c r="I1112" s="92">
        <v>1000</v>
      </c>
      <c r="J1112" s="26">
        <f>SUM($I$4:I1112)</f>
        <v>90551758.290000096</v>
      </c>
      <c r="K1112" s="44">
        <f t="shared" si="17"/>
        <v>1.2939825860127361E-5</v>
      </c>
      <c r="L1112" s="22"/>
      <c r="M1112" s="22"/>
    </row>
    <row r="1113" spans="2:13" ht="12.75">
      <c r="B1113" s="21">
        <v>45215</v>
      </c>
      <c r="C1113" s="16"/>
      <c r="D1113" s="25" t="s">
        <v>275</v>
      </c>
      <c r="E1113" s="22"/>
      <c r="F1113" s="22"/>
      <c r="G1113" s="25"/>
      <c r="H1113" s="25"/>
      <c r="I1113" s="92">
        <v>500</v>
      </c>
      <c r="J1113" s="26">
        <f>SUM($I$4:I1113)</f>
        <v>90552258.290000096</v>
      </c>
      <c r="K1113" s="44">
        <f t="shared" si="17"/>
        <v>6.4699129300636806E-6</v>
      </c>
      <c r="L1113" s="22"/>
      <c r="M1113" s="22"/>
    </row>
    <row r="1114" spans="2:13" ht="12.75">
      <c r="B1114" s="21">
        <v>45215</v>
      </c>
      <c r="C1114" s="16"/>
      <c r="D1114" s="25" t="s">
        <v>275</v>
      </c>
      <c r="E1114" s="22"/>
      <c r="F1114" s="22"/>
      <c r="G1114" s="25"/>
      <c r="H1114" s="25"/>
      <c r="I1114" s="92">
        <v>500</v>
      </c>
      <c r="J1114" s="26">
        <f>SUM($I$4:I1114)</f>
        <v>90552758.290000096</v>
      </c>
      <c r="K1114" s="44">
        <f t="shared" si="17"/>
        <v>6.4699129300636806E-6</v>
      </c>
      <c r="L1114" s="22"/>
      <c r="M1114" s="22"/>
    </row>
    <row r="1115" spans="2:13" ht="12.75">
      <c r="B1115" s="21">
        <v>45218</v>
      </c>
      <c r="C1115" s="16"/>
      <c r="D1115" s="25" t="s">
        <v>264</v>
      </c>
      <c r="E1115" s="22"/>
      <c r="F1115" s="22"/>
      <c r="G1115" s="25"/>
      <c r="H1115" s="25"/>
      <c r="I1115" s="92">
        <v>50</v>
      </c>
      <c r="J1115" s="26">
        <f>SUM($I$4:I1115)</f>
        <v>90552808.290000096</v>
      </c>
      <c r="K1115" s="44">
        <f t="shared" si="17"/>
        <v>6.4699129300636808E-7</v>
      </c>
      <c r="L1115" s="22"/>
      <c r="M1115" s="22"/>
    </row>
    <row r="1116" spans="2:13" ht="12.75">
      <c r="B1116" s="21">
        <v>45219</v>
      </c>
      <c r="C1116" s="16"/>
      <c r="D1116" s="25" t="s">
        <v>286</v>
      </c>
      <c r="E1116" s="22"/>
      <c r="F1116" s="22"/>
      <c r="G1116" s="25"/>
      <c r="H1116" s="25"/>
      <c r="I1116" s="92">
        <v>22500</v>
      </c>
      <c r="J1116" s="26">
        <f>SUM($I$4:I1116)</f>
        <v>90575308.290000096</v>
      </c>
      <c r="K1116" s="44">
        <f t="shared" si="17"/>
        <v>2.9114608185286563E-4</v>
      </c>
      <c r="L1116" s="22"/>
      <c r="M1116" s="22"/>
    </row>
    <row r="1117" spans="2:13" ht="12.75">
      <c r="B1117" s="21">
        <v>45219</v>
      </c>
      <c r="C1117" s="16"/>
      <c r="D1117" s="25" t="s">
        <v>264</v>
      </c>
      <c r="E1117" s="22"/>
      <c r="F1117" s="22"/>
      <c r="G1117" s="25"/>
      <c r="H1117" s="25"/>
      <c r="I1117" s="92">
        <v>25</v>
      </c>
      <c r="J1117" s="26">
        <f>SUM($I$4:I1117)</f>
        <v>90575333.290000096</v>
      </c>
      <c r="K1117" s="44">
        <f t="shared" si="17"/>
        <v>3.2349564650318404E-7</v>
      </c>
      <c r="L1117" s="22"/>
      <c r="M1117" s="22"/>
    </row>
    <row r="1118" spans="2:13" ht="12.75">
      <c r="B1118" s="21">
        <v>45219</v>
      </c>
      <c r="C1118" s="16"/>
      <c r="D1118" s="25" t="s">
        <v>264</v>
      </c>
      <c r="E1118" s="22"/>
      <c r="F1118" s="22"/>
      <c r="G1118" s="25"/>
      <c r="H1118" s="25"/>
      <c r="I1118" s="92">
        <v>1.87</v>
      </c>
      <c r="J1118" s="26">
        <f>SUM($I$4:I1118)</f>
        <v>90575335.160000101</v>
      </c>
      <c r="K1118" s="44">
        <f t="shared" si="17"/>
        <v>2.4197474358438168E-8</v>
      </c>
      <c r="L1118" s="22"/>
      <c r="M1118" s="22"/>
    </row>
    <row r="1119" spans="2:13" ht="12.75">
      <c r="B1119" s="21">
        <v>45219</v>
      </c>
      <c r="C1119" s="16"/>
      <c r="D1119" s="25" t="s">
        <v>272</v>
      </c>
      <c r="E1119" s="22"/>
      <c r="F1119" s="22"/>
      <c r="G1119" s="25"/>
      <c r="H1119" s="25"/>
      <c r="I1119" s="92">
        <v>1537346.9</v>
      </c>
      <c r="J1119" s="26">
        <f>SUM($I$4:I1119)</f>
        <v>92112682.060000107</v>
      </c>
      <c r="K1119" s="44">
        <f t="shared" si="17"/>
        <v>1.9893001172606631E-2</v>
      </c>
      <c r="L1119" s="22"/>
      <c r="M1119" s="22"/>
    </row>
    <row r="1120" spans="2:13" ht="12.75">
      <c r="B1120" s="21">
        <v>45219</v>
      </c>
      <c r="C1120" s="16"/>
      <c r="D1120" s="25" t="s">
        <v>264</v>
      </c>
      <c r="E1120" s="22"/>
      <c r="F1120" s="22"/>
      <c r="G1120" s="25"/>
      <c r="H1120" s="25"/>
      <c r="I1120" s="92">
        <v>100</v>
      </c>
      <c r="J1120" s="26">
        <f>SUM($I$4:I1120)</f>
        <v>92112782.060000107</v>
      </c>
      <c r="K1120" s="44">
        <f t="shared" si="17"/>
        <v>1.2939825860127362E-6</v>
      </c>
      <c r="L1120" s="22"/>
      <c r="M1120" s="22"/>
    </row>
    <row r="1121" spans="2:13" ht="12.75">
      <c r="B1121" s="21">
        <v>45222</v>
      </c>
      <c r="C1121" s="16"/>
      <c r="D1121" s="25" t="s">
        <v>272</v>
      </c>
      <c r="E1121" s="22"/>
      <c r="F1121" s="22"/>
      <c r="G1121" s="25"/>
      <c r="H1121" s="25"/>
      <c r="I1121" s="92">
        <v>7894.74</v>
      </c>
      <c r="J1121" s="26">
        <f>SUM($I$4:I1121)</f>
        <v>92120676.800000101</v>
      </c>
      <c r="K1121" s="44">
        <f t="shared" si="17"/>
        <v>1.0215656081098188E-4</v>
      </c>
      <c r="L1121" s="22"/>
      <c r="M1121" s="22"/>
    </row>
    <row r="1122" spans="2:13" ht="12.75">
      <c r="B1122" s="21">
        <v>45222</v>
      </c>
      <c r="C1122" s="16"/>
      <c r="D1122" s="25" t="s">
        <v>264</v>
      </c>
      <c r="E1122" s="22"/>
      <c r="F1122" s="22"/>
      <c r="G1122" s="25"/>
      <c r="H1122" s="25"/>
      <c r="I1122" s="92">
        <v>100</v>
      </c>
      <c r="J1122" s="26">
        <f>SUM($I$4:I1122)</f>
        <v>92120776.800000101</v>
      </c>
      <c r="K1122" s="44">
        <f t="shared" si="17"/>
        <v>1.2939825860127362E-6</v>
      </c>
      <c r="L1122" s="22"/>
      <c r="M1122" s="22"/>
    </row>
    <row r="1123" spans="2:13" ht="12.75">
      <c r="B1123" s="21">
        <v>45222</v>
      </c>
      <c r="C1123" s="16"/>
      <c r="D1123" s="25" t="s">
        <v>272</v>
      </c>
      <c r="E1123" s="22"/>
      <c r="F1123" s="22"/>
      <c r="G1123" s="25"/>
      <c r="H1123" s="25"/>
      <c r="I1123" s="92">
        <v>7894.74</v>
      </c>
      <c r="J1123" s="26">
        <f>SUM($I$4:I1123)</f>
        <v>92128671.540000096</v>
      </c>
      <c r="K1123" s="44">
        <f t="shared" si="17"/>
        <v>1.0215656081098188E-4</v>
      </c>
      <c r="L1123" s="22"/>
      <c r="M1123" s="22"/>
    </row>
    <row r="1124" spans="2:13" ht="12.75">
      <c r="B1124" s="21">
        <v>45222</v>
      </c>
      <c r="C1124" s="16"/>
      <c r="D1124" s="25" t="s">
        <v>264</v>
      </c>
      <c r="E1124" s="22"/>
      <c r="F1124" s="22"/>
      <c r="G1124" s="25"/>
      <c r="H1124" s="25"/>
      <c r="I1124" s="92">
        <v>100</v>
      </c>
      <c r="J1124" s="26">
        <f>SUM($I$4:I1124)</f>
        <v>92128771.540000096</v>
      </c>
      <c r="K1124" s="44">
        <f t="shared" si="17"/>
        <v>1.2939825860127362E-6</v>
      </c>
      <c r="L1124" s="22"/>
      <c r="M1124" s="22"/>
    </row>
    <row r="1125" spans="2:13" ht="12.75">
      <c r="B1125" s="21">
        <v>45222</v>
      </c>
      <c r="C1125" s="16"/>
      <c r="D1125" s="25" t="s">
        <v>283</v>
      </c>
      <c r="E1125" s="22"/>
      <c r="F1125" s="22"/>
      <c r="G1125" s="25"/>
      <c r="H1125" s="25"/>
      <c r="I1125" s="92">
        <v>8000</v>
      </c>
      <c r="J1125" s="26">
        <f>SUM($I$4:I1125)</f>
        <v>92136771.540000096</v>
      </c>
      <c r="K1125" s="44">
        <f t="shared" si="17"/>
        <v>1.0351860688101889E-4</v>
      </c>
      <c r="L1125" s="22"/>
      <c r="M1125" s="22"/>
    </row>
    <row r="1126" spans="2:13" ht="12.75">
      <c r="B1126" s="21">
        <v>45222</v>
      </c>
      <c r="C1126" s="16"/>
      <c r="D1126" s="25" t="s">
        <v>264</v>
      </c>
      <c r="E1126" s="22"/>
      <c r="F1126" s="22"/>
      <c r="G1126" s="25"/>
      <c r="H1126" s="25"/>
      <c r="I1126" s="92">
        <v>100</v>
      </c>
      <c r="J1126" s="26">
        <f>SUM($I$4:I1126)</f>
        <v>92136871.540000096</v>
      </c>
      <c r="K1126" s="44">
        <f t="shared" si="17"/>
        <v>1.2939825860127362E-6</v>
      </c>
      <c r="L1126" s="22"/>
      <c r="M1126" s="22"/>
    </row>
    <row r="1127" spans="2:13" ht="12.75">
      <c r="B1127" s="21">
        <v>45225</v>
      </c>
      <c r="C1127" s="16"/>
      <c r="D1127" s="25" t="s">
        <v>275</v>
      </c>
      <c r="E1127" s="22"/>
      <c r="F1127" s="22"/>
      <c r="G1127" s="25"/>
      <c r="H1127" s="25"/>
      <c r="I1127" s="92">
        <v>20000</v>
      </c>
      <c r="J1127" s="26">
        <f>SUM($I$4:I1127)</f>
        <v>92156871.540000096</v>
      </c>
      <c r="K1127" s="44">
        <f t="shared" si="17"/>
        <v>2.5879651720254722E-4</v>
      </c>
      <c r="L1127" s="22"/>
      <c r="M1127" s="22"/>
    </row>
    <row r="1128" spans="2:13" ht="12.75">
      <c r="B1128" s="21">
        <v>45225</v>
      </c>
      <c r="C1128" s="16"/>
      <c r="D1128" s="25" t="s">
        <v>264</v>
      </c>
      <c r="E1128" s="22"/>
      <c r="F1128" s="22"/>
      <c r="G1128" s="25"/>
      <c r="H1128" s="25"/>
      <c r="I1128" s="92">
        <v>25</v>
      </c>
      <c r="J1128" s="26">
        <f>SUM($I$4:I1128)</f>
        <v>92156896.540000096</v>
      </c>
      <c r="K1128" s="44">
        <f t="shared" si="17"/>
        <v>3.2349564650318404E-7</v>
      </c>
      <c r="L1128" s="22"/>
      <c r="M1128" s="22"/>
    </row>
    <row r="1129" spans="2:13" ht="12.75">
      <c r="B1129" s="21">
        <v>45225</v>
      </c>
      <c r="C1129" s="16"/>
      <c r="D1129" s="25" t="s">
        <v>264</v>
      </c>
      <c r="E1129" s="22"/>
      <c r="F1129" s="22"/>
      <c r="G1129" s="25"/>
      <c r="H1129" s="25"/>
      <c r="I1129" s="92">
        <v>1.87</v>
      </c>
      <c r="J1129" s="26">
        <f>SUM($I$4:I1129)</f>
        <v>92156898.410000101</v>
      </c>
      <c r="K1129" s="44">
        <f t="shared" si="17"/>
        <v>2.4197474358438168E-8</v>
      </c>
      <c r="L1129" s="22"/>
      <c r="M1129" s="22"/>
    </row>
    <row r="1130" spans="2:13" ht="12.75">
      <c r="B1130" s="21">
        <v>45225</v>
      </c>
      <c r="C1130" s="16"/>
      <c r="D1130" s="25" t="s">
        <v>285</v>
      </c>
      <c r="E1130" s="22"/>
      <c r="F1130" s="22"/>
      <c r="G1130" s="25"/>
      <c r="H1130" s="25"/>
      <c r="I1130" s="92">
        <v>120000</v>
      </c>
      <c r="J1130" s="26">
        <f>SUM($I$4:I1130)</f>
        <v>92276898.410000101</v>
      </c>
      <c r="K1130" s="44">
        <f t="shared" si="17"/>
        <v>1.5527791032152833E-3</v>
      </c>
      <c r="L1130" s="22"/>
      <c r="M1130" s="22"/>
    </row>
    <row r="1131" spans="2:13" ht="12.75">
      <c r="B1131" s="21">
        <v>45225</v>
      </c>
      <c r="C1131" s="16"/>
      <c r="D1131" s="25" t="s">
        <v>264</v>
      </c>
      <c r="E1131" s="22"/>
      <c r="F1131" s="22"/>
      <c r="G1131" s="25"/>
      <c r="H1131" s="25"/>
      <c r="I1131" s="92">
        <v>50</v>
      </c>
      <c r="J1131" s="26">
        <f>SUM($I$4:I1131)</f>
        <v>92276948.410000101</v>
      </c>
      <c r="K1131" s="44">
        <f t="shared" si="17"/>
        <v>6.4699129300636808E-7</v>
      </c>
      <c r="L1131" s="22"/>
      <c r="M1131" s="22"/>
    </row>
    <row r="1132" spans="2:13" ht="12.75">
      <c r="B1132" s="21">
        <v>45225</v>
      </c>
      <c r="C1132" s="16"/>
      <c r="D1132" s="25" t="s">
        <v>264</v>
      </c>
      <c r="E1132" s="22"/>
      <c r="F1132" s="22"/>
      <c r="G1132" s="25"/>
      <c r="H1132" s="25"/>
      <c r="I1132" s="92">
        <v>3.75</v>
      </c>
      <c r="J1132" s="26">
        <f>SUM($I$4:I1132)</f>
        <v>92276952.160000101</v>
      </c>
      <c r="K1132" s="44">
        <f t="shared" si="17"/>
        <v>4.8524346975477608E-8</v>
      </c>
      <c r="L1132" s="22"/>
      <c r="M1132" s="22"/>
    </row>
    <row r="1133" spans="2:13" ht="12.75">
      <c r="B1133" s="21">
        <v>45225</v>
      </c>
      <c r="C1133" s="16"/>
      <c r="D1133" s="25" t="s">
        <v>289</v>
      </c>
      <c r="E1133" s="22"/>
      <c r="F1133" s="22"/>
      <c r="G1133" s="25"/>
      <c r="H1133" s="25"/>
      <c r="I1133" s="92">
        <v>50000</v>
      </c>
      <c r="J1133" s="26">
        <f>SUM($I$4:I1133)</f>
        <v>92326952.160000101</v>
      </c>
      <c r="K1133" s="44">
        <f t="shared" si="17"/>
        <v>6.4699129300636806E-4</v>
      </c>
      <c r="L1133" s="22"/>
      <c r="M1133" s="22"/>
    </row>
    <row r="1134" spans="2:13" ht="12.75">
      <c r="B1134" s="21">
        <v>45225</v>
      </c>
      <c r="C1134" s="16"/>
      <c r="D1134" s="25" t="s">
        <v>264</v>
      </c>
      <c r="E1134" s="22"/>
      <c r="F1134" s="22"/>
      <c r="G1134" s="25"/>
      <c r="H1134" s="25"/>
      <c r="I1134" s="92">
        <v>25</v>
      </c>
      <c r="J1134" s="26">
        <f>SUM($I$4:I1134)</f>
        <v>92326977.160000101</v>
      </c>
      <c r="K1134" s="44">
        <f t="shared" si="17"/>
        <v>3.2349564650318404E-7</v>
      </c>
      <c r="L1134" s="22"/>
      <c r="M1134" s="22"/>
    </row>
    <row r="1135" spans="2:13" ht="12.75">
      <c r="B1135" s="21">
        <v>45225</v>
      </c>
      <c r="C1135" s="16"/>
      <c r="D1135" s="25" t="s">
        <v>264</v>
      </c>
      <c r="E1135" s="22"/>
      <c r="F1135" s="22"/>
      <c r="G1135" s="25"/>
      <c r="H1135" s="25"/>
      <c r="I1135" s="92">
        <v>1.87</v>
      </c>
      <c r="J1135" s="26">
        <f>SUM($I$4:I1135)</f>
        <v>92326979.030000106</v>
      </c>
      <c r="K1135" s="44">
        <f t="shared" si="17"/>
        <v>2.4197474358438168E-8</v>
      </c>
      <c r="L1135" s="22"/>
      <c r="M1135" s="22"/>
    </row>
    <row r="1136" spans="2:13" ht="12.75">
      <c r="B1136" s="21">
        <v>45230</v>
      </c>
      <c r="C1136" s="16"/>
      <c r="D1136" s="25" t="s">
        <v>264</v>
      </c>
      <c r="E1136" s="22"/>
      <c r="F1136" s="22"/>
      <c r="G1136" s="25"/>
      <c r="H1136" s="25"/>
      <c r="I1136" s="92">
        <v>568</v>
      </c>
      <c r="J1136" s="26">
        <f>SUM($I$4:I1136)</f>
        <v>92327547.030000106</v>
      </c>
      <c r="K1136" s="44">
        <f t="shared" si="17"/>
        <v>7.3498210885523415E-6</v>
      </c>
      <c r="L1136" s="22"/>
      <c r="M1136" s="22"/>
    </row>
    <row r="1137" spans="2:13" ht="12.75">
      <c r="B1137" s="21">
        <v>45230</v>
      </c>
      <c r="C1137" s="16"/>
      <c r="D1137" s="25" t="s">
        <v>264</v>
      </c>
      <c r="E1137" s="22"/>
      <c r="F1137" s="22"/>
      <c r="G1137" s="25"/>
      <c r="H1137" s="25"/>
      <c r="I1137" s="92">
        <v>42.6</v>
      </c>
      <c r="J1137" s="26">
        <f>SUM($I$4:I1137)</f>
        <v>92327589.6300001</v>
      </c>
      <c r="K1137" s="44">
        <f t="shared" si="17"/>
        <v>5.5123658164142559E-7</v>
      </c>
      <c r="L1137" s="22"/>
      <c r="M1137" s="22"/>
    </row>
    <row r="1138" spans="2:13" ht="12.75">
      <c r="B1138" s="21">
        <v>45230</v>
      </c>
      <c r="C1138" s="16"/>
      <c r="D1138" s="25" t="s">
        <v>264</v>
      </c>
      <c r="E1138" s="22"/>
      <c r="F1138" s="22"/>
      <c r="G1138" s="25"/>
      <c r="H1138" s="25"/>
      <c r="I1138" s="92">
        <v>5349.49</v>
      </c>
      <c r="J1138" s="26">
        <f>SUM($I$4:I1138)</f>
        <v>92332939.120000094</v>
      </c>
      <c r="K1138" s="44">
        <f t="shared" si="17"/>
        <v>6.9221469040492718E-5</v>
      </c>
      <c r="L1138" s="22"/>
      <c r="M1138" s="22"/>
    </row>
    <row r="1139" spans="2:13" ht="12.75">
      <c r="B1139" s="21">
        <v>45230</v>
      </c>
      <c r="C1139" s="16"/>
      <c r="D1139" s="25" t="s">
        <v>264</v>
      </c>
      <c r="E1139" s="22"/>
      <c r="F1139" s="22"/>
      <c r="G1139" s="25"/>
      <c r="H1139" s="25"/>
      <c r="I1139" s="92">
        <v>401.21</v>
      </c>
      <c r="J1139" s="26">
        <f>SUM($I$4:I1139)</f>
        <v>92333340.330000088</v>
      </c>
      <c r="K1139" s="44">
        <f t="shared" si="17"/>
        <v>5.1915875333416981E-6</v>
      </c>
      <c r="L1139" s="22"/>
      <c r="M1139" s="22"/>
    </row>
    <row r="1140" spans="2:13" ht="12.75">
      <c r="B1140" s="21">
        <v>45233</v>
      </c>
      <c r="C1140" s="16"/>
      <c r="D1140" s="25" t="s">
        <v>264</v>
      </c>
      <c r="E1140" s="22"/>
      <c r="F1140" s="22"/>
      <c r="G1140" s="25"/>
      <c r="H1140" s="25"/>
      <c r="I1140" s="92">
        <v>50</v>
      </c>
      <c r="J1140" s="26">
        <f>SUM($I$4:I1140)</f>
        <v>92333390.330000088</v>
      </c>
      <c r="K1140" s="44">
        <f t="shared" si="17"/>
        <v>6.4699129300636808E-7</v>
      </c>
      <c r="L1140" s="22"/>
      <c r="M1140" s="22"/>
    </row>
    <row r="1141" spans="2:13" ht="12.75">
      <c r="B1141" s="21">
        <v>45237</v>
      </c>
      <c r="C1141" s="16"/>
      <c r="D1141" s="25" t="s">
        <v>286</v>
      </c>
      <c r="E1141" s="22"/>
      <c r="F1141" s="22"/>
      <c r="G1141" s="25"/>
      <c r="H1141" s="25"/>
      <c r="I1141" s="92">
        <v>19000</v>
      </c>
      <c r="J1141" s="26">
        <f>SUM($I$4:I1141)</f>
        <v>92352390.330000088</v>
      </c>
      <c r="K1141" s="44">
        <f t="shared" si="17"/>
        <v>2.4585669134241986E-4</v>
      </c>
      <c r="L1141" s="22"/>
      <c r="M1141" s="22"/>
    </row>
    <row r="1142" spans="2:13" ht="12.75">
      <c r="B1142" s="21">
        <v>45237</v>
      </c>
      <c r="C1142" s="16"/>
      <c r="D1142" s="25" t="s">
        <v>264</v>
      </c>
      <c r="E1142" s="22"/>
      <c r="F1142" s="22"/>
      <c r="G1142" s="25"/>
      <c r="H1142" s="25"/>
      <c r="I1142" s="92">
        <v>25</v>
      </c>
      <c r="J1142" s="26">
        <f>SUM($I$4:I1142)</f>
        <v>92352415.330000088</v>
      </c>
      <c r="K1142" s="44">
        <f t="shared" si="17"/>
        <v>3.2349564650318404E-7</v>
      </c>
      <c r="L1142" s="22"/>
      <c r="M1142" s="22"/>
    </row>
    <row r="1143" spans="2:13" ht="12.75">
      <c r="B1143" s="21">
        <v>45237</v>
      </c>
      <c r="C1143" s="16"/>
      <c r="D1143" s="25" t="s">
        <v>264</v>
      </c>
      <c r="E1143" s="22"/>
      <c r="F1143" s="22"/>
      <c r="G1143" s="25"/>
      <c r="H1143" s="25"/>
      <c r="I1143" s="92">
        <v>1.87</v>
      </c>
      <c r="J1143" s="26">
        <f>SUM($I$4:I1143)</f>
        <v>92352417.200000092</v>
      </c>
      <c r="K1143" s="44">
        <f t="shared" si="17"/>
        <v>2.4197474358438168E-8</v>
      </c>
      <c r="L1143" s="22"/>
      <c r="M1143" s="22"/>
    </row>
    <row r="1144" spans="2:13" ht="12.75">
      <c r="B1144" s="21">
        <v>45237</v>
      </c>
      <c r="C1144" s="16"/>
      <c r="D1144" s="25" t="s">
        <v>271</v>
      </c>
      <c r="E1144" s="22"/>
      <c r="F1144" s="22"/>
      <c r="G1144" s="25"/>
      <c r="H1144" s="25"/>
      <c r="I1144" s="92">
        <v>99378.23</v>
      </c>
      <c r="J1144" s="26">
        <f>SUM($I$4:I1144)</f>
        <v>92451795.430000097</v>
      </c>
      <c r="K1144" s="44">
        <f t="shared" si="17"/>
        <v>1.2859369904876848E-3</v>
      </c>
      <c r="L1144" s="22"/>
      <c r="M1144" s="22"/>
    </row>
    <row r="1145" spans="2:13" ht="12.75">
      <c r="B1145" s="21">
        <v>45237</v>
      </c>
      <c r="C1145" s="16"/>
      <c r="D1145" s="25" t="s">
        <v>264</v>
      </c>
      <c r="E1145" s="22"/>
      <c r="F1145" s="22"/>
      <c r="G1145" s="25"/>
      <c r="H1145" s="25"/>
      <c r="I1145" s="92">
        <v>50</v>
      </c>
      <c r="J1145" s="26">
        <f>SUM($I$4:I1145)</f>
        <v>92451845.430000097</v>
      </c>
      <c r="K1145" s="44">
        <f t="shared" si="17"/>
        <v>6.4699129300636808E-7</v>
      </c>
      <c r="L1145" s="22"/>
      <c r="M1145" s="22"/>
    </row>
    <row r="1146" spans="2:13" ht="12.75">
      <c r="B1146" s="21">
        <v>45237</v>
      </c>
      <c r="C1146" s="16"/>
      <c r="D1146" s="25" t="s">
        <v>264</v>
      </c>
      <c r="E1146" s="22"/>
      <c r="F1146" s="22"/>
      <c r="G1146" s="25"/>
      <c r="H1146" s="25"/>
      <c r="I1146" s="92">
        <v>3.75</v>
      </c>
      <c r="J1146" s="26">
        <f>SUM($I$4:I1146)</f>
        <v>92451849.180000097</v>
      </c>
      <c r="K1146" s="44">
        <f t="shared" si="17"/>
        <v>4.8524346975477608E-8</v>
      </c>
      <c r="L1146" s="22"/>
      <c r="M1146" s="22"/>
    </row>
    <row r="1147" spans="2:13" ht="12.75">
      <c r="B1147" s="21">
        <v>45237</v>
      </c>
      <c r="C1147" s="16"/>
      <c r="D1147" s="25" t="s">
        <v>271</v>
      </c>
      <c r="E1147" s="22"/>
      <c r="F1147" s="22"/>
      <c r="G1147" s="25"/>
      <c r="H1147" s="25"/>
      <c r="I1147" s="92">
        <v>80353.66</v>
      </c>
      <c r="J1147" s="26">
        <f>SUM($I$4:I1147)</f>
        <v>92532202.840000093</v>
      </c>
      <c r="K1147" s="44">
        <f t="shared" si="17"/>
        <v>1.0397623676238817E-3</v>
      </c>
      <c r="L1147" s="22"/>
      <c r="M1147" s="22"/>
    </row>
    <row r="1148" spans="2:13" ht="12.75">
      <c r="B1148" s="21">
        <v>45237</v>
      </c>
      <c r="C1148" s="16"/>
      <c r="D1148" s="25" t="s">
        <v>264</v>
      </c>
      <c r="E1148" s="22"/>
      <c r="F1148" s="22"/>
      <c r="G1148" s="25"/>
      <c r="H1148" s="25"/>
      <c r="I1148" s="92">
        <v>50</v>
      </c>
      <c r="J1148" s="26">
        <f>SUM($I$4:I1148)</f>
        <v>92532252.840000093</v>
      </c>
      <c r="K1148" s="44">
        <f t="shared" si="17"/>
        <v>6.4699129300636808E-7</v>
      </c>
      <c r="L1148" s="22"/>
      <c r="M1148" s="22"/>
    </row>
    <row r="1149" spans="2:13" ht="12.75">
      <c r="B1149" s="21">
        <v>45237</v>
      </c>
      <c r="C1149" s="16"/>
      <c r="D1149" s="25" t="s">
        <v>264</v>
      </c>
      <c r="E1149" s="22"/>
      <c r="F1149" s="22"/>
      <c r="G1149" s="25"/>
      <c r="H1149" s="25"/>
      <c r="I1149" s="92">
        <v>3.75</v>
      </c>
      <c r="J1149" s="26">
        <f>SUM($I$4:I1149)</f>
        <v>92532256.590000093</v>
      </c>
      <c r="K1149" s="44">
        <f t="shared" si="17"/>
        <v>4.8524346975477608E-8</v>
      </c>
      <c r="L1149" s="22"/>
      <c r="M1149" s="22"/>
    </row>
    <row r="1150" spans="2:13" ht="12.75">
      <c r="B1150" s="21">
        <v>45237</v>
      </c>
      <c r="C1150" s="16"/>
      <c r="D1150" s="25" t="s">
        <v>271</v>
      </c>
      <c r="E1150" s="22"/>
      <c r="F1150" s="22"/>
      <c r="G1150" s="25"/>
      <c r="H1150" s="25"/>
      <c r="I1150" s="92">
        <v>17635.939999999999</v>
      </c>
      <c r="J1150" s="26">
        <f>SUM($I$4:I1150)</f>
        <v>92549892.530000091</v>
      </c>
      <c r="K1150" s="44">
        <f t="shared" si="17"/>
        <v>2.2820599247965452E-4</v>
      </c>
      <c r="L1150" s="22"/>
      <c r="M1150" s="22"/>
    </row>
    <row r="1151" spans="2:13" ht="12.75">
      <c r="B1151" s="21">
        <v>45237</v>
      </c>
      <c r="C1151" s="16"/>
      <c r="D1151" s="25" t="s">
        <v>271</v>
      </c>
      <c r="E1151" s="22"/>
      <c r="F1151" s="22"/>
      <c r="G1151" s="25"/>
      <c r="H1151" s="25"/>
      <c r="I1151" s="92">
        <v>20353.66</v>
      </c>
      <c r="J1151" s="26">
        <f>SUM($I$4:I1151)</f>
        <v>92570246.190000087</v>
      </c>
      <c r="K1151" s="44">
        <f t="shared" si="17"/>
        <v>2.6337281601623988E-4</v>
      </c>
      <c r="L1151" s="22"/>
      <c r="M1151" s="22"/>
    </row>
    <row r="1152" spans="2:13" ht="12.75">
      <c r="B1152" s="21">
        <v>45237</v>
      </c>
      <c r="C1152" s="16"/>
      <c r="D1152" s="25" t="s">
        <v>271</v>
      </c>
      <c r="E1152" s="22"/>
      <c r="F1152" s="22"/>
      <c r="G1152" s="25"/>
      <c r="H1152" s="25"/>
      <c r="I1152" s="92">
        <v>168523.14</v>
      </c>
      <c r="J1152" s="26">
        <f>SUM($I$4:I1152)</f>
        <v>92738769.330000088</v>
      </c>
      <c r="K1152" s="44">
        <f t="shared" si="17"/>
        <v>2.1806600850018641E-3</v>
      </c>
      <c r="L1152" s="22"/>
      <c r="M1152" s="22"/>
    </row>
    <row r="1153" spans="2:13" ht="12.75">
      <c r="B1153" s="21">
        <v>45237</v>
      </c>
      <c r="C1153" s="16"/>
      <c r="D1153" s="25" t="s">
        <v>309</v>
      </c>
      <c r="E1153" s="22"/>
      <c r="F1153" s="22"/>
      <c r="G1153" s="25"/>
      <c r="H1153" s="25"/>
      <c r="I1153" s="92">
        <v>20000</v>
      </c>
      <c r="J1153" s="26">
        <f>SUM($I$4:I1153)</f>
        <v>92758769.330000088</v>
      </c>
      <c r="K1153" s="44">
        <f t="shared" si="17"/>
        <v>2.5879651720254722E-4</v>
      </c>
      <c r="L1153" s="22"/>
      <c r="M1153" s="22"/>
    </row>
    <row r="1154" spans="2:13" ht="12.75">
      <c r="B1154" s="21">
        <v>45237</v>
      </c>
      <c r="C1154" s="16"/>
      <c r="D1154" s="25" t="s">
        <v>309</v>
      </c>
      <c r="E1154" s="22"/>
      <c r="F1154" s="22"/>
      <c r="G1154" s="25"/>
      <c r="H1154" s="25"/>
      <c r="I1154" s="92">
        <v>20000</v>
      </c>
      <c r="J1154" s="26">
        <f>SUM($I$4:I1154)</f>
        <v>92778769.330000088</v>
      </c>
      <c r="K1154" s="44">
        <f t="shared" si="17"/>
        <v>2.5879651720254722E-4</v>
      </c>
      <c r="L1154" s="22"/>
      <c r="M1154" s="22"/>
    </row>
    <row r="1155" spans="2:13" ht="12.75">
      <c r="B1155" s="21">
        <v>45237</v>
      </c>
      <c r="C1155" s="16"/>
      <c r="D1155" s="25" t="s">
        <v>309</v>
      </c>
      <c r="E1155" s="22"/>
      <c r="F1155" s="22"/>
      <c r="G1155" s="25"/>
      <c r="H1155" s="25"/>
      <c r="I1155" s="92">
        <v>20000</v>
      </c>
      <c r="J1155" s="26">
        <f>SUM($I$4:I1155)</f>
        <v>92798769.330000088</v>
      </c>
      <c r="K1155" s="44">
        <f t="shared" si="17"/>
        <v>2.5879651720254722E-4</v>
      </c>
      <c r="L1155" s="22"/>
      <c r="M1155" s="22"/>
    </row>
    <row r="1156" spans="2:13" ht="12.75">
      <c r="B1156" s="21">
        <v>45237</v>
      </c>
      <c r="C1156" s="16"/>
      <c r="D1156" s="25" t="s">
        <v>271</v>
      </c>
      <c r="E1156" s="22"/>
      <c r="F1156" s="22"/>
      <c r="G1156" s="25"/>
      <c r="H1156" s="25"/>
      <c r="I1156" s="92">
        <v>159963.42000000001</v>
      </c>
      <c r="J1156" s="26">
        <f>SUM($I$4:I1156)</f>
        <v>92958732.750000089</v>
      </c>
      <c r="K1156" s="44">
        <f t="shared" si="17"/>
        <v>2.0698987987904146E-3</v>
      </c>
      <c r="L1156" s="22"/>
      <c r="M1156" s="22"/>
    </row>
    <row r="1157" spans="2:13" ht="12.75">
      <c r="B1157" s="21">
        <v>45237</v>
      </c>
      <c r="C1157" s="16"/>
      <c r="D1157" s="25" t="s">
        <v>309</v>
      </c>
      <c r="E1157" s="22"/>
      <c r="F1157" s="22"/>
      <c r="G1157" s="25"/>
      <c r="H1157" s="25"/>
      <c r="I1157" s="92">
        <v>20000</v>
      </c>
      <c r="J1157" s="26">
        <f>SUM($I$4:I1157)</f>
        <v>92978732.750000089</v>
      </c>
      <c r="K1157" s="44">
        <f t="shared" ref="K1157:K1220" si="18">IF(SUM($I$4:$I$830)=0,"",I1157/SUM($I$4:$I$830))</f>
        <v>2.5879651720254722E-4</v>
      </c>
      <c r="L1157" s="22"/>
      <c r="M1157" s="22"/>
    </row>
    <row r="1158" spans="2:13" ht="12.75">
      <c r="B1158" s="21">
        <v>45237</v>
      </c>
      <c r="C1158" s="16"/>
      <c r="D1158" s="25" t="s">
        <v>271</v>
      </c>
      <c r="E1158" s="22"/>
      <c r="F1158" s="22"/>
      <c r="G1158" s="25"/>
      <c r="H1158" s="25"/>
      <c r="I1158" s="92">
        <v>228207.66</v>
      </c>
      <c r="J1158" s="26">
        <f>SUM($I$4:I1158)</f>
        <v>93206940.410000086</v>
      </c>
      <c r="K1158" s="44">
        <f t="shared" si="18"/>
        <v>2.9529673803471526E-3</v>
      </c>
      <c r="L1158" s="22"/>
      <c r="M1158" s="22"/>
    </row>
    <row r="1159" spans="2:13" ht="12.75">
      <c r="B1159" s="21">
        <v>45237</v>
      </c>
      <c r="C1159" s="16"/>
      <c r="D1159" s="25" t="s">
        <v>264</v>
      </c>
      <c r="E1159" s="22"/>
      <c r="F1159" s="22"/>
      <c r="G1159" s="25"/>
      <c r="H1159" s="25"/>
      <c r="I1159" s="92">
        <v>105</v>
      </c>
      <c r="J1159" s="26">
        <f>SUM($I$4:I1159)</f>
        <v>93207045.410000086</v>
      </c>
      <c r="K1159" s="44">
        <f t="shared" si="18"/>
        <v>1.358681715313373E-6</v>
      </c>
      <c r="L1159" s="22"/>
      <c r="M1159" s="22"/>
    </row>
    <row r="1160" spans="2:13" ht="12.75">
      <c r="B1160" s="21">
        <v>45237</v>
      </c>
      <c r="C1160" s="16"/>
      <c r="D1160" s="25" t="s">
        <v>264</v>
      </c>
      <c r="E1160" s="22"/>
      <c r="F1160" s="22"/>
      <c r="G1160" s="25"/>
      <c r="H1160" s="25"/>
      <c r="I1160" s="92">
        <v>7.88</v>
      </c>
      <c r="J1160" s="26">
        <f>SUM($I$4:I1160)</f>
        <v>93207053.290000081</v>
      </c>
      <c r="K1160" s="44">
        <f t="shared" si="18"/>
        <v>1.019658277778036E-7</v>
      </c>
      <c r="L1160" s="22"/>
      <c r="M1160" s="22"/>
    </row>
    <row r="1161" spans="2:13" ht="12.75">
      <c r="B1161" s="21">
        <v>45237</v>
      </c>
      <c r="C1161" s="16"/>
      <c r="D1161" s="25" t="s">
        <v>264</v>
      </c>
      <c r="E1161" s="22"/>
      <c r="F1161" s="22"/>
      <c r="G1161" s="25"/>
      <c r="H1161" s="25"/>
      <c r="I1161" s="92">
        <v>60</v>
      </c>
      <c r="J1161" s="26">
        <f>SUM($I$4:I1161)</f>
        <v>93207113.290000081</v>
      </c>
      <c r="K1161" s="44">
        <f t="shared" si="18"/>
        <v>7.7638955160764173E-7</v>
      </c>
      <c r="L1161" s="22"/>
      <c r="M1161" s="22"/>
    </row>
    <row r="1162" spans="2:13" ht="12.75">
      <c r="B1162" s="21">
        <v>45237</v>
      </c>
      <c r="C1162" s="16"/>
      <c r="D1162" s="25" t="s">
        <v>264</v>
      </c>
      <c r="E1162" s="22"/>
      <c r="F1162" s="22"/>
      <c r="G1162" s="25"/>
      <c r="H1162" s="25"/>
      <c r="I1162" s="92">
        <v>4.5</v>
      </c>
      <c r="J1162" s="26">
        <f>SUM($I$4:I1162)</f>
        <v>93207117.790000081</v>
      </c>
      <c r="K1162" s="44">
        <f t="shared" si="18"/>
        <v>5.822921637057313E-8</v>
      </c>
      <c r="L1162" s="22"/>
      <c r="M1162" s="22"/>
    </row>
    <row r="1163" spans="2:13" ht="12.75">
      <c r="B1163" s="21">
        <v>45237</v>
      </c>
      <c r="C1163" s="16"/>
      <c r="D1163" s="25" t="s">
        <v>280</v>
      </c>
      <c r="E1163" s="22"/>
      <c r="F1163" s="22"/>
      <c r="G1163" s="25"/>
      <c r="H1163" s="25"/>
      <c r="I1163" s="92">
        <v>20000</v>
      </c>
      <c r="J1163" s="26">
        <f>SUM($I$4:I1163)</f>
        <v>93227117.790000081</v>
      </c>
      <c r="K1163" s="44">
        <f t="shared" si="18"/>
        <v>2.5879651720254722E-4</v>
      </c>
      <c r="L1163" s="22"/>
      <c r="M1163" s="22"/>
    </row>
    <row r="1164" spans="2:13" ht="12.75">
      <c r="B1164" s="21">
        <v>45237</v>
      </c>
      <c r="C1164" s="16"/>
      <c r="D1164" s="25" t="s">
        <v>264</v>
      </c>
      <c r="E1164" s="22"/>
      <c r="F1164" s="22"/>
      <c r="G1164" s="25"/>
      <c r="H1164" s="25"/>
      <c r="I1164" s="92">
        <v>25</v>
      </c>
      <c r="J1164" s="26">
        <f>SUM($I$4:I1164)</f>
        <v>93227142.790000081</v>
      </c>
      <c r="K1164" s="44">
        <f t="shared" si="18"/>
        <v>3.2349564650318404E-7</v>
      </c>
      <c r="L1164" s="22"/>
      <c r="M1164" s="22"/>
    </row>
    <row r="1165" spans="2:13" ht="12.75">
      <c r="B1165" s="21">
        <v>45237</v>
      </c>
      <c r="C1165" s="16"/>
      <c r="D1165" s="25" t="s">
        <v>264</v>
      </c>
      <c r="E1165" s="22"/>
      <c r="F1165" s="22"/>
      <c r="G1165" s="25"/>
      <c r="H1165" s="25"/>
      <c r="I1165" s="92">
        <v>1.87</v>
      </c>
      <c r="J1165" s="26">
        <f>SUM($I$4:I1165)</f>
        <v>93227144.660000086</v>
      </c>
      <c r="K1165" s="44">
        <f t="shared" si="18"/>
        <v>2.4197474358438168E-8</v>
      </c>
      <c r="L1165" s="22"/>
      <c r="M1165" s="22"/>
    </row>
    <row r="1166" spans="2:13" ht="12.75">
      <c r="B1166" s="21">
        <v>45237</v>
      </c>
      <c r="C1166" s="16"/>
      <c r="D1166" s="25" t="s">
        <v>280</v>
      </c>
      <c r="E1166" s="22"/>
      <c r="F1166" s="22"/>
      <c r="G1166" s="25"/>
      <c r="H1166" s="25"/>
      <c r="I1166" s="92">
        <v>20000</v>
      </c>
      <c r="J1166" s="26">
        <f>SUM($I$4:I1166)</f>
        <v>93247144.660000086</v>
      </c>
      <c r="K1166" s="44">
        <f t="shared" si="18"/>
        <v>2.5879651720254722E-4</v>
      </c>
      <c r="L1166" s="22"/>
      <c r="M1166" s="22"/>
    </row>
    <row r="1167" spans="2:13" ht="12.75">
      <c r="B1167" s="21">
        <v>45237</v>
      </c>
      <c r="C1167" s="16"/>
      <c r="D1167" s="25" t="s">
        <v>264</v>
      </c>
      <c r="E1167" s="22"/>
      <c r="F1167" s="22"/>
      <c r="G1167" s="25"/>
      <c r="H1167" s="25"/>
      <c r="I1167" s="92">
        <v>25</v>
      </c>
      <c r="J1167" s="26">
        <f>SUM($I$4:I1167)</f>
        <v>93247169.660000086</v>
      </c>
      <c r="K1167" s="44">
        <f t="shared" si="18"/>
        <v>3.2349564650318404E-7</v>
      </c>
      <c r="L1167" s="22"/>
      <c r="M1167" s="22"/>
    </row>
    <row r="1168" spans="2:13" ht="12.75">
      <c r="B1168" s="21">
        <v>45237</v>
      </c>
      <c r="C1168" s="16"/>
      <c r="D1168" s="25" t="s">
        <v>264</v>
      </c>
      <c r="E1168" s="22"/>
      <c r="F1168" s="22"/>
      <c r="G1168" s="25"/>
      <c r="H1168" s="25"/>
      <c r="I1168" s="92">
        <v>1.87</v>
      </c>
      <c r="J1168" s="26">
        <f>SUM($I$4:I1168)</f>
        <v>93247171.530000091</v>
      </c>
      <c r="K1168" s="44">
        <f t="shared" si="18"/>
        <v>2.4197474358438168E-8</v>
      </c>
      <c r="L1168" s="22"/>
      <c r="M1168" s="22"/>
    </row>
    <row r="1169" spans="2:13" ht="12.75">
      <c r="B1169" s="21">
        <v>45237</v>
      </c>
      <c r="C1169" s="16"/>
      <c r="D1169" s="25" t="s">
        <v>264</v>
      </c>
      <c r="E1169" s="22"/>
      <c r="F1169" s="22"/>
      <c r="G1169" s="25"/>
      <c r="H1169" s="25"/>
      <c r="I1169" s="92">
        <v>30</v>
      </c>
      <c r="J1169" s="26">
        <f>SUM($I$4:I1169)</f>
        <v>93247201.530000091</v>
      </c>
      <c r="K1169" s="44">
        <f t="shared" si="18"/>
        <v>3.8819477580382087E-7</v>
      </c>
      <c r="L1169" s="22"/>
      <c r="M1169" s="22"/>
    </row>
    <row r="1170" spans="2:13" ht="12.75">
      <c r="B1170" s="21">
        <v>45237</v>
      </c>
      <c r="C1170" s="16"/>
      <c r="D1170" s="25" t="s">
        <v>264</v>
      </c>
      <c r="E1170" s="22"/>
      <c r="F1170" s="22"/>
      <c r="G1170" s="25"/>
      <c r="H1170" s="25"/>
      <c r="I1170" s="92">
        <v>2.25</v>
      </c>
      <c r="J1170" s="26">
        <f>SUM($I$4:I1170)</f>
        <v>93247203.780000091</v>
      </c>
      <c r="K1170" s="44">
        <f t="shared" si="18"/>
        <v>2.9114608185286565E-8</v>
      </c>
      <c r="L1170" s="22"/>
      <c r="M1170" s="22"/>
    </row>
    <row r="1171" spans="2:13" ht="12.75">
      <c r="B1171" s="21">
        <v>45237</v>
      </c>
      <c r="C1171" s="16"/>
      <c r="D1171" s="25" t="s">
        <v>285</v>
      </c>
      <c r="E1171" s="22"/>
      <c r="F1171" s="22"/>
      <c r="G1171" s="25"/>
      <c r="H1171" s="25"/>
      <c r="I1171" s="92">
        <v>144000</v>
      </c>
      <c r="J1171" s="26">
        <f>SUM($I$4:I1171)</f>
        <v>93391203.780000091</v>
      </c>
      <c r="K1171" s="44">
        <f t="shared" si="18"/>
        <v>1.86333492385834E-3</v>
      </c>
      <c r="L1171" s="22"/>
      <c r="M1171" s="22"/>
    </row>
    <row r="1172" spans="2:13" ht="12.75">
      <c r="B1172" s="21">
        <v>45237</v>
      </c>
      <c r="C1172" s="16"/>
      <c r="D1172" s="25" t="s">
        <v>264</v>
      </c>
      <c r="E1172" s="22"/>
      <c r="F1172" s="22"/>
      <c r="G1172" s="25"/>
      <c r="H1172" s="25"/>
      <c r="I1172" s="92">
        <v>50</v>
      </c>
      <c r="J1172" s="26">
        <f>SUM($I$4:I1172)</f>
        <v>93391253.780000091</v>
      </c>
      <c r="K1172" s="44">
        <f t="shared" si="18"/>
        <v>6.4699129300636808E-7</v>
      </c>
      <c r="L1172" s="22"/>
      <c r="M1172" s="22"/>
    </row>
    <row r="1173" spans="2:13" ht="12.75">
      <c r="B1173" s="21">
        <v>45237</v>
      </c>
      <c r="C1173" s="16"/>
      <c r="D1173" s="25" t="s">
        <v>264</v>
      </c>
      <c r="E1173" s="22"/>
      <c r="F1173" s="22"/>
      <c r="G1173" s="25"/>
      <c r="H1173" s="25"/>
      <c r="I1173" s="92">
        <v>3.75</v>
      </c>
      <c r="J1173" s="26">
        <f>SUM($I$4:I1173)</f>
        <v>93391257.530000091</v>
      </c>
      <c r="K1173" s="44">
        <f t="shared" si="18"/>
        <v>4.8524346975477608E-8</v>
      </c>
      <c r="L1173" s="22"/>
      <c r="M1173" s="22"/>
    </row>
    <row r="1174" spans="2:13" ht="12.75">
      <c r="B1174" s="21">
        <v>45237</v>
      </c>
      <c r="C1174" s="16"/>
      <c r="D1174" s="25" t="s">
        <v>310</v>
      </c>
      <c r="E1174" s="22"/>
      <c r="F1174" s="22"/>
      <c r="G1174" s="25"/>
      <c r="H1174" s="25"/>
      <c r="I1174" s="92">
        <v>50000</v>
      </c>
      <c r="J1174" s="26">
        <f>SUM($I$4:I1174)</f>
        <v>93441257.530000091</v>
      </c>
      <c r="K1174" s="44">
        <f t="shared" si="18"/>
        <v>6.4699129300636806E-4</v>
      </c>
      <c r="L1174" s="22"/>
      <c r="M1174" s="22"/>
    </row>
    <row r="1175" spans="2:13" ht="12.75">
      <c r="B1175" s="21">
        <v>45237</v>
      </c>
      <c r="C1175" s="16"/>
      <c r="D1175" s="25" t="s">
        <v>264</v>
      </c>
      <c r="E1175" s="22"/>
      <c r="F1175" s="22"/>
      <c r="G1175" s="25"/>
      <c r="H1175" s="25"/>
      <c r="I1175" s="92">
        <v>25</v>
      </c>
      <c r="J1175" s="26">
        <f>SUM($I$4:I1175)</f>
        <v>93441282.530000091</v>
      </c>
      <c r="K1175" s="44">
        <f t="shared" si="18"/>
        <v>3.2349564650318404E-7</v>
      </c>
      <c r="L1175" s="22"/>
      <c r="M1175" s="22"/>
    </row>
    <row r="1176" spans="2:13" ht="12.75">
      <c r="B1176" s="21">
        <v>45237</v>
      </c>
      <c r="C1176" s="16"/>
      <c r="D1176" s="25" t="s">
        <v>264</v>
      </c>
      <c r="E1176" s="22"/>
      <c r="F1176" s="22"/>
      <c r="G1176" s="25"/>
      <c r="H1176" s="25"/>
      <c r="I1176" s="92">
        <v>1.87</v>
      </c>
      <c r="J1176" s="26">
        <f>SUM($I$4:I1176)</f>
        <v>93441284.400000095</v>
      </c>
      <c r="K1176" s="44">
        <f t="shared" si="18"/>
        <v>2.4197474358438168E-8</v>
      </c>
      <c r="L1176" s="22"/>
      <c r="M1176" s="22"/>
    </row>
    <row r="1177" spans="2:13" ht="12.75">
      <c r="B1177" s="21">
        <v>45237</v>
      </c>
      <c r="C1177" s="16"/>
      <c r="D1177" s="25" t="s">
        <v>292</v>
      </c>
      <c r="E1177" s="22"/>
      <c r="F1177" s="22"/>
      <c r="G1177" s="25"/>
      <c r="H1177" s="25"/>
      <c r="I1177" s="92">
        <v>75000</v>
      </c>
      <c r="J1177" s="26">
        <f>SUM($I$4:I1177)</f>
        <v>93516284.400000095</v>
      </c>
      <c r="K1177" s="44">
        <f t="shared" si="18"/>
        <v>9.7048693950955208E-4</v>
      </c>
      <c r="L1177" s="22"/>
      <c r="M1177" s="22"/>
    </row>
    <row r="1178" spans="2:13" ht="12.75">
      <c r="B1178" s="21">
        <v>45237</v>
      </c>
      <c r="C1178" s="16"/>
      <c r="D1178" s="25" t="s">
        <v>292</v>
      </c>
      <c r="E1178" s="22"/>
      <c r="F1178" s="22"/>
      <c r="G1178" s="25"/>
      <c r="H1178" s="25"/>
      <c r="I1178" s="92">
        <v>45000</v>
      </c>
      <c r="J1178" s="26">
        <f>SUM($I$4:I1178)</f>
        <v>93561284.400000095</v>
      </c>
      <c r="K1178" s="44">
        <f t="shared" si="18"/>
        <v>5.8229216370573125E-4</v>
      </c>
      <c r="L1178" s="22"/>
      <c r="M1178" s="22"/>
    </row>
    <row r="1179" spans="2:13" ht="12.75">
      <c r="B1179" s="21">
        <v>45237</v>
      </c>
      <c r="C1179" s="16"/>
      <c r="D1179" s="25" t="s">
        <v>271</v>
      </c>
      <c r="E1179" s="22"/>
      <c r="F1179" s="22"/>
      <c r="G1179" s="25"/>
      <c r="H1179" s="25"/>
      <c r="I1179" s="92">
        <v>3500</v>
      </c>
      <c r="J1179" s="26">
        <f>SUM($I$4:I1179)</f>
        <v>93564784.400000095</v>
      </c>
      <c r="K1179" s="44">
        <f t="shared" si="18"/>
        <v>4.5289390510445764E-5</v>
      </c>
      <c r="L1179" s="22"/>
      <c r="M1179" s="22"/>
    </row>
    <row r="1180" spans="2:13" ht="12.75">
      <c r="B1180" s="21">
        <v>45237</v>
      </c>
      <c r="C1180" s="16"/>
      <c r="D1180" s="25" t="s">
        <v>264</v>
      </c>
      <c r="E1180" s="22"/>
      <c r="F1180" s="22"/>
      <c r="G1180" s="25"/>
      <c r="H1180" s="25"/>
      <c r="I1180" s="92">
        <v>10</v>
      </c>
      <c r="J1180" s="26">
        <f>SUM($I$4:I1180)</f>
        <v>93564794.400000095</v>
      </c>
      <c r="K1180" s="44">
        <f t="shared" si="18"/>
        <v>1.293982586012736E-7</v>
      </c>
      <c r="L1180" s="22"/>
      <c r="M1180" s="22"/>
    </row>
    <row r="1181" spans="2:13" ht="12.75">
      <c r="B1181" s="21">
        <v>45237</v>
      </c>
      <c r="C1181" s="16"/>
      <c r="D1181" s="25" t="s">
        <v>264</v>
      </c>
      <c r="E1181" s="22"/>
      <c r="F1181" s="22"/>
      <c r="G1181" s="25"/>
      <c r="H1181" s="25"/>
      <c r="I1181" s="92">
        <v>0.75</v>
      </c>
      <c r="J1181" s="26">
        <f>SUM($I$4:I1181)</f>
        <v>93564795.150000095</v>
      </c>
      <c r="K1181" s="44">
        <f t="shared" si="18"/>
        <v>9.7048693950955217E-9</v>
      </c>
      <c r="L1181" s="22"/>
      <c r="M1181" s="22"/>
    </row>
    <row r="1182" spans="2:13" ht="12.75">
      <c r="B1182" s="21">
        <v>45238</v>
      </c>
      <c r="C1182" s="16"/>
      <c r="D1182" s="25" t="s">
        <v>264</v>
      </c>
      <c r="E1182" s="22"/>
      <c r="F1182" s="22"/>
      <c r="G1182" s="25"/>
      <c r="H1182" s="25"/>
      <c r="I1182" s="92">
        <v>50</v>
      </c>
      <c r="J1182" s="26">
        <f>SUM($I$4:I1182)</f>
        <v>93564845.150000095</v>
      </c>
      <c r="K1182" s="44">
        <f t="shared" si="18"/>
        <v>6.4699129300636808E-7</v>
      </c>
      <c r="L1182" s="22"/>
      <c r="M1182" s="22"/>
    </row>
    <row r="1183" spans="2:13" ht="12.75">
      <c r="B1183" s="21">
        <v>45243</v>
      </c>
      <c r="C1183" s="16"/>
      <c r="D1183" s="25" t="s">
        <v>271</v>
      </c>
      <c r="E1183" s="22"/>
      <c r="F1183" s="22"/>
      <c r="G1183" s="25"/>
      <c r="H1183" s="25"/>
      <c r="I1183" s="92">
        <v>60000</v>
      </c>
      <c r="J1183" s="26">
        <f>SUM($I$4:I1183)</f>
        <v>93624845.150000095</v>
      </c>
      <c r="K1183" s="44">
        <f t="shared" si="18"/>
        <v>7.7638955160764167E-4</v>
      </c>
      <c r="L1183" s="22"/>
      <c r="M1183" s="22"/>
    </row>
    <row r="1184" spans="2:13" ht="12.75">
      <c r="B1184" s="21">
        <v>45243</v>
      </c>
      <c r="C1184" s="16"/>
      <c r="D1184" s="25" t="s">
        <v>264</v>
      </c>
      <c r="E1184" s="22"/>
      <c r="F1184" s="22"/>
      <c r="G1184" s="25"/>
      <c r="H1184" s="25"/>
      <c r="I1184" s="92">
        <v>50</v>
      </c>
      <c r="J1184" s="26">
        <f>SUM($I$4:I1184)</f>
        <v>93624895.150000095</v>
      </c>
      <c r="K1184" s="44">
        <f t="shared" si="18"/>
        <v>6.4699129300636808E-7</v>
      </c>
      <c r="L1184" s="22"/>
      <c r="M1184" s="22"/>
    </row>
    <row r="1185" spans="2:13" ht="12.75">
      <c r="B1185" s="21">
        <v>45243</v>
      </c>
      <c r="C1185" s="16"/>
      <c r="D1185" s="25" t="s">
        <v>264</v>
      </c>
      <c r="E1185" s="22"/>
      <c r="F1185" s="22"/>
      <c r="G1185" s="25"/>
      <c r="H1185" s="25"/>
      <c r="I1185" s="92">
        <v>3.75</v>
      </c>
      <c r="J1185" s="26">
        <f>SUM($I$4:I1185)</f>
        <v>93624898.900000095</v>
      </c>
      <c r="K1185" s="44">
        <f t="shared" si="18"/>
        <v>4.8524346975477608E-8</v>
      </c>
      <c r="L1185" s="22"/>
      <c r="M1185" s="22"/>
    </row>
    <row r="1186" spans="2:13" ht="12.75">
      <c r="B1186" s="21">
        <v>45243</v>
      </c>
      <c r="C1186" s="16"/>
      <c r="D1186" s="25" t="s">
        <v>271</v>
      </c>
      <c r="E1186" s="22"/>
      <c r="F1186" s="22"/>
      <c r="G1186" s="25"/>
      <c r="H1186" s="25"/>
      <c r="I1186" s="92">
        <v>152000</v>
      </c>
      <c r="J1186" s="26">
        <f>SUM($I$4:I1186)</f>
        <v>93776898.900000095</v>
      </c>
      <c r="K1186" s="44">
        <f t="shared" si="18"/>
        <v>1.9668535307393589E-3</v>
      </c>
      <c r="L1186" s="22"/>
      <c r="M1186" s="22"/>
    </row>
    <row r="1187" spans="2:13" ht="12.75">
      <c r="B1187" s="21">
        <v>45243</v>
      </c>
      <c r="C1187" s="16"/>
      <c r="D1187" s="25" t="s">
        <v>264</v>
      </c>
      <c r="E1187" s="22"/>
      <c r="F1187" s="22"/>
      <c r="G1187" s="25"/>
      <c r="H1187" s="25"/>
      <c r="I1187" s="92">
        <v>50</v>
      </c>
      <c r="J1187" s="26">
        <f>SUM($I$4:I1187)</f>
        <v>93776948.900000095</v>
      </c>
      <c r="K1187" s="44">
        <f t="shared" si="18"/>
        <v>6.4699129300636808E-7</v>
      </c>
      <c r="L1187" s="22"/>
      <c r="M1187" s="22"/>
    </row>
    <row r="1188" spans="2:13" ht="12.75">
      <c r="B1188" s="21">
        <v>45243</v>
      </c>
      <c r="C1188" s="16"/>
      <c r="D1188" s="25" t="s">
        <v>264</v>
      </c>
      <c r="E1188" s="22"/>
      <c r="F1188" s="22"/>
      <c r="G1188" s="25"/>
      <c r="H1188" s="25"/>
      <c r="I1188" s="92">
        <v>3.75</v>
      </c>
      <c r="J1188" s="26">
        <f>SUM($I$4:I1188)</f>
        <v>93776952.650000095</v>
      </c>
      <c r="K1188" s="44">
        <f t="shared" si="18"/>
        <v>4.8524346975477608E-8</v>
      </c>
      <c r="L1188" s="22"/>
      <c r="M1188" s="22"/>
    </row>
    <row r="1189" spans="2:13" ht="12.75">
      <c r="B1189" s="21">
        <v>45243</v>
      </c>
      <c r="C1189" s="16"/>
      <c r="D1189" s="25" t="s">
        <v>271</v>
      </c>
      <c r="E1189" s="22"/>
      <c r="F1189" s="22"/>
      <c r="G1189" s="25"/>
      <c r="H1189" s="25"/>
      <c r="I1189" s="92">
        <v>30000</v>
      </c>
      <c r="J1189" s="26">
        <f>SUM($I$4:I1189)</f>
        <v>93806952.650000095</v>
      </c>
      <c r="K1189" s="44">
        <f t="shared" si="18"/>
        <v>3.8819477580382083E-4</v>
      </c>
      <c r="L1189" s="22"/>
      <c r="M1189" s="22"/>
    </row>
    <row r="1190" spans="2:13" ht="12.75">
      <c r="B1190" s="21">
        <v>45243</v>
      </c>
      <c r="C1190" s="16"/>
      <c r="D1190" s="25" t="s">
        <v>264</v>
      </c>
      <c r="E1190" s="22"/>
      <c r="F1190" s="22"/>
      <c r="G1190" s="25"/>
      <c r="H1190" s="25"/>
      <c r="I1190" s="92">
        <v>25</v>
      </c>
      <c r="J1190" s="26">
        <f>SUM($I$4:I1190)</f>
        <v>93806977.650000095</v>
      </c>
      <c r="K1190" s="44">
        <f t="shared" si="18"/>
        <v>3.2349564650318404E-7</v>
      </c>
      <c r="L1190" s="22"/>
      <c r="M1190" s="22"/>
    </row>
    <row r="1191" spans="2:13" ht="12.75">
      <c r="B1191" s="21">
        <v>45243</v>
      </c>
      <c r="C1191" s="16"/>
      <c r="D1191" s="25" t="s">
        <v>264</v>
      </c>
      <c r="E1191" s="22"/>
      <c r="F1191" s="22"/>
      <c r="G1191" s="25"/>
      <c r="H1191" s="25"/>
      <c r="I1191" s="92">
        <v>1.87</v>
      </c>
      <c r="J1191" s="26">
        <f>SUM($I$4:I1191)</f>
        <v>93806979.5200001</v>
      </c>
      <c r="K1191" s="44">
        <f t="shared" si="18"/>
        <v>2.4197474358438168E-8</v>
      </c>
      <c r="L1191" s="22"/>
      <c r="M1191" s="22"/>
    </row>
    <row r="1192" spans="2:13" ht="12.75">
      <c r="B1192" s="21">
        <v>45245</v>
      </c>
      <c r="C1192" s="16"/>
      <c r="D1192" s="25" t="s">
        <v>285</v>
      </c>
      <c r="E1192" s="22"/>
      <c r="F1192" s="22"/>
      <c r="G1192" s="25"/>
      <c r="H1192" s="25"/>
      <c r="I1192" s="92">
        <v>144000</v>
      </c>
      <c r="J1192" s="26">
        <f>SUM($I$4:I1192)</f>
        <v>93950979.5200001</v>
      </c>
      <c r="K1192" s="44">
        <f t="shared" si="18"/>
        <v>1.86333492385834E-3</v>
      </c>
      <c r="L1192" s="22"/>
      <c r="M1192" s="22"/>
    </row>
    <row r="1193" spans="2:13" ht="12.75">
      <c r="B1193" s="21">
        <v>45245</v>
      </c>
      <c r="C1193" s="16"/>
      <c r="D1193" s="25" t="s">
        <v>264</v>
      </c>
      <c r="E1193" s="22"/>
      <c r="F1193" s="22"/>
      <c r="G1193" s="25"/>
      <c r="H1193" s="25"/>
      <c r="I1193" s="92">
        <v>50</v>
      </c>
      <c r="J1193" s="26">
        <f>SUM($I$4:I1193)</f>
        <v>93951029.5200001</v>
      </c>
      <c r="K1193" s="44">
        <f t="shared" si="18"/>
        <v>6.4699129300636808E-7</v>
      </c>
      <c r="L1193" s="22"/>
      <c r="M1193" s="22"/>
    </row>
    <row r="1194" spans="2:13" ht="12.75">
      <c r="B1194" s="21">
        <v>45245</v>
      </c>
      <c r="C1194" s="16"/>
      <c r="D1194" s="25" t="s">
        <v>264</v>
      </c>
      <c r="E1194" s="22"/>
      <c r="F1194" s="22"/>
      <c r="G1194" s="25"/>
      <c r="H1194" s="25"/>
      <c r="I1194" s="92">
        <v>3.75</v>
      </c>
      <c r="J1194" s="26">
        <f>SUM($I$4:I1194)</f>
        <v>93951033.2700001</v>
      </c>
      <c r="K1194" s="44">
        <f t="shared" si="18"/>
        <v>4.8524346975477608E-8</v>
      </c>
      <c r="L1194" s="22"/>
      <c r="M1194" s="22"/>
    </row>
    <row r="1195" spans="2:13" ht="12.75">
      <c r="B1195" s="21">
        <v>45245</v>
      </c>
      <c r="C1195" s="16"/>
      <c r="D1195" s="25" t="s">
        <v>275</v>
      </c>
      <c r="E1195" s="22"/>
      <c r="F1195" s="22"/>
      <c r="G1195" s="25"/>
      <c r="H1195" s="25"/>
      <c r="I1195" s="92">
        <v>150400</v>
      </c>
      <c r="J1195" s="26">
        <f>SUM($I$4:I1195)</f>
        <v>94101433.2700001</v>
      </c>
      <c r="K1195" s="44">
        <f t="shared" si="18"/>
        <v>1.9461498093631552E-3</v>
      </c>
      <c r="L1195" s="22"/>
      <c r="M1195" s="22"/>
    </row>
    <row r="1196" spans="2:13" ht="12.75">
      <c r="B1196" s="21">
        <v>45245</v>
      </c>
      <c r="C1196" s="16"/>
      <c r="D1196" s="25" t="s">
        <v>264</v>
      </c>
      <c r="E1196" s="22"/>
      <c r="F1196" s="22"/>
      <c r="G1196" s="25"/>
      <c r="H1196" s="25"/>
      <c r="I1196" s="92">
        <v>50</v>
      </c>
      <c r="J1196" s="26">
        <f>SUM($I$4:I1196)</f>
        <v>94101483.2700001</v>
      </c>
      <c r="K1196" s="44">
        <f t="shared" si="18"/>
        <v>6.4699129300636808E-7</v>
      </c>
      <c r="L1196" s="22"/>
      <c r="M1196" s="22"/>
    </row>
    <row r="1197" spans="2:13" ht="12.75">
      <c r="B1197" s="21">
        <v>45245</v>
      </c>
      <c r="C1197" s="16"/>
      <c r="D1197" s="25" t="s">
        <v>264</v>
      </c>
      <c r="E1197" s="22"/>
      <c r="F1197" s="22"/>
      <c r="G1197" s="25"/>
      <c r="H1197" s="25"/>
      <c r="I1197" s="92">
        <v>3.75</v>
      </c>
      <c r="J1197" s="26">
        <f>SUM($I$4:I1197)</f>
        <v>94101487.0200001</v>
      </c>
      <c r="K1197" s="44">
        <f t="shared" si="18"/>
        <v>4.8524346975477608E-8</v>
      </c>
      <c r="L1197" s="22"/>
      <c r="M1197" s="22"/>
    </row>
    <row r="1198" spans="2:13" ht="12.75">
      <c r="B1198" s="21">
        <v>45245</v>
      </c>
      <c r="C1198" s="16"/>
      <c r="D1198" s="25" t="s">
        <v>285</v>
      </c>
      <c r="E1198" s="22"/>
      <c r="F1198" s="22"/>
      <c r="G1198" s="25"/>
      <c r="H1198" s="25"/>
      <c r="I1198" s="92">
        <v>48000</v>
      </c>
      <c r="J1198" s="26">
        <f>SUM($I$4:I1198)</f>
        <v>94149487.0200001</v>
      </c>
      <c r="K1198" s="44">
        <f t="shared" si="18"/>
        <v>6.2111164128611333E-4</v>
      </c>
      <c r="L1198" s="22"/>
      <c r="M1198" s="22"/>
    </row>
    <row r="1199" spans="2:13" ht="12.75">
      <c r="B1199" s="21">
        <v>45245</v>
      </c>
      <c r="C1199" s="16"/>
      <c r="D1199" s="25" t="s">
        <v>264</v>
      </c>
      <c r="E1199" s="22"/>
      <c r="F1199" s="22"/>
      <c r="G1199" s="25"/>
      <c r="H1199" s="25"/>
      <c r="I1199" s="92">
        <v>25</v>
      </c>
      <c r="J1199" s="26">
        <f>SUM($I$4:I1199)</f>
        <v>94149512.0200001</v>
      </c>
      <c r="K1199" s="44">
        <f t="shared" si="18"/>
        <v>3.2349564650318404E-7</v>
      </c>
      <c r="L1199" s="22"/>
      <c r="M1199" s="22"/>
    </row>
    <row r="1200" spans="2:13" ht="12.75">
      <c r="B1200" s="21">
        <v>45245</v>
      </c>
      <c r="C1200" s="16"/>
      <c r="D1200" s="25" t="s">
        <v>264</v>
      </c>
      <c r="E1200" s="22"/>
      <c r="F1200" s="22"/>
      <c r="G1200" s="25"/>
      <c r="H1200" s="25"/>
      <c r="I1200" s="92">
        <v>1.87</v>
      </c>
      <c r="J1200" s="26">
        <f>SUM($I$4:I1200)</f>
        <v>94149513.890000105</v>
      </c>
      <c r="K1200" s="44">
        <f t="shared" si="18"/>
        <v>2.4197474358438168E-8</v>
      </c>
      <c r="L1200" s="22"/>
      <c r="M1200" s="22"/>
    </row>
    <row r="1201" spans="2:13" ht="12.75">
      <c r="B1201" s="21">
        <v>45245</v>
      </c>
      <c r="C1201" s="16"/>
      <c r="D1201" s="25" t="s">
        <v>310</v>
      </c>
      <c r="E1201" s="22"/>
      <c r="F1201" s="22"/>
      <c r="G1201" s="25"/>
      <c r="H1201" s="25"/>
      <c r="I1201" s="92">
        <v>50000</v>
      </c>
      <c r="J1201" s="26">
        <f>SUM($I$4:I1201)</f>
        <v>94199513.890000105</v>
      </c>
      <c r="K1201" s="44">
        <f t="shared" si="18"/>
        <v>6.4699129300636806E-4</v>
      </c>
      <c r="L1201" s="22"/>
      <c r="M1201" s="22"/>
    </row>
    <row r="1202" spans="2:13" ht="12.75">
      <c r="B1202" s="21">
        <v>45245</v>
      </c>
      <c r="C1202" s="16"/>
      <c r="D1202" s="25" t="s">
        <v>264</v>
      </c>
      <c r="E1202" s="22"/>
      <c r="F1202" s="22"/>
      <c r="G1202" s="25"/>
      <c r="H1202" s="25"/>
      <c r="I1202" s="92">
        <v>25</v>
      </c>
      <c r="J1202" s="26">
        <f>SUM($I$4:I1202)</f>
        <v>94199538.890000105</v>
      </c>
      <c r="K1202" s="44">
        <f t="shared" si="18"/>
        <v>3.2349564650318404E-7</v>
      </c>
      <c r="L1202" s="22"/>
      <c r="M1202" s="22"/>
    </row>
    <row r="1203" spans="2:13" ht="12.75">
      <c r="B1203" s="21">
        <v>45245</v>
      </c>
      <c r="C1203" s="16"/>
      <c r="D1203" s="25" t="s">
        <v>264</v>
      </c>
      <c r="E1203" s="22"/>
      <c r="F1203" s="22"/>
      <c r="G1203" s="25"/>
      <c r="H1203" s="25"/>
      <c r="I1203" s="92">
        <v>1.87</v>
      </c>
      <c r="J1203" s="26">
        <f>SUM($I$4:I1203)</f>
        <v>94199540.76000011</v>
      </c>
      <c r="K1203" s="44">
        <f t="shared" si="18"/>
        <v>2.4197474358438168E-8</v>
      </c>
      <c r="L1203" s="22"/>
      <c r="M1203" s="22"/>
    </row>
    <row r="1204" spans="2:13" ht="12.75">
      <c r="B1204" s="21">
        <v>45245</v>
      </c>
      <c r="C1204" s="16"/>
      <c r="D1204" s="25" t="s">
        <v>286</v>
      </c>
      <c r="E1204" s="22"/>
      <c r="F1204" s="22"/>
      <c r="G1204" s="25"/>
      <c r="H1204" s="25"/>
      <c r="I1204" s="92">
        <v>27000</v>
      </c>
      <c r="J1204" s="26">
        <f>SUM($I$4:I1204)</f>
        <v>94226540.76000011</v>
      </c>
      <c r="K1204" s="44">
        <f t="shared" si="18"/>
        <v>3.4937529822343875E-4</v>
      </c>
      <c r="L1204" s="22"/>
      <c r="M1204" s="22"/>
    </row>
    <row r="1205" spans="2:13" ht="12.75">
      <c r="B1205" s="21">
        <v>45245</v>
      </c>
      <c r="C1205" s="16"/>
      <c r="D1205" s="25" t="s">
        <v>264</v>
      </c>
      <c r="E1205" s="22"/>
      <c r="F1205" s="22"/>
      <c r="G1205" s="25"/>
      <c r="H1205" s="25"/>
      <c r="I1205" s="92">
        <v>25</v>
      </c>
      <c r="J1205" s="26">
        <f>SUM($I$4:I1205)</f>
        <v>94226565.76000011</v>
      </c>
      <c r="K1205" s="44">
        <f t="shared" si="18"/>
        <v>3.2349564650318404E-7</v>
      </c>
      <c r="L1205" s="22"/>
      <c r="M1205" s="22"/>
    </row>
    <row r="1206" spans="2:13" ht="12.75">
      <c r="B1206" s="21">
        <v>45245</v>
      </c>
      <c r="C1206" s="16"/>
      <c r="D1206" s="25" t="s">
        <v>264</v>
      </c>
      <c r="E1206" s="22"/>
      <c r="F1206" s="22"/>
      <c r="G1206" s="25"/>
      <c r="H1206" s="25"/>
      <c r="I1206" s="92">
        <v>1.87</v>
      </c>
      <c r="J1206" s="26">
        <f>SUM($I$4:I1206)</f>
        <v>94226567.630000114</v>
      </c>
      <c r="K1206" s="44">
        <f t="shared" si="18"/>
        <v>2.4197474358438168E-8</v>
      </c>
      <c r="L1206" s="22"/>
      <c r="M1206" s="22"/>
    </row>
    <row r="1207" spans="2:13" ht="12.75">
      <c r="B1207" s="21">
        <v>45245</v>
      </c>
      <c r="C1207" s="16"/>
      <c r="D1207" s="25" t="s">
        <v>295</v>
      </c>
      <c r="E1207" s="22"/>
      <c r="F1207" s="22"/>
      <c r="G1207" s="25"/>
      <c r="H1207" s="25"/>
      <c r="I1207" s="92">
        <v>38100</v>
      </c>
      <c r="J1207" s="26">
        <f>SUM($I$4:I1207)</f>
        <v>94264667.630000114</v>
      </c>
      <c r="K1207" s="44">
        <f t="shared" si="18"/>
        <v>4.9300736527085247E-4</v>
      </c>
      <c r="L1207" s="22"/>
      <c r="M1207" s="22"/>
    </row>
    <row r="1208" spans="2:13" ht="12.75">
      <c r="B1208" s="21">
        <v>45245</v>
      </c>
      <c r="C1208" s="16"/>
      <c r="D1208" s="25" t="s">
        <v>264</v>
      </c>
      <c r="E1208" s="22"/>
      <c r="F1208" s="22"/>
      <c r="G1208" s="25"/>
      <c r="H1208" s="25"/>
      <c r="I1208" s="92">
        <v>25</v>
      </c>
      <c r="J1208" s="26">
        <f>SUM($I$4:I1208)</f>
        <v>94264692.630000114</v>
      </c>
      <c r="K1208" s="44">
        <f t="shared" si="18"/>
        <v>3.2349564650318404E-7</v>
      </c>
      <c r="L1208" s="22"/>
      <c r="M1208" s="22"/>
    </row>
    <row r="1209" spans="2:13" ht="12.75">
      <c r="B1209" s="21">
        <v>45245</v>
      </c>
      <c r="C1209" s="16"/>
      <c r="D1209" s="25" t="s">
        <v>264</v>
      </c>
      <c r="E1209" s="22"/>
      <c r="F1209" s="22"/>
      <c r="G1209" s="25"/>
      <c r="H1209" s="25"/>
      <c r="I1209" s="92">
        <v>1.87</v>
      </c>
      <c r="J1209" s="26">
        <f>SUM($I$4:I1209)</f>
        <v>94264694.500000119</v>
      </c>
      <c r="K1209" s="44">
        <f t="shared" si="18"/>
        <v>2.4197474358438168E-8</v>
      </c>
      <c r="L1209" s="22"/>
      <c r="M1209" s="22"/>
    </row>
    <row r="1210" spans="2:13" ht="12.75">
      <c r="B1210" s="21">
        <v>45245</v>
      </c>
      <c r="C1210" s="16"/>
      <c r="D1210" s="25" t="s">
        <v>318</v>
      </c>
      <c r="E1210" s="22"/>
      <c r="F1210" s="22"/>
      <c r="G1210" s="25"/>
      <c r="H1210" s="25"/>
      <c r="I1210" s="92">
        <v>7970</v>
      </c>
      <c r="J1210" s="26">
        <f>SUM($I$4:I1210)</f>
        <v>94272664.500000119</v>
      </c>
      <c r="K1210" s="44">
        <f t="shared" si="18"/>
        <v>1.0313041210521508E-4</v>
      </c>
      <c r="L1210" s="22"/>
      <c r="M1210" s="22"/>
    </row>
    <row r="1211" spans="2:13" ht="12.75">
      <c r="B1211" s="21">
        <v>45245</v>
      </c>
      <c r="C1211" s="16"/>
      <c r="D1211" s="25" t="s">
        <v>264</v>
      </c>
      <c r="E1211" s="22"/>
      <c r="F1211" s="22"/>
      <c r="G1211" s="25"/>
      <c r="H1211" s="25"/>
      <c r="I1211" s="92">
        <v>25</v>
      </c>
      <c r="J1211" s="26">
        <f>SUM($I$4:I1211)</f>
        <v>94272689.500000119</v>
      </c>
      <c r="K1211" s="44">
        <f t="shared" si="18"/>
        <v>3.2349564650318404E-7</v>
      </c>
      <c r="L1211" s="22"/>
      <c r="M1211" s="22"/>
    </row>
    <row r="1212" spans="2:13" ht="12.75">
      <c r="B1212" s="21">
        <v>45245</v>
      </c>
      <c r="C1212" s="16"/>
      <c r="D1212" s="25" t="s">
        <v>264</v>
      </c>
      <c r="E1212" s="22"/>
      <c r="F1212" s="22"/>
      <c r="G1212" s="25"/>
      <c r="H1212" s="25"/>
      <c r="I1212" s="92">
        <v>1.87</v>
      </c>
      <c r="J1212" s="26">
        <f>SUM($I$4:I1212)</f>
        <v>94272691.370000124</v>
      </c>
      <c r="K1212" s="44">
        <f t="shared" si="18"/>
        <v>2.4197474358438168E-8</v>
      </c>
      <c r="L1212" s="22"/>
      <c r="M1212" s="22"/>
    </row>
    <row r="1213" spans="2:13" ht="12.75">
      <c r="B1213" s="21">
        <v>45245</v>
      </c>
      <c r="C1213" s="16"/>
      <c r="D1213" s="25" t="s">
        <v>295</v>
      </c>
      <c r="E1213" s="22"/>
      <c r="F1213" s="22"/>
      <c r="G1213" s="25"/>
      <c r="H1213" s="25"/>
      <c r="I1213" s="92">
        <v>3500</v>
      </c>
      <c r="J1213" s="26">
        <f>SUM($I$4:I1213)</f>
        <v>94276191.370000124</v>
      </c>
      <c r="K1213" s="44">
        <f t="shared" si="18"/>
        <v>4.5289390510445764E-5</v>
      </c>
      <c r="L1213" s="22"/>
      <c r="M1213" s="22"/>
    </row>
    <row r="1214" spans="2:13" ht="12.75">
      <c r="B1214" s="21">
        <v>45253</v>
      </c>
      <c r="C1214" s="16"/>
      <c r="D1214" s="25" t="s">
        <v>285</v>
      </c>
      <c r="E1214" s="22"/>
      <c r="F1214" s="22"/>
      <c r="G1214" s="25"/>
      <c r="H1214" s="25"/>
      <c r="I1214" s="92">
        <v>15600</v>
      </c>
      <c r="J1214" s="26">
        <f>SUM($I$4:I1214)</f>
        <v>94291791.370000124</v>
      </c>
      <c r="K1214" s="44">
        <f t="shared" si="18"/>
        <v>2.0186128341798684E-4</v>
      </c>
      <c r="L1214" s="22"/>
      <c r="M1214" s="22"/>
    </row>
    <row r="1215" spans="2:13" ht="12.75">
      <c r="B1215" s="21">
        <v>45253</v>
      </c>
      <c r="C1215" s="16"/>
      <c r="D1215" s="25" t="s">
        <v>292</v>
      </c>
      <c r="E1215" s="22"/>
      <c r="F1215" s="22"/>
      <c r="G1215" s="25"/>
      <c r="H1215" s="25"/>
      <c r="I1215" s="92">
        <v>2560</v>
      </c>
      <c r="J1215" s="26">
        <f>SUM($I$4:I1215)</f>
        <v>94294351.370000124</v>
      </c>
      <c r="K1215" s="44">
        <f t="shared" si="18"/>
        <v>3.3125954201926043E-5</v>
      </c>
      <c r="L1215" s="22"/>
      <c r="M1215" s="22"/>
    </row>
    <row r="1216" spans="2:13" ht="12.75">
      <c r="B1216" s="21">
        <v>45253</v>
      </c>
      <c r="C1216" s="16"/>
      <c r="D1216" s="25" t="s">
        <v>276</v>
      </c>
      <c r="E1216" s="22"/>
      <c r="F1216" s="22"/>
      <c r="G1216" s="25"/>
      <c r="H1216" s="25"/>
      <c r="I1216" s="92">
        <v>50000</v>
      </c>
      <c r="J1216" s="26">
        <f>SUM($I$4:I1216)</f>
        <v>94344351.370000124</v>
      </c>
      <c r="K1216" s="44">
        <f t="shared" si="18"/>
        <v>6.4699129300636806E-4</v>
      </c>
      <c r="L1216" s="22"/>
      <c r="M1216" s="22"/>
    </row>
    <row r="1217" spans="2:13" ht="12.75">
      <c r="B1217" s="21">
        <v>45253</v>
      </c>
      <c r="C1217" s="16"/>
      <c r="D1217" s="25" t="s">
        <v>264</v>
      </c>
      <c r="E1217" s="22"/>
      <c r="F1217" s="22"/>
      <c r="G1217" s="25"/>
      <c r="H1217" s="25"/>
      <c r="I1217" s="92">
        <v>50</v>
      </c>
      <c r="J1217" s="26">
        <f>SUM($I$4:I1217)</f>
        <v>94344401.370000124</v>
      </c>
      <c r="K1217" s="44">
        <f t="shared" si="18"/>
        <v>6.4699129300636808E-7</v>
      </c>
      <c r="L1217" s="22"/>
      <c r="M1217" s="22"/>
    </row>
    <row r="1218" spans="2:13" ht="12.75">
      <c r="B1218" s="21">
        <v>45253</v>
      </c>
      <c r="C1218" s="16"/>
      <c r="D1218" s="25" t="s">
        <v>276</v>
      </c>
      <c r="E1218" s="22"/>
      <c r="F1218" s="22"/>
      <c r="G1218" s="25"/>
      <c r="H1218" s="25"/>
      <c r="I1218" s="92">
        <v>50000</v>
      </c>
      <c r="J1218" s="26">
        <f>SUM($I$4:I1218)</f>
        <v>94394401.370000124</v>
      </c>
      <c r="K1218" s="44">
        <f t="shared" si="18"/>
        <v>6.4699129300636806E-4</v>
      </c>
      <c r="L1218" s="22"/>
      <c r="M1218" s="22"/>
    </row>
    <row r="1219" spans="2:13" ht="12.75">
      <c r="B1219" s="21">
        <v>45253</v>
      </c>
      <c r="C1219" s="16"/>
      <c r="D1219" s="25" t="s">
        <v>264</v>
      </c>
      <c r="E1219" s="22"/>
      <c r="F1219" s="22"/>
      <c r="G1219" s="25"/>
      <c r="H1219" s="25"/>
      <c r="I1219" s="92">
        <v>50</v>
      </c>
      <c r="J1219" s="26">
        <f>SUM($I$4:I1219)</f>
        <v>94394451.370000124</v>
      </c>
      <c r="K1219" s="44">
        <f t="shared" si="18"/>
        <v>6.4699129300636808E-7</v>
      </c>
      <c r="L1219" s="22"/>
      <c r="M1219" s="22"/>
    </row>
    <row r="1220" spans="2:13" ht="12.75">
      <c r="B1220" s="21">
        <v>45253</v>
      </c>
      <c r="C1220" s="16"/>
      <c r="D1220" s="25" t="s">
        <v>276</v>
      </c>
      <c r="E1220" s="22"/>
      <c r="F1220" s="22"/>
      <c r="G1220" s="25"/>
      <c r="H1220" s="25"/>
      <c r="I1220" s="92">
        <v>1200000</v>
      </c>
      <c r="J1220" s="26">
        <f>SUM($I$4:I1220)</f>
        <v>95594451.370000124</v>
      </c>
      <c r="K1220" s="44">
        <f t="shared" si="18"/>
        <v>1.5527791032152833E-2</v>
      </c>
      <c r="L1220" s="22"/>
      <c r="M1220" s="22"/>
    </row>
    <row r="1221" spans="2:13" ht="12.75">
      <c r="B1221" s="21">
        <v>45253</v>
      </c>
      <c r="C1221" s="16"/>
      <c r="D1221" s="25" t="s">
        <v>264</v>
      </c>
      <c r="E1221" s="22"/>
      <c r="F1221" s="22"/>
      <c r="G1221" s="25"/>
      <c r="H1221" s="25"/>
      <c r="I1221" s="92">
        <v>50</v>
      </c>
      <c r="J1221" s="26">
        <f>SUM($I$4:I1221)</f>
        <v>95594501.370000124</v>
      </c>
      <c r="K1221" s="44">
        <f t="shared" ref="K1221:K1284" si="19">IF(SUM($I$4:$I$830)=0,"",I1221/SUM($I$4:$I$830))</f>
        <v>6.4699129300636808E-7</v>
      </c>
      <c r="L1221" s="22"/>
      <c r="M1221" s="22"/>
    </row>
    <row r="1222" spans="2:13" ht="12.75">
      <c r="B1222" s="21">
        <v>45253</v>
      </c>
      <c r="C1222" s="16"/>
      <c r="D1222" s="25" t="s">
        <v>312</v>
      </c>
      <c r="E1222" s="22"/>
      <c r="F1222" s="22"/>
      <c r="G1222" s="25"/>
      <c r="H1222" s="25"/>
      <c r="I1222" s="92">
        <v>219220.15</v>
      </c>
      <c r="J1222" s="26">
        <f>SUM($I$4:I1222)</f>
        <v>95813721.52000013</v>
      </c>
      <c r="K1222" s="44">
        <f t="shared" si="19"/>
        <v>2.8366705660309993E-3</v>
      </c>
      <c r="L1222" s="22"/>
      <c r="M1222" s="22"/>
    </row>
    <row r="1223" spans="2:13" ht="12.75">
      <c r="B1223" s="21">
        <v>45253</v>
      </c>
      <c r="C1223" s="16"/>
      <c r="D1223" s="25" t="s">
        <v>264</v>
      </c>
      <c r="E1223" s="22"/>
      <c r="F1223" s="22"/>
      <c r="G1223" s="25"/>
      <c r="H1223" s="25"/>
      <c r="I1223" s="92">
        <v>100</v>
      </c>
      <c r="J1223" s="26">
        <f>SUM($I$4:I1223)</f>
        <v>95813821.52000013</v>
      </c>
      <c r="K1223" s="44">
        <f t="shared" si="19"/>
        <v>1.2939825860127362E-6</v>
      </c>
      <c r="L1223" s="22"/>
      <c r="M1223" s="22"/>
    </row>
    <row r="1224" spans="2:13" ht="12.75">
      <c r="B1224" s="21">
        <v>45253</v>
      </c>
      <c r="C1224" s="16"/>
      <c r="D1224" s="25" t="s">
        <v>264</v>
      </c>
      <c r="E1224" s="22"/>
      <c r="F1224" s="22"/>
      <c r="G1224" s="25"/>
      <c r="H1224" s="25"/>
      <c r="I1224" s="92">
        <v>50</v>
      </c>
      <c r="J1224" s="26">
        <f>SUM($I$4:I1224)</f>
        <v>95813871.52000013</v>
      </c>
      <c r="K1224" s="44">
        <f t="shared" si="19"/>
        <v>6.4699129300636808E-7</v>
      </c>
      <c r="L1224" s="22"/>
      <c r="M1224" s="22"/>
    </row>
    <row r="1225" spans="2:13" ht="12.75">
      <c r="B1225" s="21">
        <v>45257</v>
      </c>
      <c r="C1225" s="16"/>
      <c r="D1225" s="25" t="s">
        <v>285</v>
      </c>
      <c r="E1225" s="22"/>
      <c r="F1225" s="22"/>
      <c r="G1225" s="25"/>
      <c r="H1225" s="25"/>
      <c r="I1225" s="92">
        <v>120000</v>
      </c>
      <c r="J1225" s="26">
        <f>SUM($I$4:I1225)</f>
        <v>95933871.52000013</v>
      </c>
      <c r="K1225" s="44">
        <f t="shared" si="19"/>
        <v>1.5527791032152833E-3</v>
      </c>
      <c r="L1225" s="22"/>
      <c r="M1225" s="22"/>
    </row>
    <row r="1226" spans="2:13" ht="12.75">
      <c r="B1226" s="21">
        <v>45257</v>
      </c>
      <c r="C1226" s="16"/>
      <c r="D1226" s="25" t="s">
        <v>264</v>
      </c>
      <c r="E1226" s="22"/>
      <c r="F1226" s="22"/>
      <c r="G1226" s="25"/>
      <c r="H1226" s="25"/>
      <c r="I1226" s="92">
        <v>50</v>
      </c>
      <c r="J1226" s="26">
        <f>SUM($I$4:I1226)</f>
        <v>95933921.52000013</v>
      </c>
      <c r="K1226" s="44">
        <f t="shared" si="19"/>
        <v>6.4699129300636808E-7</v>
      </c>
      <c r="L1226" s="22"/>
      <c r="M1226" s="22"/>
    </row>
    <row r="1227" spans="2:13" ht="12.75">
      <c r="B1227" s="21">
        <v>45257</v>
      </c>
      <c r="C1227" s="16"/>
      <c r="D1227" s="25" t="s">
        <v>264</v>
      </c>
      <c r="E1227" s="22"/>
      <c r="F1227" s="22"/>
      <c r="G1227" s="25"/>
      <c r="H1227" s="25"/>
      <c r="I1227" s="92">
        <v>3.75</v>
      </c>
      <c r="J1227" s="26">
        <f>SUM($I$4:I1227)</f>
        <v>95933925.27000013</v>
      </c>
      <c r="K1227" s="44">
        <f t="shared" si="19"/>
        <v>4.8524346975477608E-8</v>
      </c>
      <c r="L1227" s="22"/>
      <c r="M1227" s="22"/>
    </row>
    <row r="1228" spans="2:13" ht="12.75">
      <c r="B1228" s="21">
        <v>45257</v>
      </c>
      <c r="C1228" s="16"/>
      <c r="D1228" s="25" t="s">
        <v>289</v>
      </c>
      <c r="E1228" s="22"/>
      <c r="F1228" s="22"/>
      <c r="G1228" s="25"/>
      <c r="H1228" s="25"/>
      <c r="I1228" s="92">
        <v>50000</v>
      </c>
      <c r="J1228" s="26">
        <f>SUM($I$4:I1228)</f>
        <v>95983925.27000013</v>
      </c>
      <c r="K1228" s="44">
        <f t="shared" si="19"/>
        <v>6.4699129300636806E-4</v>
      </c>
      <c r="L1228" s="22"/>
      <c r="M1228" s="22"/>
    </row>
    <row r="1229" spans="2:13" ht="12.75">
      <c r="B1229" s="21">
        <v>45257</v>
      </c>
      <c r="C1229" s="16"/>
      <c r="D1229" s="25" t="s">
        <v>264</v>
      </c>
      <c r="E1229" s="22"/>
      <c r="F1229" s="22"/>
      <c r="G1229" s="25"/>
      <c r="H1229" s="25"/>
      <c r="I1229" s="92">
        <v>25</v>
      </c>
      <c r="J1229" s="26">
        <f>SUM($I$4:I1229)</f>
        <v>95983950.27000013</v>
      </c>
      <c r="K1229" s="44">
        <f t="shared" si="19"/>
        <v>3.2349564650318404E-7</v>
      </c>
      <c r="L1229" s="22"/>
      <c r="M1229" s="22"/>
    </row>
    <row r="1230" spans="2:13" ht="12.75">
      <c r="B1230" s="21">
        <v>45257</v>
      </c>
      <c r="C1230" s="16"/>
      <c r="D1230" s="25" t="s">
        <v>264</v>
      </c>
      <c r="E1230" s="22"/>
      <c r="F1230" s="22"/>
      <c r="G1230" s="25"/>
      <c r="H1230" s="25"/>
      <c r="I1230" s="92">
        <v>1.87</v>
      </c>
      <c r="J1230" s="26">
        <f>SUM($I$4:I1230)</f>
        <v>95983952.140000135</v>
      </c>
      <c r="K1230" s="44">
        <f t="shared" si="19"/>
        <v>2.4197474358438168E-8</v>
      </c>
      <c r="L1230" s="22"/>
      <c r="M1230" s="22"/>
    </row>
    <row r="1231" spans="2:13" ht="12.75">
      <c r="B1231" s="21">
        <v>45260</v>
      </c>
      <c r="C1231" s="16"/>
      <c r="D1231" s="25" t="s">
        <v>264</v>
      </c>
      <c r="E1231" s="22"/>
      <c r="F1231" s="22"/>
      <c r="G1231" s="25"/>
      <c r="H1231" s="25"/>
      <c r="I1231" s="92">
        <v>428</v>
      </c>
      <c r="J1231" s="26">
        <f>SUM($I$4:I1231)</f>
        <v>95984380.140000135</v>
      </c>
      <c r="K1231" s="44">
        <f t="shared" si="19"/>
        <v>5.5382454681345105E-6</v>
      </c>
      <c r="L1231" s="22"/>
      <c r="M1231" s="22"/>
    </row>
    <row r="1232" spans="2:13" ht="12.75">
      <c r="B1232" s="21">
        <v>45260</v>
      </c>
      <c r="C1232" s="16"/>
      <c r="D1232" s="25" t="s">
        <v>264</v>
      </c>
      <c r="E1232" s="22"/>
      <c r="F1232" s="22"/>
      <c r="G1232" s="25"/>
      <c r="H1232" s="25"/>
      <c r="I1232" s="92">
        <v>32.1</v>
      </c>
      <c r="J1232" s="26">
        <f>SUM($I$4:I1232)</f>
        <v>95984412.240000129</v>
      </c>
      <c r="K1232" s="44">
        <f t="shared" si="19"/>
        <v>4.1536841011008834E-7</v>
      </c>
      <c r="L1232" s="22"/>
      <c r="M1232" s="22"/>
    </row>
    <row r="1233" spans="2:13" ht="12.75">
      <c r="B1233" s="21">
        <v>45260</v>
      </c>
      <c r="C1233" s="16"/>
      <c r="D1233" s="25" t="s">
        <v>264</v>
      </c>
      <c r="E1233" s="22"/>
      <c r="F1233" s="22"/>
      <c r="G1233" s="25"/>
      <c r="H1233" s="25"/>
      <c r="I1233" s="92">
        <v>3649.95</v>
      </c>
      <c r="J1233" s="26">
        <f>SUM($I$4:I1233)</f>
        <v>95988062.190000132</v>
      </c>
      <c r="K1233" s="44">
        <f t="shared" si="19"/>
        <v>4.7229717398171858E-5</v>
      </c>
      <c r="L1233" s="22"/>
      <c r="M1233" s="22"/>
    </row>
    <row r="1234" spans="2:13" ht="12.75">
      <c r="B1234" s="21">
        <v>45260</v>
      </c>
      <c r="C1234" s="16"/>
      <c r="D1234" s="25" t="s">
        <v>264</v>
      </c>
      <c r="E1234" s="22"/>
      <c r="F1234" s="22"/>
      <c r="G1234" s="25"/>
      <c r="H1234" s="25"/>
      <c r="I1234" s="92">
        <v>273.75</v>
      </c>
      <c r="J1234" s="26">
        <f>SUM($I$4:I1234)</f>
        <v>95988335.940000132</v>
      </c>
      <c r="K1234" s="44">
        <f t="shared" si="19"/>
        <v>3.5422773292098653E-6</v>
      </c>
      <c r="L1234" s="22"/>
      <c r="M1234" s="22"/>
    </row>
    <row r="1235" spans="2:13" ht="12.75">
      <c r="B1235" s="21">
        <v>45261</v>
      </c>
      <c r="C1235" s="16"/>
      <c r="D1235" s="25" t="s">
        <v>271</v>
      </c>
      <c r="E1235" s="22"/>
      <c r="F1235" s="22"/>
      <c r="G1235" s="25"/>
      <c r="H1235" s="25"/>
      <c r="I1235" s="92">
        <v>63694.06</v>
      </c>
      <c r="J1235" s="26">
        <f>SUM($I$4:I1235)</f>
        <v>96052030.000000134</v>
      </c>
      <c r="K1235" s="44">
        <f t="shared" si="19"/>
        <v>8.2419004472450376E-4</v>
      </c>
      <c r="L1235" s="22"/>
      <c r="M1235" s="22"/>
    </row>
    <row r="1236" spans="2:13" ht="12.75">
      <c r="B1236" s="21">
        <v>45261</v>
      </c>
      <c r="C1236" s="16"/>
      <c r="D1236" s="25" t="s">
        <v>264</v>
      </c>
      <c r="E1236" s="22"/>
      <c r="F1236" s="22"/>
      <c r="G1236" s="25"/>
      <c r="H1236" s="25"/>
      <c r="I1236" s="92">
        <v>50</v>
      </c>
      <c r="J1236" s="26">
        <f>SUM($I$4:I1236)</f>
        <v>96052080.000000134</v>
      </c>
      <c r="K1236" s="44">
        <f t="shared" si="19"/>
        <v>6.4699129300636808E-7</v>
      </c>
      <c r="L1236" s="22"/>
      <c r="M1236" s="22"/>
    </row>
    <row r="1237" spans="2:13" ht="12.75">
      <c r="B1237" s="21">
        <v>45261</v>
      </c>
      <c r="C1237" s="16"/>
      <c r="D1237" s="25" t="s">
        <v>264</v>
      </c>
      <c r="E1237" s="22"/>
      <c r="F1237" s="22"/>
      <c r="G1237" s="25"/>
      <c r="H1237" s="25"/>
      <c r="I1237" s="92">
        <v>3.75</v>
      </c>
      <c r="J1237" s="26">
        <f>SUM($I$4:I1237)</f>
        <v>96052083.750000134</v>
      </c>
      <c r="K1237" s="44">
        <f t="shared" si="19"/>
        <v>4.8524346975477608E-8</v>
      </c>
      <c r="L1237" s="22"/>
      <c r="M1237" s="22"/>
    </row>
    <row r="1238" spans="2:13" ht="12.75">
      <c r="B1238" s="21">
        <v>45261</v>
      </c>
      <c r="C1238" s="16"/>
      <c r="D1238" s="25" t="s">
        <v>271</v>
      </c>
      <c r="E1238" s="22"/>
      <c r="F1238" s="22"/>
      <c r="G1238" s="25"/>
      <c r="H1238" s="25"/>
      <c r="I1238" s="92">
        <v>53612.07</v>
      </c>
      <c r="J1238" s="26">
        <f>SUM($I$4:I1238)</f>
        <v>96105695.820000127</v>
      </c>
      <c r="K1238" s="44">
        <f t="shared" si="19"/>
        <v>6.9373084980095827E-4</v>
      </c>
      <c r="L1238" s="22"/>
      <c r="M1238" s="22"/>
    </row>
    <row r="1239" spans="2:13" ht="12.75">
      <c r="B1239" s="21">
        <v>45261</v>
      </c>
      <c r="C1239" s="16"/>
      <c r="D1239" s="25" t="s">
        <v>264</v>
      </c>
      <c r="E1239" s="22"/>
      <c r="F1239" s="22"/>
      <c r="G1239" s="25"/>
      <c r="H1239" s="25"/>
      <c r="I1239" s="92">
        <v>50</v>
      </c>
      <c r="J1239" s="26">
        <f>SUM($I$4:I1239)</f>
        <v>96105745.820000127</v>
      </c>
      <c r="K1239" s="44">
        <f t="shared" si="19"/>
        <v>6.4699129300636808E-7</v>
      </c>
      <c r="L1239" s="22"/>
      <c r="M1239" s="22"/>
    </row>
    <row r="1240" spans="2:13" ht="12.75">
      <c r="B1240" s="21">
        <v>45261</v>
      </c>
      <c r="C1240" s="16"/>
      <c r="D1240" s="25" t="s">
        <v>264</v>
      </c>
      <c r="E1240" s="22"/>
      <c r="F1240" s="22"/>
      <c r="G1240" s="25"/>
      <c r="H1240" s="25"/>
      <c r="I1240" s="92">
        <v>3.75</v>
      </c>
      <c r="J1240" s="26">
        <f>SUM($I$4:I1240)</f>
        <v>96105749.570000127</v>
      </c>
      <c r="K1240" s="44">
        <f t="shared" si="19"/>
        <v>4.8524346975477608E-8</v>
      </c>
      <c r="L1240" s="22"/>
      <c r="M1240" s="22"/>
    </row>
    <row r="1241" spans="2:13" ht="12.75">
      <c r="B1241" s="21">
        <v>45261</v>
      </c>
      <c r="C1241" s="16"/>
      <c r="D1241" s="25" t="s">
        <v>271</v>
      </c>
      <c r="E1241" s="22"/>
      <c r="F1241" s="22"/>
      <c r="G1241" s="25"/>
      <c r="H1241" s="25"/>
      <c r="I1241" s="92">
        <v>97090.67</v>
      </c>
      <c r="J1241" s="26">
        <f>SUM($I$4:I1241)</f>
        <v>96202840.240000129</v>
      </c>
      <c r="K1241" s="44">
        <f t="shared" si="19"/>
        <v>1.2563363624430919E-3</v>
      </c>
      <c r="L1241" s="22"/>
      <c r="M1241" s="22"/>
    </row>
    <row r="1242" spans="2:13" ht="12.75">
      <c r="B1242" s="21">
        <v>45261</v>
      </c>
      <c r="C1242" s="16"/>
      <c r="D1242" s="25" t="s">
        <v>264</v>
      </c>
      <c r="E1242" s="22"/>
      <c r="F1242" s="22"/>
      <c r="G1242" s="25"/>
      <c r="H1242" s="25"/>
      <c r="I1242" s="92">
        <v>50</v>
      </c>
      <c r="J1242" s="26">
        <f>SUM($I$4:I1242)</f>
        <v>96202890.240000129</v>
      </c>
      <c r="K1242" s="44">
        <f t="shared" si="19"/>
        <v>6.4699129300636808E-7</v>
      </c>
      <c r="L1242" s="22"/>
      <c r="M1242" s="22"/>
    </row>
    <row r="1243" spans="2:13" ht="12.75">
      <c r="B1243" s="21">
        <v>45261</v>
      </c>
      <c r="C1243" s="16"/>
      <c r="D1243" s="25" t="s">
        <v>264</v>
      </c>
      <c r="E1243" s="22"/>
      <c r="F1243" s="22"/>
      <c r="G1243" s="25"/>
      <c r="H1243" s="25"/>
      <c r="I1243" s="92">
        <v>3.75</v>
      </c>
      <c r="J1243" s="26">
        <f>SUM($I$4:I1243)</f>
        <v>96202893.990000129</v>
      </c>
      <c r="K1243" s="44">
        <f t="shared" si="19"/>
        <v>4.8524346975477608E-8</v>
      </c>
      <c r="L1243" s="22"/>
      <c r="M1243" s="22"/>
    </row>
    <row r="1244" spans="2:13" ht="12.75">
      <c r="B1244" s="21">
        <v>45261</v>
      </c>
      <c r="C1244" s="16"/>
      <c r="D1244" s="25" t="s">
        <v>280</v>
      </c>
      <c r="E1244" s="22"/>
      <c r="F1244" s="22"/>
      <c r="G1244" s="25"/>
      <c r="H1244" s="25"/>
      <c r="I1244" s="92">
        <v>12727.27</v>
      </c>
      <c r="J1244" s="26">
        <f>SUM($I$4:I1244)</f>
        <v>96215621.260000125</v>
      </c>
      <c r="K1244" s="44">
        <f t="shared" si="19"/>
        <v>1.6468865747482317E-4</v>
      </c>
      <c r="L1244" s="22"/>
      <c r="M1244" s="22"/>
    </row>
    <row r="1245" spans="2:13" ht="12.75">
      <c r="B1245" s="21">
        <v>45261</v>
      </c>
      <c r="C1245" s="16"/>
      <c r="D1245" s="25" t="s">
        <v>264</v>
      </c>
      <c r="E1245" s="22"/>
      <c r="F1245" s="22"/>
      <c r="G1245" s="25"/>
      <c r="H1245" s="25"/>
      <c r="I1245" s="92">
        <v>25</v>
      </c>
      <c r="J1245" s="26">
        <f>SUM($I$4:I1245)</f>
        <v>96215646.260000125</v>
      </c>
      <c r="K1245" s="44">
        <f t="shared" si="19"/>
        <v>3.2349564650318404E-7</v>
      </c>
      <c r="L1245" s="22"/>
      <c r="M1245" s="22"/>
    </row>
    <row r="1246" spans="2:13" ht="12.75">
      <c r="B1246" s="21">
        <v>45261</v>
      </c>
      <c r="C1246" s="16"/>
      <c r="D1246" s="25" t="s">
        <v>264</v>
      </c>
      <c r="E1246" s="22"/>
      <c r="F1246" s="22"/>
      <c r="G1246" s="25"/>
      <c r="H1246" s="25"/>
      <c r="I1246" s="92">
        <v>1.87</v>
      </c>
      <c r="J1246" s="26">
        <f>SUM($I$4:I1246)</f>
        <v>96215648.130000129</v>
      </c>
      <c r="K1246" s="44">
        <f t="shared" si="19"/>
        <v>2.4197474358438168E-8</v>
      </c>
      <c r="L1246" s="22"/>
      <c r="M1246" s="22"/>
    </row>
    <row r="1247" spans="2:13" ht="12.75">
      <c r="B1247" s="21">
        <v>45261</v>
      </c>
      <c r="C1247" s="16"/>
      <c r="D1247" s="25" t="s">
        <v>280</v>
      </c>
      <c r="E1247" s="22"/>
      <c r="F1247" s="22"/>
      <c r="G1247" s="25"/>
      <c r="H1247" s="25"/>
      <c r="I1247" s="92">
        <v>12727.27</v>
      </c>
      <c r="J1247" s="26">
        <f>SUM($I$4:I1247)</f>
        <v>96228375.400000125</v>
      </c>
      <c r="K1247" s="44">
        <f t="shared" si="19"/>
        <v>1.6468865747482317E-4</v>
      </c>
      <c r="L1247" s="22"/>
      <c r="M1247" s="22"/>
    </row>
    <row r="1248" spans="2:13" ht="12.75">
      <c r="B1248" s="21">
        <v>45261</v>
      </c>
      <c r="C1248" s="16"/>
      <c r="D1248" s="25" t="s">
        <v>264</v>
      </c>
      <c r="E1248" s="22"/>
      <c r="F1248" s="22"/>
      <c r="G1248" s="25"/>
      <c r="H1248" s="25"/>
      <c r="I1248" s="92">
        <v>25</v>
      </c>
      <c r="J1248" s="26">
        <f>SUM($I$4:I1248)</f>
        <v>96228400.400000125</v>
      </c>
      <c r="K1248" s="44">
        <f t="shared" si="19"/>
        <v>3.2349564650318404E-7</v>
      </c>
      <c r="L1248" s="22"/>
      <c r="M1248" s="22"/>
    </row>
    <row r="1249" spans="2:13" ht="12.75">
      <c r="B1249" s="21">
        <v>45261</v>
      </c>
      <c r="C1249" s="16"/>
      <c r="D1249" s="25" t="s">
        <v>264</v>
      </c>
      <c r="E1249" s="22"/>
      <c r="F1249" s="22"/>
      <c r="G1249" s="25"/>
      <c r="H1249" s="25"/>
      <c r="I1249" s="92">
        <v>1.87</v>
      </c>
      <c r="J1249" s="26">
        <f>SUM($I$4:I1249)</f>
        <v>96228402.27000013</v>
      </c>
      <c r="K1249" s="44">
        <f t="shared" si="19"/>
        <v>2.4197474358438168E-8</v>
      </c>
      <c r="L1249" s="22"/>
      <c r="M1249" s="22"/>
    </row>
    <row r="1250" spans="2:13" ht="12.75">
      <c r="B1250" s="21">
        <v>45261</v>
      </c>
      <c r="C1250" s="16"/>
      <c r="D1250" s="25" t="s">
        <v>280</v>
      </c>
      <c r="E1250" s="22"/>
      <c r="F1250" s="22"/>
      <c r="G1250" s="25"/>
      <c r="H1250" s="25"/>
      <c r="I1250" s="92">
        <v>20000</v>
      </c>
      <c r="J1250" s="26">
        <f>SUM($I$4:I1250)</f>
        <v>96248402.27000013</v>
      </c>
      <c r="K1250" s="44">
        <f t="shared" si="19"/>
        <v>2.5879651720254722E-4</v>
      </c>
      <c r="L1250" s="22"/>
      <c r="M1250" s="22"/>
    </row>
    <row r="1251" spans="2:13" ht="12.75">
      <c r="B1251" s="21">
        <v>45261</v>
      </c>
      <c r="C1251" s="16"/>
      <c r="D1251" s="25" t="s">
        <v>264</v>
      </c>
      <c r="E1251" s="22"/>
      <c r="F1251" s="22"/>
      <c r="G1251" s="25"/>
      <c r="H1251" s="25"/>
      <c r="I1251" s="92">
        <v>25</v>
      </c>
      <c r="J1251" s="26">
        <f>SUM($I$4:I1251)</f>
        <v>96248427.27000013</v>
      </c>
      <c r="K1251" s="44">
        <f t="shared" si="19"/>
        <v>3.2349564650318404E-7</v>
      </c>
      <c r="L1251" s="22"/>
      <c r="M1251" s="22"/>
    </row>
    <row r="1252" spans="2:13" ht="12.75">
      <c r="B1252" s="21">
        <v>45261</v>
      </c>
      <c r="C1252" s="16"/>
      <c r="D1252" s="25" t="s">
        <v>264</v>
      </c>
      <c r="E1252" s="22"/>
      <c r="F1252" s="22"/>
      <c r="G1252" s="25"/>
      <c r="H1252" s="25"/>
      <c r="I1252" s="92">
        <v>1.87</v>
      </c>
      <c r="J1252" s="26">
        <f>SUM($I$4:I1252)</f>
        <v>96248429.140000135</v>
      </c>
      <c r="K1252" s="44">
        <f t="shared" si="19"/>
        <v>2.4197474358438168E-8</v>
      </c>
      <c r="L1252" s="22"/>
      <c r="M1252" s="22"/>
    </row>
    <row r="1253" spans="2:13" ht="12.75">
      <c r="B1253" s="21">
        <v>45261</v>
      </c>
      <c r="C1253" s="16"/>
      <c r="D1253" s="25" t="s">
        <v>280</v>
      </c>
      <c r="E1253" s="22"/>
      <c r="F1253" s="22"/>
      <c r="G1253" s="25"/>
      <c r="H1253" s="25"/>
      <c r="I1253" s="92">
        <v>20000</v>
      </c>
      <c r="J1253" s="26">
        <f>SUM($I$4:I1253)</f>
        <v>96268429.140000135</v>
      </c>
      <c r="K1253" s="44">
        <f t="shared" si="19"/>
        <v>2.5879651720254722E-4</v>
      </c>
      <c r="L1253" s="22"/>
      <c r="M1253" s="22"/>
    </row>
    <row r="1254" spans="2:13" ht="12.75">
      <c r="B1254" s="21">
        <v>45261</v>
      </c>
      <c r="C1254" s="16"/>
      <c r="D1254" s="25" t="s">
        <v>264</v>
      </c>
      <c r="E1254" s="22"/>
      <c r="F1254" s="22"/>
      <c r="G1254" s="25"/>
      <c r="H1254" s="25"/>
      <c r="I1254" s="92">
        <v>25</v>
      </c>
      <c r="J1254" s="26">
        <f>SUM($I$4:I1254)</f>
        <v>96268454.140000135</v>
      </c>
      <c r="K1254" s="44">
        <f t="shared" si="19"/>
        <v>3.2349564650318404E-7</v>
      </c>
      <c r="L1254" s="22"/>
      <c r="M1254" s="22"/>
    </row>
    <row r="1255" spans="2:13" ht="12.75">
      <c r="B1255" s="21">
        <v>45261</v>
      </c>
      <c r="C1255" s="16"/>
      <c r="D1255" s="25" t="s">
        <v>264</v>
      </c>
      <c r="E1255" s="22"/>
      <c r="F1255" s="22"/>
      <c r="G1255" s="25"/>
      <c r="H1255" s="25"/>
      <c r="I1255" s="92">
        <v>1.87</v>
      </c>
      <c r="J1255" s="26">
        <f>SUM($I$4:I1255)</f>
        <v>96268456.010000139</v>
      </c>
      <c r="K1255" s="44">
        <f t="shared" si="19"/>
        <v>2.4197474358438168E-8</v>
      </c>
      <c r="L1255" s="22"/>
      <c r="M1255" s="22"/>
    </row>
    <row r="1256" spans="2:13" ht="12.75">
      <c r="B1256" s="21">
        <v>45261</v>
      </c>
      <c r="C1256" s="16"/>
      <c r="D1256" s="25" t="s">
        <v>271</v>
      </c>
      <c r="E1256" s="22"/>
      <c r="F1256" s="22"/>
      <c r="G1256" s="25"/>
      <c r="H1256" s="25"/>
      <c r="I1256" s="92">
        <v>130867.38</v>
      </c>
      <c r="J1256" s="26">
        <f>SUM($I$4:I1256)</f>
        <v>96399323.390000135</v>
      </c>
      <c r="K1256" s="44">
        <f t="shared" si="19"/>
        <v>1.6934011079711142E-3</v>
      </c>
      <c r="L1256" s="22"/>
      <c r="M1256" s="22"/>
    </row>
    <row r="1257" spans="2:13" ht="12.75">
      <c r="B1257" s="21">
        <v>45261</v>
      </c>
      <c r="C1257" s="16"/>
      <c r="D1257" s="25" t="s">
        <v>264</v>
      </c>
      <c r="E1257" s="22"/>
      <c r="F1257" s="22"/>
      <c r="G1257" s="25"/>
      <c r="H1257" s="25"/>
      <c r="I1257" s="92">
        <v>50</v>
      </c>
      <c r="J1257" s="26">
        <f>SUM($I$4:I1257)</f>
        <v>96399373.390000135</v>
      </c>
      <c r="K1257" s="44">
        <f t="shared" si="19"/>
        <v>6.4699129300636808E-7</v>
      </c>
      <c r="L1257" s="22"/>
      <c r="M1257" s="22"/>
    </row>
    <row r="1258" spans="2:13" ht="12.75">
      <c r="B1258" s="21">
        <v>45261</v>
      </c>
      <c r="C1258" s="16"/>
      <c r="D1258" s="25" t="s">
        <v>264</v>
      </c>
      <c r="E1258" s="22"/>
      <c r="F1258" s="22"/>
      <c r="G1258" s="25"/>
      <c r="H1258" s="25"/>
      <c r="I1258" s="92">
        <v>3.75</v>
      </c>
      <c r="J1258" s="26">
        <f>SUM($I$4:I1258)</f>
        <v>96399377.140000135</v>
      </c>
      <c r="K1258" s="44">
        <f t="shared" si="19"/>
        <v>4.8524346975477608E-8</v>
      </c>
      <c r="L1258" s="22"/>
      <c r="M1258" s="22"/>
    </row>
    <row r="1259" spans="2:13" ht="12.75">
      <c r="B1259" s="21">
        <v>45261</v>
      </c>
      <c r="C1259" s="16"/>
      <c r="D1259" s="25" t="s">
        <v>271</v>
      </c>
      <c r="E1259" s="22"/>
      <c r="F1259" s="22"/>
      <c r="G1259" s="25"/>
      <c r="H1259" s="25"/>
      <c r="I1259" s="92">
        <v>99378.23</v>
      </c>
      <c r="J1259" s="26">
        <f>SUM($I$4:I1259)</f>
        <v>96498755.370000139</v>
      </c>
      <c r="K1259" s="44">
        <f t="shared" si="19"/>
        <v>1.2859369904876848E-3</v>
      </c>
      <c r="L1259" s="22"/>
      <c r="M1259" s="22"/>
    </row>
    <row r="1260" spans="2:13" ht="12.75">
      <c r="B1260" s="21">
        <v>45261</v>
      </c>
      <c r="C1260" s="16"/>
      <c r="D1260" s="25" t="s">
        <v>264</v>
      </c>
      <c r="E1260" s="22"/>
      <c r="F1260" s="22"/>
      <c r="G1260" s="25"/>
      <c r="H1260" s="25"/>
      <c r="I1260" s="92">
        <v>50</v>
      </c>
      <c r="J1260" s="26">
        <f>SUM($I$4:I1260)</f>
        <v>96498805.370000139</v>
      </c>
      <c r="K1260" s="44">
        <f t="shared" si="19"/>
        <v>6.4699129300636808E-7</v>
      </c>
      <c r="L1260" s="22"/>
      <c r="M1260" s="22"/>
    </row>
    <row r="1261" spans="2:13" ht="12.75">
      <c r="B1261" s="21">
        <v>45261</v>
      </c>
      <c r="C1261" s="16"/>
      <c r="D1261" s="25" t="s">
        <v>264</v>
      </c>
      <c r="E1261" s="22"/>
      <c r="F1261" s="22"/>
      <c r="G1261" s="25"/>
      <c r="H1261" s="25"/>
      <c r="I1261" s="92">
        <v>3.75</v>
      </c>
      <c r="J1261" s="26">
        <f>SUM($I$4:I1261)</f>
        <v>96498809.120000139</v>
      </c>
      <c r="K1261" s="44">
        <f t="shared" si="19"/>
        <v>4.8524346975477608E-8</v>
      </c>
      <c r="L1261" s="22"/>
      <c r="M1261" s="22"/>
    </row>
    <row r="1262" spans="2:13" ht="12.75">
      <c r="B1262" s="21">
        <v>45261</v>
      </c>
      <c r="C1262" s="16"/>
      <c r="D1262" s="25" t="s">
        <v>280</v>
      </c>
      <c r="E1262" s="22"/>
      <c r="F1262" s="22"/>
      <c r="G1262" s="25"/>
      <c r="H1262" s="25"/>
      <c r="I1262" s="92">
        <v>20000</v>
      </c>
      <c r="J1262" s="26">
        <f>SUM($I$4:I1262)</f>
        <v>96518809.120000139</v>
      </c>
      <c r="K1262" s="44">
        <f t="shared" si="19"/>
        <v>2.5879651720254722E-4</v>
      </c>
      <c r="L1262" s="22"/>
      <c r="M1262" s="22"/>
    </row>
    <row r="1263" spans="2:13" ht="12.75">
      <c r="B1263" s="21">
        <v>45261</v>
      </c>
      <c r="C1263" s="16"/>
      <c r="D1263" s="25" t="s">
        <v>264</v>
      </c>
      <c r="E1263" s="22"/>
      <c r="F1263" s="22"/>
      <c r="G1263" s="25"/>
      <c r="H1263" s="25"/>
      <c r="I1263" s="92">
        <v>25</v>
      </c>
      <c r="J1263" s="26">
        <f>SUM($I$4:I1263)</f>
        <v>96518834.120000139</v>
      </c>
      <c r="K1263" s="44">
        <f t="shared" si="19"/>
        <v>3.2349564650318404E-7</v>
      </c>
      <c r="L1263" s="22"/>
      <c r="M1263" s="22"/>
    </row>
    <row r="1264" spans="2:13" ht="12.75">
      <c r="B1264" s="21">
        <v>45261</v>
      </c>
      <c r="C1264" s="16"/>
      <c r="D1264" s="25" t="s">
        <v>264</v>
      </c>
      <c r="E1264" s="22"/>
      <c r="F1264" s="22"/>
      <c r="G1264" s="25"/>
      <c r="H1264" s="25"/>
      <c r="I1264" s="92">
        <v>1.87</v>
      </c>
      <c r="J1264" s="26">
        <f>SUM($I$4:I1264)</f>
        <v>96518835.990000144</v>
      </c>
      <c r="K1264" s="44">
        <f t="shared" si="19"/>
        <v>2.4197474358438168E-8</v>
      </c>
      <c r="L1264" s="22"/>
      <c r="M1264" s="22"/>
    </row>
    <row r="1265" spans="2:13" ht="12.75">
      <c r="B1265" s="21">
        <v>45261</v>
      </c>
      <c r="C1265" s="16"/>
      <c r="D1265" s="25" t="s">
        <v>271</v>
      </c>
      <c r="E1265" s="22"/>
      <c r="F1265" s="22"/>
      <c r="G1265" s="25"/>
      <c r="H1265" s="25"/>
      <c r="I1265" s="92">
        <v>30000</v>
      </c>
      <c r="J1265" s="26">
        <f>SUM($I$4:I1265)</f>
        <v>96548835.990000144</v>
      </c>
      <c r="K1265" s="44">
        <f t="shared" si="19"/>
        <v>3.8819477580382083E-4</v>
      </c>
      <c r="L1265" s="22"/>
      <c r="M1265" s="22"/>
    </row>
    <row r="1266" spans="2:13" ht="12.75">
      <c r="B1266" s="21">
        <v>45261</v>
      </c>
      <c r="C1266" s="16"/>
      <c r="D1266" s="25" t="s">
        <v>264</v>
      </c>
      <c r="E1266" s="22"/>
      <c r="F1266" s="22"/>
      <c r="G1266" s="25"/>
      <c r="H1266" s="25"/>
      <c r="I1266" s="92">
        <v>25</v>
      </c>
      <c r="J1266" s="26">
        <f>SUM($I$4:I1266)</f>
        <v>96548860.990000144</v>
      </c>
      <c r="K1266" s="44">
        <f t="shared" si="19"/>
        <v>3.2349564650318404E-7</v>
      </c>
      <c r="L1266" s="22"/>
      <c r="M1266" s="22"/>
    </row>
    <row r="1267" spans="2:13" ht="12.75">
      <c r="B1267" s="21">
        <v>45261</v>
      </c>
      <c r="C1267" s="16"/>
      <c r="D1267" s="25" t="s">
        <v>264</v>
      </c>
      <c r="E1267" s="22"/>
      <c r="F1267" s="22"/>
      <c r="G1267" s="25"/>
      <c r="H1267" s="25"/>
      <c r="I1267" s="92">
        <v>1.87</v>
      </c>
      <c r="J1267" s="26">
        <f>SUM($I$4:I1267)</f>
        <v>96548862.860000148</v>
      </c>
      <c r="K1267" s="44">
        <f t="shared" si="19"/>
        <v>2.4197474358438168E-8</v>
      </c>
      <c r="L1267" s="22"/>
      <c r="M1267" s="22"/>
    </row>
    <row r="1268" spans="2:13" ht="12.75">
      <c r="B1268" s="21">
        <v>45261</v>
      </c>
      <c r="C1268" s="16"/>
      <c r="D1268" s="25" t="s">
        <v>271</v>
      </c>
      <c r="E1268" s="22"/>
      <c r="F1268" s="22"/>
      <c r="G1268" s="25"/>
      <c r="H1268" s="25"/>
      <c r="I1268" s="92">
        <v>152000</v>
      </c>
      <c r="J1268" s="26">
        <f>SUM($I$4:I1268)</f>
        <v>96700862.860000148</v>
      </c>
      <c r="K1268" s="44">
        <f t="shared" si="19"/>
        <v>1.9668535307393589E-3</v>
      </c>
      <c r="L1268" s="22"/>
      <c r="M1268" s="22"/>
    </row>
    <row r="1269" spans="2:13" ht="12.75">
      <c r="B1269" s="21">
        <v>45261</v>
      </c>
      <c r="C1269" s="16"/>
      <c r="D1269" s="25" t="s">
        <v>264</v>
      </c>
      <c r="E1269" s="22"/>
      <c r="F1269" s="22"/>
      <c r="G1269" s="25"/>
      <c r="H1269" s="25"/>
      <c r="I1269" s="92">
        <v>50</v>
      </c>
      <c r="J1269" s="26">
        <f>SUM($I$4:I1269)</f>
        <v>96700912.860000148</v>
      </c>
      <c r="K1269" s="44">
        <f t="shared" si="19"/>
        <v>6.4699129300636808E-7</v>
      </c>
      <c r="L1269" s="22"/>
      <c r="M1269" s="22"/>
    </row>
    <row r="1270" spans="2:13" ht="12.75">
      <c r="B1270" s="21">
        <v>45261</v>
      </c>
      <c r="C1270" s="16"/>
      <c r="D1270" s="25" t="s">
        <v>264</v>
      </c>
      <c r="E1270" s="22"/>
      <c r="F1270" s="22"/>
      <c r="G1270" s="25"/>
      <c r="H1270" s="25"/>
      <c r="I1270" s="92">
        <v>3.75</v>
      </c>
      <c r="J1270" s="26">
        <f>SUM($I$4:I1270)</f>
        <v>96700916.610000148</v>
      </c>
      <c r="K1270" s="44">
        <f t="shared" si="19"/>
        <v>4.8524346975477608E-8</v>
      </c>
      <c r="L1270" s="22"/>
      <c r="M1270" s="22"/>
    </row>
    <row r="1271" spans="2:13" ht="12.75">
      <c r="B1271" s="21">
        <v>45261</v>
      </c>
      <c r="C1271" s="16"/>
      <c r="D1271" s="25" t="s">
        <v>271</v>
      </c>
      <c r="E1271" s="22"/>
      <c r="F1271" s="22"/>
      <c r="G1271" s="25"/>
      <c r="H1271" s="25"/>
      <c r="I1271" s="92">
        <v>49502.91</v>
      </c>
      <c r="J1271" s="26">
        <f>SUM($I$4:I1271)</f>
        <v>96750419.520000145</v>
      </c>
      <c r="K1271" s="44">
        <f t="shared" si="19"/>
        <v>6.4055903496955738E-4</v>
      </c>
      <c r="L1271" s="22"/>
      <c r="M1271" s="22"/>
    </row>
    <row r="1272" spans="2:13" ht="12.75">
      <c r="B1272" s="21">
        <v>45261</v>
      </c>
      <c r="C1272" s="16"/>
      <c r="D1272" s="25" t="s">
        <v>271</v>
      </c>
      <c r="E1272" s="22"/>
      <c r="F1272" s="22"/>
      <c r="G1272" s="25"/>
      <c r="H1272" s="25"/>
      <c r="I1272" s="92">
        <v>168523.14</v>
      </c>
      <c r="J1272" s="26">
        <f>SUM($I$4:I1272)</f>
        <v>96918942.660000145</v>
      </c>
      <c r="K1272" s="44">
        <f t="shared" si="19"/>
        <v>2.1806600850018641E-3</v>
      </c>
      <c r="L1272" s="22"/>
      <c r="M1272" s="22"/>
    </row>
    <row r="1273" spans="2:13" ht="12.75">
      <c r="B1273" s="21">
        <v>45261</v>
      </c>
      <c r="C1273" s="16"/>
      <c r="D1273" s="25" t="s">
        <v>271</v>
      </c>
      <c r="E1273" s="22"/>
      <c r="F1273" s="22"/>
      <c r="G1273" s="25"/>
      <c r="H1273" s="25"/>
      <c r="I1273" s="92">
        <v>45134.15</v>
      </c>
      <c r="J1273" s="26">
        <f>SUM($I$4:I1273)</f>
        <v>96964076.810000151</v>
      </c>
      <c r="K1273" s="44">
        <f t="shared" si="19"/>
        <v>5.8402804134486742E-4</v>
      </c>
      <c r="L1273" s="22"/>
      <c r="M1273" s="22"/>
    </row>
    <row r="1274" spans="2:13" ht="12.75">
      <c r="B1274" s="21">
        <v>45261</v>
      </c>
      <c r="C1274" s="16"/>
      <c r="D1274" s="25" t="s">
        <v>271</v>
      </c>
      <c r="E1274" s="22"/>
      <c r="F1274" s="22"/>
      <c r="G1274" s="25"/>
      <c r="H1274" s="25"/>
      <c r="I1274" s="92">
        <v>159963.42000000001</v>
      </c>
      <c r="J1274" s="26">
        <f>SUM($I$4:I1274)</f>
        <v>97124040.230000153</v>
      </c>
      <c r="K1274" s="44">
        <f t="shared" si="19"/>
        <v>2.0698987987904146E-3</v>
      </c>
      <c r="L1274" s="22"/>
      <c r="M1274" s="22"/>
    </row>
    <row r="1275" spans="2:13" ht="12.75">
      <c r="B1275" s="21">
        <v>45261</v>
      </c>
      <c r="C1275" s="16"/>
      <c r="D1275" s="25" t="s">
        <v>271</v>
      </c>
      <c r="E1275" s="22"/>
      <c r="F1275" s="22"/>
      <c r="G1275" s="25"/>
      <c r="H1275" s="25"/>
      <c r="I1275" s="92">
        <v>249561.58</v>
      </c>
      <c r="J1275" s="26">
        <f>SUM($I$4:I1275)</f>
        <v>97373601.810000151</v>
      </c>
      <c r="K1275" s="44">
        <f t="shared" si="19"/>
        <v>3.2292833865782433E-3</v>
      </c>
      <c r="L1275" s="22"/>
      <c r="M1275" s="22"/>
    </row>
    <row r="1276" spans="2:13" ht="12.75">
      <c r="B1276" s="21">
        <v>45261</v>
      </c>
      <c r="C1276" s="16"/>
      <c r="D1276" s="25" t="s">
        <v>264</v>
      </c>
      <c r="E1276" s="22"/>
      <c r="F1276" s="22"/>
      <c r="G1276" s="25"/>
      <c r="H1276" s="25"/>
      <c r="I1276" s="92">
        <v>120</v>
      </c>
      <c r="J1276" s="26">
        <f>SUM($I$4:I1276)</f>
        <v>97373721.810000151</v>
      </c>
      <c r="K1276" s="44">
        <f t="shared" si="19"/>
        <v>1.5527791032152835E-6</v>
      </c>
      <c r="L1276" s="22"/>
      <c r="M1276" s="22"/>
    </row>
    <row r="1277" spans="2:13" ht="12.75">
      <c r="B1277" s="21">
        <v>45261</v>
      </c>
      <c r="C1277" s="16"/>
      <c r="D1277" s="25" t="s">
        <v>264</v>
      </c>
      <c r="E1277" s="22"/>
      <c r="F1277" s="22"/>
      <c r="G1277" s="25"/>
      <c r="H1277" s="25"/>
      <c r="I1277" s="92">
        <v>9</v>
      </c>
      <c r="J1277" s="26">
        <f>SUM($I$4:I1277)</f>
        <v>97373730.810000151</v>
      </c>
      <c r="K1277" s="44">
        <f t="shared" si="19"/>
        <v>1.1645843274114626E-7</v>
      </c>
      <c r="L1277" s="22"/>
      <c r="M1277" s="22"/>
    </row>
    <row r="1278" spans="2:13" ht="12.75">
      <c r="B1278" s="21">
        <v>45261</v>
      </c>
      <c r="C1278" s="16"/>
      <c r="D1278" s="25" t="s">
        <v>271</v>
      </c>
      <c r="E1278" s="22"/>
      <c r="F1278" s="22"/>
      <c r="G1278" s="25"/>
      <c r="H1278" s="25"/>
      <c r="I1278" s="92">
        <v>60000</v>
      </c>
      <c r="J1278" s="26">
        <f>SUM($I$4:I1278)</f>
        <v>97433730.810000151</v>
      </c>
      <c r="K1278" s="44">
        <f t="shared" si="19"/>
        <v>7.7638955160764167E-4</v>
      </c>
      <c r="L1278" s="22"/>
      <c r="M1278" s="22"/>
    </row>
    <row r="1279" spans="2:13" ht="12.75">
      <c r="B1279" s="21">
        <v>45261</v>
      </c>
      <c r="C1279" s="16"/>
      <c r="D1279" s="25" t="s">
        <v>264</v>
      </c>
      <c r="E1279" s="22"/>
      <c r="F1279" s="22"/>
      <c r="G1279" s="25"/>
      <c r="H1279" s="25"/>
      <c r="I1279" s="92">
        <v>50</v>
      </c>
      <c r="J1279" s="26">
        <f>SUM($I$4:I1279)</f>
        <v>97433780.810000151</v>
      </c>
      <c r="K1279" s="44">
        <f t="shared" si="19"/>
        <v>6.4699129300636808E-7</v>
      </c>
      <c r="L1279" s="22"/>
      <c r="M1279" s="22"/>
    </row>
    <row r="1280" spans="2:13" ht="12.75">
      <c r="B1280" s="21">
        <v>45261</v>
      </c>
      <c r="C1280" s="16"/>
      <c r="D1280" s="25" t="s">
        <v>264</v>
      </c>
      <c r="E1280" s="22"/>
      <c r="F1280" s="22"/>
      <c r="G1280" s="25"/>
      <c r="H1280" s="25"/>
      <c r="I1280" s="92">
        <v>3.75</v>
      </c>
      <c r="J1280" s="26">
        <f>SUM($I$4:I1280)</f>
        <v>97433784.560000151</v>
      </c>
      <c r="K1280" s="44">
        <f t="shared" si="19"/>
        <v>4.8524346975477608E-8</v>
      </c>
      <c r="L1280" s="22"/>
      <c r="M1280" s="22"/>
    </row>
    <row r="1281" spans="2:13" ht="12.75">
      <c r="B1281" s="21">
        <v>45261</v>
      </c>
      <c r="C1281" s="16"/>
      <c r="D1281" s="25" t="s">
        <v>280</v>
      </c>
      <c r="E1281" s="22"/>
      <c r="F1281" s="22"/>
      <c r="G1281" s="25"/>
      <c r="H1281" s="25"/>
      <c r="I1281" s="92">
        <v>20000</v>
      </c>
      <c r="J1281" s="26">
        <f>SUM($I$4:I1281)</f>
        <v>97453784.560000151</v>
      </c>
      <c r="K1281" s="44">
        <f t="shared" si="19"/>
        <v>2.5879651720254722E-4</v>
      </c>
      <c r="L1281" s="22"/>
      <c r="M1281" s="22"/>
    </row>
    <row r="1282" spans="2:13" ht="12.75">
      <c r="B1282" s="21">
        <v>45261</v>
      </c>
      <c r="C1282" s="16"/>
      <c r="D1282" s="25" t="s">
        <v>280</v>
      </c>
      <c r="E1282" s="22"/>
      <c r="F1282" s="22"/>
      <c r="G1282" s="25"/>
      <c r="H1282" s="25"/>
      <c r="I1282" s="92">
        <v>20000</v>
      </c>
      <c r="J1282" s="26">
        <f>SUM($I$4:I1282)</f>
        <v>97473784.560000151</v>
      </c>
      <c r="K1282" s="44">
        <f t="shared" si="19"/>
        <v>2.5879651720254722E-4</v>
      </c>
      <c r="L1282" s="22"/>
      <c r="M1282" s="22"/>
    </row>
    <row r="1283" spans="2:13" ht="12.75">
      <c r="B1283" s="21">
        <v>45261</v>
      </c>
      <c r="C1283" s="16"/>
      <c r="D1283" s="25" t="s">
        <v>280</v>
      </c>
      <c r="E1283" s="22"/>
      <c r="F1283" s="22"/>
      <c r="G1283" s="25"/>
      <c r="H1283" s="25"/>
      <c r="I1283" s="92">
        <v>20000</v>
      </c>
      <c r="J1283" s="26">
        <f>SUM($I$4:I1283)</f>
        <v>97493784.560000151</v>
      </c>
      <c r="K1283" s="44">
        <f t="shared" si="19"/>
        <v>2.5879651720254722E-4</v>
      </c>
      <c r="L1283" s="22"/>
      <c r="M1283" s="22"/>
    </row>
    <row r="1284" spans="2:13" ht="12.75">
      <c r="B1284" s="21">
        <v>45261</v>
      </c>
      <c r="C1284" s="16"/>
      <c r="D1284" s="25" t="s">
        <v>280</v>
      </c>
      <c r="E1284" s="22"/>
      <c r="F1284" s="22"/>
      <c r="G1284" s="25"/>
      <c r="H1284" s="25"/>
      <c r="I1284" s="92">
        <v>20000</v>
      </c>
      <c r="J1284" s="26">
        <f>SUM($I$4:I1284)</f>
        <v>97513784.560000151</v>
      </c>
      <c r="K1284" s="44">
        <f t="shared" si="19"/>
        <v>2.5879651720254722E-4</v>
      </c>
      <c r="L1284" s="22"/>
      <c r="M1284" s="22"/>
    </row>
    <row r="1285" spans="2:13" ht="12.75">
      <c r="B1285" s="21">
        <v>45261</v>
      </c>
      <c r="C1285" s="16"/>
      <c r="D1285" s="25" t="s">
        <v>264</v>
      </c>
      <c r="E1285" s="22"/>
      <c r="F1285" s="22"/>
      <c r="G1285" s="25"/>
      <c r="H1285" s="25"/>
      <c r="I1285" s="92">
        <v>120</v>
      </c>
      <c r="J1285" s="26">
        <f>SUM($I$4:I1285)</f>
        <v>97513904.560000151</v>
      </c>
      <c r="K1285" s="44">
        <f t="shared" ref="K1285:K1348" si="20">IF(SUM($I$4:$I$830)=0,"",I1285/SUM($I$4:$I$830))</f>
        <v>1.5527791032152835E-6</v>
      </c>
      <c r="L1285" s="22"/>
      <c r="M1285" s="22"/>
    </row>
    <row r="1286" spans="2:13" ht="12.75">
      <c r="B1286" s="21">
        <v>45261</v>
      </c>
      <c r="C1286" s="16"/>
      <c r="D1286" s="25" t="s">
        <v>264</v>
      </c>
      <c r="E1286" s="22"/>
      <c r="F1286" s="22"/>
      <c r="G1286" s="25"/>
      <c r="H1286" s="25"/>
      <c r="I1286" s="92">
        <v>9</v>
      </c>
      <c r="J1286" s="26">
        <f>SUM($I$4:I1286)</f>
        <v>97513913.560000151</v>
      </c>
      <c r="K1286" s="44">
        <f t="shared" si="20"/>
        <v>1.1645843274114626E-7</v>
      </c>
      <c r="L1286" s="22"/>
      <c r="M1286" s="22"/>
    </row>
    <row r="1287" spans="2:13" ht="12.75">
      <c r="B1287" s="21">
        <v>45261</v>
      </c>
      <c r="C1287" s="16"/>
      <c r="D1287" s="25" t="s">
        <v>276</v>
      </c>
      <c r="E1287" s="22"/>
      <c r="F1287" s="22"/>
      <c r="G1287" s="25"/>
      <c r="H1287" s="25"/>
      <c r="I1287" s="92">
        <v>50000</v>
      </c>
      <c r="J1287" s="26">
        <f>SUM($I$4:I1287)</f>
        <v>97563913.560000151</v>
      </c>
      <c r="K1287" s="44">
        <f t="shared" si="20"/>
        <v>6.4699129300636806E-4</v>
      </c>
      <c r="L1287" s="22"/>
      <c r="M1287" s="22"/>
    </row>
    <row r="1288" spans="2:13" ht="12.75">
      <c r="B1288" s="21">
        <v>45261</v>
      </c>
      <c r="C1288" s="16"/>
      <c r="D1288" s="25" t="s">
        <v>264</v>
      </c>
      <c r="E1288" s="22"/>
      <c r="F1288" s="22"/>
      <c r="G1288" s="25"/>
      <c r="H1288" s="25"/>
      <c r="I1288" s="92">
        <v>50</v>
      </c>
      <c r="J1288" s="26">
        <f>SUM($I$4:I1288)</f>
        <v>97563963.560000151</v>
      </c>
      <c r="K1288" s="44">
        <f t="shared" si="20"/>
        <v>6.4699129300636808E-7</v>
      </c>
      <c r="L1288" s="22"/>
      <c r="M1288" s="22"/>
    </row>
    <row r="1289" spans="2:13" ht="12.75">
      <c r="B1289" s="21">
        <v>45261</v>
      </c>
      <c r="C1289" s="16"/>
      <c r="D1289" s="25" t="s">
        <v>276</v>
      </c>
      <c r="E1289" s="22"/>
      <c r="F1289" s="22"/>
      <c r="G1289" s="25"/>
      <c r="H1289" s="25"/>
      <c r="I1289" s="92">
        <v>50000</v>
      </c>
      <c r="J1289" s="26">
        <f>SUM($I$4:I1289)</f>
        <v>97613963.560000151</v>
      </c>
      <c r="K1289" s="44">
        <f t="shared" si="20"/>
        <v>6.4699129300636806E-4</v>
      </c>
      <c r="L1289" s="22"/>
      <c r="M1289" s="22"/>
    </row>
    <row r="1290" spans="2:13" ht="12.75">
      <c r="B1290" s="21">
        <v>45261</v>
      </c>
      <c r="C1290" s="16"/>
      <c r="D1290" s="25" t="s">
        <v>264</v>
      </c>
      <c r="E1290" s="22"/>
      <c r="F1290" s="22"/>
      <c r="G1290" s="25"/>
      <c r="H1290" s="25"/>
      <c r="I1290" s="92">
        <v>50</v>
      </c>
      <c r="J1290" s="26">
        <f>SUM($I$4:I1290)</f>
        <v>97614013.560000151</v>
      </c>
      <c r="K1290" s="44">
        <f t="shared" si="20"/>
        <v>6.4699129300636808E-7</v>
      </c>
      <c r="L1290" s="22"/>
      <c r="M1290" s="22"/>
    </row>
    <row r="1291" spans="2:13" ht="12.75">
      <c r="B1291" s="21">
        <v>45261</v>
      </c>
      <c r="C1291" s="16"/>
      <c r="D1291" s="25" t="s">
        <v>276</v>
      </c>
      <c r="E1291" s="22"/>
      <c r="F1291" s="22"/>
      <c r="G1291" s="25"/>
      <c r="H1291" s="25"/>
      <c r="I1291" s="92">
        <v>1200000</v>
      </c>
      <c r="J1291" s="26">
        <f>SUM($I$4:I1291)</f>
        <v>98814013.560000151</v>
      </c>
      <c r="K1291" s="44">
        <f t="shared" si="20"/>
        <v>1.5527791032152833E-2</v>
      </c>
      <c r="L1291" s="22"/>
      <c r="M1291" s="22"/>
    </row>
    <row r="1292" spans="2:13" ht="12.75">
      <c r="B1292" s="21">
        <v>45261</v>
      </c>
      <c r="C1292" s="16"/>
      <c r="D1292" s="25" t="s">
        <v>264</v>
      </c>
      <c r="E1292" s="22"/>
      <c r="F1292" s="22"/>
      <c r="G1292" s="25"/>
      <c r="H1292" s="25"/>
      <c r="I1292" s="92">
        <v>50</v>
      </c>
      <c r="J1292" s="26">
        <f>SUM($I$4:I1292)</f>
        <v>98814063.560000151</v>
      </c>
      <c r="K1292" s="44">
        <f t="shared" si="20"/>
        <v>6.4699129300636808E-7</v>
      </c>
      <c r="L1292" s="22"/>
      <c r="M1292" s="22"/>
    </row>
    <row r="1293" spans="2:13" ht="12.75">
      <c r="B1293" s="21">
        <v>45261</v>
      </c>
      <c r="C1293" s="16"/>
      <c r="D1293" s="25" t="s">
        <v>286</v>
      </c>
      <c r="E1293" s="22"/>
      <c r="F1293" s="22"/>
      <c r="G1293" s="25"/>
      <c r="H1293" s="25"/>
      <c r="I1293" s="92">
        <v>27000</v>
      </c>
      <c r="J1293" s="26">
        <f>SUM($I$4:I1293)</f>
        <v>98841063.560000151</v>
      </c>
      <c r="K1293" s="44">
        <f t="shared" si="20"/>
        <v>3.4937529822343875E-4</v>
      </c>
      <c r="L1293" s="22"/>
      <c r="M1293" s="22"/>
    </row>
    <row r="1294" spans="2:13" ht="12.75">
      <c r="B1294" s="21">
        <v>45261</v>
      </c>
      <c r="C1294" s="16"/>
      <c r="D1294" s="25" t="s">
        <v>264</v>
      </c>
      <c r="E1294" s="22"/>
      <c r="F1294" s="22"/>
      <c r="G1294" s="25"/>
      <c r="H1294" s="25"/>
      <c r="I1294" s="92">
        <v>25</v>
      </c>
      <c r="J1294" s="26">
        <f>SUM($I$4:I1294)</f>
        <v>98841088.560000151</v>
      </c>
      <c r="K1294" s="44">
        <f t="shared" si="20"/>
        <v>3.2349564650318404E-7</v>
      </c>
      <c r="L1294" s="22"/>
      <c r="M1294" s="22"/>
    </row>
    <row r="1295" spans="2:13" ht="12.75">
      <c r="B1295" s="21">
        <v>45261</v>
      </c>
      <c r="C1295" s="16"/>
      <c r="D1295" s="25" t="s">
        <v>264</v>
      </c>
      <c r="E1295" s="22"/>
      <c r="F1295" s="22"/>
      <c r="G1295" s="25"/>
      <c r="H1295" s="25"/>
      <c r="I1295" s="92">
        <v>1.87</v>
      </c>
      <c r="J1295" s="26">
        <f>SUM($I$4:I1295)</f>
        <v>98841090.430000156</v>
      </c>
      <c r="K1295" s="44">
        <f t="shared" si="20"/>
        <v>2.4197474358438168E-8</v>
      </c>
      <c r="L1295" s="22"/>
      <c r="M1295" s="22"/>
    </row>
    <row r="1296" spans="2:13" ht="12.75">
      <c r="B1296" s="21">
        <v>45261</v>
      </c>
      <c r="C1296" s="16"/>
      <c r="D1296" s="25" t="s">
        <v>264</v>
      </c>
      <c r="E1296" s="22"/>
      <c r="F1296" s="22"/>
      <c r="G1296" s="25"/>
      <c r="H1296" s="25"/>
      <c r="I1296" s="92">
        <v>30</v>
      </c>
      <c r="J1296" s="26">
        <f>SUM($I$4:I1296)</f>
        <v>98841120.430000156</v>
      </c>
      <c r="K1296" s="44">
        <f t="shared" si="20"/>
        <v>3.8819477580382087E-7</v>
      </c>
      <c r="L1296" s="22"/>
      <c r="M1296" s="22"/>
    </row>
    <row r="1297" spans="2:13" ht="12.75">
      <c r="B1297" s="21">
        <v>45261</v>
      </c>
      <c r="C1297" s="16"/>
      <c r="D1297" s="25" t="s">
        <v>264</v>
      </c>
      <c r="E1297" s="22"/>
      <c r="F1297" s="22"/>
      <c r="G1297" s="25"/>
      <c r="H1297" s="25"/>
      <c r="I1297" s="92">
        <v>2.25</v>
      </c>
      <c r="J1297" s="26">
        <f>SUM($I$4:I1297)</f>
        <v>98841122.680000156</v>
      </c>
      <c r="K1297" s="44">
        <f t="shared" si="20"/>
        <v>2.9114608185286565E-8</v>
      </c>
      <c r="L1297" s="22"/>
      <c r="M1297" s="22"/>
    </row>
    <row r="1298" spans="2:13" ht="12.75">
      <c r="B1298" s="21">
        <v>45261</v>
      </c>
      <c r="C1298" s="16"/>
      <c r="D1298" s="25" t="s">
        <v>264</v>
      </c>
      <c r="E1298" s="22"/>
      <c r="F1298" s="22"/>
      <c r="G1298" s="25"/>
      <c r="H1298" s="25"/>
      <c r="I1298" s="92">
        <v>15</v>
      </c>
      <c r="J1298" s="26">
        <f>SUM($I$4:I1298)</f>
        <v>98841137.680000156</v>
      </c>
      <c r="K1298" s="44">
        <f t="shared" si="20"/>
        <v>1.9409738790191043E-7</v>
      </c>
      <c r="L1298" s="22"/>
      <c r="M1298" s="22"/>
    </row>
    <row r="1299" spans="2:13" ht="12.75">
      <c r="B1299" s="21">
        <v>45261</v>
      </c>
      <c r="C1299" s="16"/>
      <c r="D1299" s="25" t="s">
        <v>264</v>
      </c>
      <c r="E1299" s="22"/>
      <c r="F1299" s="22"/>
      <c r="G1299" s="25"/>
      <c r="H1299" s="25"/>
      <c r="I1299" s="92">
        <v>1.1299999999999999</v>
      </c>
      <c r="J1299" s="26">
        <f>SUM($I$4:I1299)</f>
        <v>98841138.810000151</v>
      </c>
      <c r="K1299" s="44">
        <f t="shared" si="20"/>
        <v>1.4622003221943917E-8</v>
      </c>
      <c r="L1299" s="22"/>
      <c r="M1299" s="22"/>
    </row>
    <row r="1300" spans="2:13" ht="12.75">
      <c r="B1300" s="21">
        <v>45268</v>
      </c>
      <c r="C1300" s="16"/>
      <c r="D1300" s="25" t="s">
        <v>286</v>
      </c>
      <c r="E1300" s="22"/>
      <c r="F1300" s="22"/>
      <c r="G1300" s="25"/>
      <c r="H1300" s="25"/>
      <c r="I1300" s="92">
        <v>27000</v>
      </c>
      <c r="J1300" s="26">
        <f>SUM($I$4:I1300)</f>
        <v>98868138.810000151</v>
      </c>
      <c r="K1300" s="44">
        <f t="shared" si="20"/>
        <v>3.4937529822343875E-4</v>
      </c>
      <c r="L1300" s="22"/>
      <c r="M1300" s="22"/>
    </row>
    <row r="1301" spans="2:13" ht="12.75">
      <c r="B1301" s="21">
        <v>45268</v>
      </c>
      <c r="C1301" s="16"/>
      <c r="D1301" s="25" t="s">
        <v>264</v>
      </c>
      <c r="E1301" s="22"/>
      <c r="F1301" s="22"/>
      <c r="G1301" s="25"/>
      <c r="H1301" s="25"/>
      <c r="I1301" s="92">
        <v>25</v>
      </c>
      <c r="J1301" s="26">
        <f>SUM($I$4:I1301)</f>
        <v>98868163.810000151</v>
      </c>
      <c r="K1301" s="44">
        <f t="shared" si="20"/>
        <v>3.2349564650318404E-7</v>
      </c>
      <c r="L1301" s="22"/>
      <c r="M1301" s="22"/>
    </row>
    <row r="1302" spans="2:13" ht="12.75">
      <c r="B1302" s="21">
        <v>45268</v>
      </c>
      <c r="C1302" s="16"/>
      <c r="D1302" s="25" t="s">
        <v>264</v>
      </c>
      <c r="E1302" s="22"/>
      <c r="F1302" s="22"/>
      <c r="G1302" s="25"/>
      <c r="H1302" s="25"/>
      <c r="I1302" s="92">
        <v>1.87</v>
      </c>
      <c r="J1302" s="26">
        <f>SUM($I$4:I1302)</f>
        <v>98868165.680000156</v>
      </c>
      <c r="K1302" s="44">
        <f t="shared" si="20"/>
        <v>2.4197474358438168E-8</v>
      </c>
      <c r="L1302" s="22"/>
      <c r="M1302" s="22"/>
    </row>
    <row r="1303" spans="2:13" ht="12.75">
      <c r="B1303" s="21">
        <v>45268</v>
      </c>
      <c r="C1303" s="16"/>
      <c r="D1303" s="25" t="s">
        <v>284</v>
      </c>
      <c r="E1303" s="22"/>
      <c r="F1303" s="22"/>
      <c r="G1303" s="25"/>
      <c r="H1303" s="25"/>
      <c r="I1303" s="92">
        <v>8200</v>
      </c>
      <c r="J1303" s="26">
        <f>SUM($I$4:I1303)</f>
        <v>98876365.680000156</v>
      </c>
      <c r="K1303" s="44">
        <f t="shared" si="20"/>
        <v>1.0610657205304437E-4</v>
      </c>
      <c r="L1303" s="22"/>
      <c r="M1303" s="22"/>
    </row>
    <row r="1304" spans="2:13" ht="12.75">
      <c r="B1304" s="21">
        <v>45268</v>
      </c>
      <c r="C1304" s="16"/>
      <c r="D1304" s="25" t="s">
        <v>264</v>
      </c>
      <c r="E1304" s="22"/>
      <c r="F1304" s="22"/>
      <c r="G1304" s="25"/>
      <c r="H1304" s="25"/>
      <c r="I1304" s="92">
        <v>25</v>
      </c>
      <c r="J1304" s="26">
        <f>SUM($I$4:I1304)</f>
        <v>98876390.680000156</v>
      </c>
      <c r="K1304" s="44">
        <f t="shared" si="20"/>
        <v>3.2349564650318404E-7</v>
      </c>
      <c r="L1304" s="22"/>
      <c r="M1304" s="22"/>
    </row>
    <row r="1305" spans="2:13" ht="12.75">
      <c r="B1305" s="21">
        <v>45268</v>
      </c>
      <c r="C1305" s="16"/>
      <c r="D1305" s="25" t="s">
        <v>264</v>
      </c>
      <c r="E1305" s="22"/>
      <c r="F1305" s="22"/>
      <c r="G1305" s="25"/>
      <c r="H1305" s="25"/>
      <c r="I1305" s="92">
        <v>1.87</v>
      </c>
      <c r="J1305" s="26">
        <f>SUM($I$4:I1305)</f>
        <v>98876392.550000161</v>
      </c>
      <c r="K1305" s="44">
        <f t="shared" si="20"/>
        <v>2.4197474358438168E-8</v>
      </c>
      <c r="L1305" s="22"/>
      <c r="M1305" s="22"/>
    </row>
    <row r="1306" spans="2:13" ht="12.75">
      <c r="B1306" s="21">
        <v>45268</v>
      </c>
      <c r="C1306" s="16"/>
      <c r="D1306" s="25" t="s">
        <v>285</v>
      </c>
      <c r="E1306" s="22"/>
      <c r="F1306" s="22"/>
      <c r="G1306" s="25"/>
      <c r="H1306" s="25"/>
      <c r="I1306" s="92">
        <v>120000</v>
      </c>
      <c r="J1306" s="26">
        <f>SUM($I$4:I1306)</f>
        <v>98996392.550000161</v>
      </c>
      <c r="K1306" s="44">
        <f t="shared" si="20"/>
        <v>1.5527791032152833E-3</v>
      </c>
      <c r="L1306" s="22"/>
      <c r="M1306" s="22"/>
    </row>
    <row r="1307" spans="2:13" ht="12.75">
      <c r="B1307" s="21">
        <v>45268</v>
      </c>
      <c r="C1307" s="16"/>
      <c r="D1307" s="25" t="s">
        <v>264</v>
      </c>
      <c r="E1307" s="22"/>
      <c r="F1307" s="22"/>
      <c r="G1307" s="25"/>
      <c r="H1307" s="25"/>
      <c r="I1307" s="92">
        <v>50</v>
      </c>
      <c r="J1307" s="26">
        <f>SUM($I$4:I1307)</f>
        <v>98996442.550000161</v>
      </c>
      <c r="K1307" s="44">
        <f t="shared" si="20"/>
        <v>6.4699129300636808E-7</v>
      </c>
      <c r="L1307" s="22"/>
      <c r="M1307" s="22"/>
    </row>
    <row r="1308" spans="2:13" ht="12.75">
      <c r="B1308" s="21">
        <v>45268</v>
      </c>
      <c r="C1308" s="16"/>
      <c r="D1308" s="25" t="s">
        <v>264</v>
      </c>
      <c r="E1308" s="22"/>
      <c r="F1308" s="22"/>
      <c r="G1308" s="25"/>
      <c r="H1308" s="25"/>
      <c r="I1308" s="92">
        <v>3.75</v>
      </c>
      <c r="J1308" s="26">
        <f>SUM($I$4:I1308)</f>
        <v>98996446.300000161</v>
      </c>
      <c r="K1308" s="44">
        <f t="shared" si="20"/>
        <v>4.8524346975477608E-8</v>
      </c>
      <c r="L1308" s="22"/>
      <c r="M1308" s="22"/>
    </row>
    <row r="1309" spans="2:13" ht="12.75">
      <c r="B1309" s="21">
        <v>45268</v>
      </c>
      <c r="C1309" s="16"/>
      <c r="D1309" s="25" t="s">
        <v>310</v>
      </c>
      <c r="E1309" s="22"/>
      <c r="F1309" s="22"/>
      <c r="G1309" s="25"/>
      <c r="H1309" s="25"/>
      <c r="I1309" s="92">
        <v>50000</v>
      </c>
      <c r="J1309" s="26">
        <f>SUM($I$4:I1309)</f>
        <v>99046446.300000161</v>
      </c>
      <c r="K1309" s="44">
        <f t="shared" si="20"/>
        <v>6.4699129300636806E-4</v>
      </c>
      <c r="L1309" s="22"/>
      <c r="M1309" s="22"/>
    </row>
    <row r="1310" spans="2:13" ht="12.75">
      <c r="B1310" s="21">
        <v>45268</v>
      </c>
      <c r="C1310" s="16"/>
      <c r="D1310" s="25" t="s">
        <v>264</v>
      </c>
      <c r="E1310" s="22"/>
      <c r="F1310" s="22"/>
      <c r="G1310" s="25"/>
      <c r="H1310" s="25"/>
      <c r="I1310" s="92">
        <v>25</v>
      </c>
      <c r="J1310" s="26">
        <f>SUM($I$4:I1310)</f>
        <v>99046471.300000161</v>
      </c>
      <c r="K1310" s="44">
        <f t="shared" si="20"/>
        <v>3.2349564650318404E-7</v>
      </c>
      <c r="L1310" s="22"/>
      <c r="M1310" s="22"/>
    </row>
    <row r="1311" spans="2:13" ht="12.75">
      <c r="B1311" s="21">
        <v>45268</v>
      </c>
      <c r="C1311" s="16"/>
      <c r="D1311" s="25" t="s">
        <v>264</v>
      </c>
      <c r="E1311" s="22"/>
      <c r="F1311" s="22"/>
      <c r="G1311" s="25"/>
      <c r="H1311" s="25"/>
      <c r="I1311" s="92">
        <v>1.87</v>
      </c>
      <c r="J1311" s="26">
        <f>SUM($I$4:I1311)</f>
        <v>99046473.170000166</v>
      </c>
      <c r="K1311" s="44">
        <f t="shared" si="20"/>
        <v>2.4197474358438168E-8</v>
      </c>
      <c r="L1311" s="22"/>
      <c r="M1311" s="22"/>
    </row>
    <row r="1312" spans="2:13" ht="12.75">
      <c r="B1312" s="21">
        <v>45273</v>
      </c>
      <c r="C1312" s="16"/>
      <c r="D1312" s="25" t="s">
        <v>264</v>
      </c>
      <c r="E1312" s="22"/>
      <c r="F1312" s="22"/>
      <c r="G1312" s="25"/>
      <c r="H1312" s="25"/>
      <c r="I1312" s="92">
        <v>50</v>
      </c>
      <c r="J1312" s="26">
        <f>SUM($I$4:I1312)</f>
        <v>99046523.170000166</v>
      </c>
      <c r="K1312" s="44">
        <f t="shared" si="20"/>
        <v>6.4699129300636808E-7</v>
      </c>
      <c r="L1312" s="22"/>
      <c r="M1312" s="22"/>
    </row>
    <row r="1313" spans="2:13" ht="12.75">
      <c r="B1313" s="21">
        <v>45274</v>
      </c>
      <c r="C1313" s="16"/>
      <c r="D1313" s="25" t="s">
        <v>275</v>
      </c>
      <c r="E1313" s="22"/>
      <c r="F1313" s="22"/>
      <c r="G1313" s="25"/>
      <c r="H1313" s="25"/>
      <c r="I1313" s="92">
        <v>500</v>
      </c>
      <c r="J1313" s="26">
        <f>SUM($I$4:I1313)</f>
        <v>99047023.170000166</v>
      </c>
      <c r="K1313" s="44">
        <f t="shared" si="20"/>
        <v>6.4699129300636806E-6</v>
      </c>
      <c r="L1313" s="22"/>
      <c r="M1313" s="22"/>
    </row>
    <row r="1314" spans="2:13" ht="12.75">
      <c r="B1314" s="21">
        <v>45274</v>
      </c>
      <c r="C1314" s="16"/>
      <c r="D1314" s="25" t="s">
        <v>285</v>
      </c>
      <c r="E1314" s="22"/>
      <c r="F1314" s="22"/>
      <c r="G1314" s="25"/>
      <c r="H1314" s="25"/>
      <c r="I1314" s="92">
        <v>120000</v>
      </c>
      <c r="J1314" s="26">
        <f>SUM($I$4:I1314)</f>
        <v>99167023.170000166</v>
      </c>
      <c r="K1314" s="44">
        <f t="shared" si="20"/>
        <v>1.5527791032152833E-3</v>
      </c>
      <c r="L1314" s="22"/>
      <c r="M1314" s="22"/>
    </row>
    <row r="1315" spans="2:13" ht="12.75">
      <c r="B1315" s="21">
        <v>45274</v>
      </c>
      <c r="C1315" s="16"/>
      <c r="D1315" s="25" t="s">
        <v>264</v>
      </c>
      <c r="E1315" s="22"/>
      <c r="F1315" s="22"/>
      <c r="G1315" s="25"/>
      <c r="H1315" s="25"/>
      <c r="I1315" s="92">
        <v>50</v>
      </c>
      <c r="J1315" s="26">
        <f>SUM($I$4:I1315)</f>
        <v>99167073.170000166</v>
      </c>
      <c r="K1315" s="44">
        <f t="shared" si="20"/>
        <v>6.4699129300636808E-7</v>
      </c>
      <c r="L1315" s="22"/>
      <c r="M1315" s="22"/>
    </row>
    <row r="1316" spans="2:13" ht="12.75">
      <c r="B1316" s="21">
        <v>45274</v>
      </c>
      <c r="C1316" s="16"/>
      <c r="D1316" s="25" t="s">
        <v>264</v>
      </c>
      <c r="E1316" s="22"/>
      <c r="F1316" s="22"/>
      <c r="G1316" s="25"/>
      <c r="H1316" s="25"/>
      <c r="I1316" s="92">
        <v>3.75</v>
      </c>
      <c r="J1316" s="26">
        <f>SUM($I$4:I1316)</f>
        <v>99167076.920000166</v>
      </c>
      <c r="K1316" s="44">
        <f t="shared" si="20"/>
        <v>4.8524346975477608E-8</v>
      </c>
      <c r="L1316" s="22"/>
      <c r="M1316" s="22"/>
    </row>
    <row r="1317" spans="2:13" ht="12.75">
      <c r="B1317" s="21">
        <v>45274</v>
      </c>
      <c r="C1317" s="16"/>
      <c r="D1317" s="25" t="s">
        <v>275</v>
      </c>
      <c r="E1317" s="22"/>
      <c r="F1317" s="22"/>
      <c r="G1317" s="25"/>
      <c r="H1317" s="25"/>
      <c r="I1317" s="92">
        <v>110400</v>
      </c>
      <c r="J1317" s="26">
        <f>SUM($I$4:I1317)</f>
        <v>99277476.920000166</v>
      </c>
      <c r="K1317" s="44">
        <f t="shared" si="20"/>
        <v>1.4285567749580607E-3</v>
      </c>
      <c r="L1317" s="22"/>
      <c r="M1317" s="22"/>
    </row>
    <row r="1318" spans="2:13" ht="12.75">
      <c r="B1318" s="21">
        <v>45274</v>
      </c>
      <c r="C1318" s="16"/>
      <c r="D1318" s="25" t="s">
        <v>264</v>
      </c>
      <c r="E1318" s="22"/>
      <c r="F1318" s="22"/>
      <c r="G1318" s="25"/>
      <c r="H1318" s="25"/>
      <c r="I1318" s="92">
        <v>50</v>
      </c>
      <c r="J1318" s="26">
        <f>SUM($I$4:I1318)</f>
        <v>99277526.920000166</v>
      </c>
      <c r="K1318" s="44">
        <f t="shared" si="20"/>
        <v>6.4699129300636808E-7</v>
      </c>
      <c r="L1318" s="22"/>
      <c r="M1318" s="22"/>
    </row>
    <row r="1319" spans="2:13" ht="12.75">
      <c r="B1319" s="21">
        <v>45274</v>
      </c>
      <c r="C1319" s="16"/>
      <c r="D1319" s="25" t="s">
        <v>264</v>
      </c>
      <c r="E1319" s="22"/>
      <c r="F1319" s="22"/>
      <c r="G1319" s="25"/>
      <c r="H1319" s="25"/>
      <c r="I1319" s="92">
        <v>3.75</v>
      </c>
      <c r="J1319" s="26">
        <f>SUM($I$4:I1319)</f>
        <v>99277530.670000166</v>
      </c>
      <c r="K1319" s="44">
        <f t="shared" si="20"/>
        <v>4.8524346975477608E-8</v>
      </c>
      <c r="L1319" s="22"/>
      <c r="M1319" s="22"/>
    </row>
    <row r="1320" spans="2:13" ht="12.75">
      <c r="B1320" s="21">
        <v>45274</v>
      </c>
      <c r="C1320" s="16"/>
      <c r="D1320" s="25" t="s">
        <v>269</v>
      </c>
      <c r="E1320" s="22"/>
      <c r="F1320" s="22"/>
      <c r="G1320" s="25"/>
      <c r="H1320" s="25"/>
      <c r="I1320" s="92">
        <v>32000</v>
      </c>
      <c r="J1320" s="26">
        <f>SUM($I$4:I1320)</f>
        <v>99309530.670000166</v>
      </c>
      <c r="K1320" s="44">
        <f t="shared" si="20"/>
        <v>4.1407442752407556E-4</v>
      </c>
      <c r="L1320" s="22"/>
      <c r="M1320" s="22"/>
    </row>
    <row r="1321" spans="2:13" ht="12.75">
      <c r="B1321" s="21">
        <v>45274</v>
      </c>
      <c r="C1321" s="16"/>
      <c r="D1321" s="25" t="s">
        <v>295</v>
      </c>
      <c r="E1321" s="22"/>
      <c r="F1321" s="22"/>
      <c r="G1321" s="25"/>
      <c r="H1321" s="25"/>
      <c r="I1321" s="92">
        <v>4000</v>
      </c>
      <c r="J1321" s="26">
        <f>SUM($I$4:I1321)</f>
        <v>99313530.670000166</v>
      </c>
      <c r="K1321" s="44">
        <f t="shared" si="20"/>
        <v>5.1759303440509444E-5</v>
      </c>
      <c r="L1321" s="22"/>
      <c r="M1321" s="22"/>
    </row>
    <row r="1322" spans="2:13" ht="12.75">
      <c r="B1322" s="21">
        <v>45274</v>
      </c>
      <c r="C1322" s="16"/>
      <c r="D1322" s="25" t="s">
        <v>295</v>
      </c>
      <c r="E1322" s="22"/>
      <c r="F1322" s="22"/>
      <c r="G1322" s="25"/>
      <c r="H1322" s="25"/>
      <c r="I1322" s="92">
        <v>29000</v>
      </c>
      <c r="J1322" s="26">
        <f>SUM($I$4:I1322)</f>
        <v>99342530.670000166</v>
      </c>
      <c r="K1322" s="44">
        <f t="shared" si="20"/>
        <v>3.7525494994369347E-4</v>
      </c>
      <c r="L1322" s="22"/>
      <c r="M1322" s="22"/>
    </row>
    <row r="1323" spans="2:13" ht="12.75">
      <c r="B1323" s="21">
        <v>45274</v>
      </c>
      <c r="C1323" s="16"/>
      <c r="D1323" s="25" t="s">
        <v>264</v>
      </c>
      <c r="E1323" s="22"/>
      <c r="F1323" s="22"/>
      <c r="G1323" s="25"/>
      <c r="H1323" s="25"/>
      <c r="I1323" s="92">
        <v>25</v>
      </c>
      <c r="J1323" s="26">
        <f>SUM($I$4:I1323)</f>
        <v>99342555.670000166</v>
      </c>
      <c r="K1323" s="44">
        <f t="shared" si="20"/>
        <v>3.2349564650318404E-7</v>
      </c>
      <c r="L1323" s="22"/>
      <c r="M1323" s="22"/>
    </row>
    <row r="1324" spans="2:13" ht="12.75">
      <c r="B1324" s="21">
        <v>45274</v>
      </c>
      <c r="C1324" s="16"/>
      <c r="D1324" s="25" t="s">
        <v>264</v>
      </c>
      <c r="E1324" s="22"/>
      <c r="F1324" s="22"/>
      <c r="G1324" s="25"/>
      <c r="H1324" s="25"/>
      <c r="I1324" s="92">
        <v>1.87</v>
      </c>
      <c r="J1324" s="26">
        <f>SUM($I$4:I1324)</f>
        <v>99342557.54000017</v>
      </c>
      <c r="K1324" s="44">
        <f t="shared" si="20"/>
        <v>2.4197474358438168E-8</v>
      </c>
      <c r="L1324" s="22"/>
      <c r="M1324" s="22"/>
    </row>
    <row r="1325" spans="2:13" ht="12.75">
      <c r="B1325" s="21">
        <v>45274</v>
      </c>
      <c r="C1325" s="16"/>
      <c r="D1325" s="25" t="s">
        <v>275</v>
      </c>
      <c r="E1325" s="22"/>
      <c r="F1325" s="22"/>
      <c r="G1325" s="25"/>
      <c r="H1325" s="25"/>
      <c r="I1325" s="92">
        <v>1000</v>
      </c>
      <c r="J1325" s="26">
        <f>SUM($I$4:I1325)</f>
        <v>99343557.54000017</v>
      </c>
      <c r="K1325" s="44">
        <f t="shared" si="20"/>
        <v>1.2939825860127361E-5</v>
      </c>
      <c r="L1325" s="22"/>
      <c r="M1325" s="22"/>
    </row>
    <row r="1326" spans="2:13" ht="12.75">
      <c r="B1326" s="21">
        <v>45274</v>
      </c>
      <c r="C1326" s="16"/>
      <c r="D1326" s="25" t="s">
        <v>275</v>
      </c>
      <c r="E1326" s="22"/>
      <c r="F1326" s="22"/>
      <c r="G1326" s="25"/>
      <c r="H1326" s="25"/>
      <c r="I1326" s="92">
        <v>500</v>
      </c>
      <c r="J1326" s="26">
        <f>SUM($I$4:I1326)</f>
        <v>99344057.54000017</v>
      </c>
      <c r="K1326" s="44">
        <f t="shared" si="20"/>
        <v>6.4699129300636806E-6</v>
      </c>
      <c r="L1326" s="22"/>
      <c r="M1326" s="22"/>
    </row>
    <row r="1327" spans="2:13" ht="12.75">
      <c r="B1327" s="21">
        <v>45274</v>
      </c>
      <c r="C1327" s="16"/>
      <c r="D1327" s="25" t="s">
        <v>318</v>
      </c>
      <c r="E1327" s="22"/>
      <c r="F1327" s="22"/>
      <c r="G1327" s="25"/>
      <c r="H1327" s="25"/>
      <c r="I1327" s="92">
        <v>22590</v>
      </c>
      <c r="J1327" s="26">
        <f>SUM($I$4:I1327)</f>
        <v>99366647.54000017</v>
      </c>
      <c r="K1327" s="44">
        <f t="shared" si="20"/>
        <v>2.9231066618027712E-4</v>
      </c>
      <c r="L1327" s="22"/>
      <c r="M1327" s="22"/>
    </row>
    <row r="1328" spans="2:13" ht="12.75">
      <c r="B1328" s="21">
        <v>45274</v>
      </c>
      <c r="C1328" s="16"/>
      <c r="D1328" s="25" t="s">
        <v>264</v>
      </c>
      <c r="E1328" s="22"/>
      <c r="F1328" s="22"/>
      <c r="G1328" s="25"/>
      <c r="H1328" s="25"/>
      <c r="I1328" s="92">
        <v>25</v>
      </c>
      <c r="J1328" s="26">
        <f>SUM($I$4:I1328)</f>
        <v>99366672.54000017</v>
      </c>
      <c r="K1328" s="44">
        <f t="shared" si="20"/>
        <v>3.2349564650318404E-7</v>
      </c>
      <c r="L1328" s="22"/>
      <c r="M1328" s="22"/>
    </row>
    <row r="1329" spans="2:13" ht="12.75">
      <c r="B1329" s="21">
        <v>45274</v>
      </c>
      <c r="C1329" s="16"/>
      <c r="D1329" s="25" t="s">
        <v>264</v>
      </c>
      <c r="E1329" s="22"/>
      <c r="F1329" s="22"/>
      <c r="G1329" s="25"/>
      <c r="H1329" s="25"/>
      <c r="I1329" s="92">
        <v>1.87</v>
      </c>
      <c r="J1329" s="26">
        <f>SUM($I$4:I1329)</f>
        <v>99366674.410000175</v>
      </c>
      <c r="K1329" s="44">
        <f t="shared" si="20"/>
        <v>2.4197474358438168E-8</v>
      </c>
      <c r="L1329" s="22"/>
      <c r="M1329" s="22"/>
    </row>
    <row r="1330" spans="2:13" ht="12.75">
      <c r="B1330" s="21">
        <v>45276</v>
      </c>
      <c r="C1330" s="16"/>
      <c r="D1330" s="25" t="s">
        <v>319</v>
      </c>
      <c r="E1330" s="22"/>
      <c r="F1330" s="22"/>
      <c r="G1330" s="25"/>
      <c r="H1330" s="25"/>
      <c r="I1330" s="92">
        <v>7600</v>
      </c>
      <c r="J1330" s="26">
        <f>SUM($I$4:I1330)</f>
        <v>99374274.410000175</v>
      </c>
      <c r="K1330" s="44">
        <f t="shared" si="20"/>
        <v>9.8342676536967942E-5</v>
      </c>
      <c r="L1330" s="22"/>
      <c r="M1330" s="22"/>
    </row>
    <row r="1331" spans="2:13" ht="12.75">
      <c r="B1331" s="21">
        <v>45276</v>
      </c>
      <c r="C1331" s="16"/>
      <c r="D1331" s="25" t="s">
        <v>275</v>
      </c>
      <c r="E1331" s="22"/>
      <c r="F1331" s="22"/>
      <c r="G1331" s="25"/>
      <c r="H1331" s="25"/>
      <c r="I1331" s="92">
        <v>294000</v>
      </c>
      <c r="J1331" s="26">
        <f>SUM($I$4:I1331)</f>
        <v>99668274.410000175</v>
      </c>
      <c r="K1331" s="44">
        <f t="shared" si="20"/>
        <v>3.8043088028774444E-3</v>
      </c>
      <c r="L1331" s="22"/>
      <c r="M1331" s="22"/>
    </row>
    <row r="1332" spans="2:13" ht="12.75">
      <c r="B1332" s="21">
        <v>45276</v>
      </c>
      <c r="C1332" s="16"/>
      <c r="D1332" s="25" t="s">
        <v>264</v>
      </c>
      <c r="E1332" s="22"/>
      <c r="F1332" s="22"/>
      <c r="G1332" s="25"/>
      <c r="H1332" s="25"/>
      <c r="I1332" s="92">
        <v>50</v>
      </c>
      <c r="J1332" s="26">
        <f>SUM($I$4:I1332)</f>
        <v>99668324.410000175</v>
      </c>
      <c r="K1332" s="44">
        <f t="shared" si="20"/>
        <v>6.4699129300636808E-7</v>
      </c>
      <c r="L1332" s="22"/>
      <c r="M1332" s="22"/>
    </row>
    <row r="1333" spans="2:13" ht="12.75">
      <c r="B1333" s="21">
        <v>45276</v>
      </c>
      <c r="C1333" s="16"/>
      <c r="D1333" s="25" t="s">
        <v>264</v>
      </c>
      <c r="E1333" s="22"/>
      <c r="F1333" s="22"/>
      <c r="G1333" s="25"/>
      <c r="H1333" s="25"/>
      <c r="I1333" s="92">
        <v>3.75</v>
      </c>
      <c r="J1333" s="26">
        <f>SUM($I$4:I1333)</f>
        <v>99668328.160000175</v>
      </c>
      <c r="K1333" s="44">
        <f t="shared" si="20"/>
        <v>4.8524346975477608E-8</v>
      </c>
      <c r="L1333" s="22"/>
      <c r="M1333" s="22"/>
    </row>
    <row r="1334" spans="2:13" ht="12.75">
      <c r="B1334" s="21">
        <v>45276</v>
      </c>
      <c r="C1334" s="16"/>
      <c r="D1334" s="25" t="s">
        <v>285</v>
      </c>
      <c r="E1334" s="22"/>
      <c r="F1334" s="22"/>
      <c r="G1334" s="25"/>
      <c r="H1334" s="25"/>
      <c r="I1334" s="92">
        <v>42000</v>
      </c>
      <c r="J1334" s="26">
        <f>SUM($I$4:I1334)</f>
        <v>99710328.160000175</v>
      </c>
      <c r="K1334" s="44">
        <f t="shared" si="20"/>
        <v>5.4347268612534917E-4</v>
      </c>
      <c r="L1334" s="22"/>
      <c r="M1334" s="22"/>
    </row>
    <row r="1335" spans="2:13" ht="12.75">
      <c r="B1335" s="21">
        <v>45276</v>
      </c>
      <c r="C1335" s="16"/>
      <c r="D1335" s="25" t="s">
        <v>264</v>
      </c>
      <c r="E1335" s="22"/>
      <c r="F1335" s="22"/>
      <c r="G1335" s="25"/>
      <c r="H1335" s="25"/>
      <c r="I1335" s="92">
        <v>25</v>
      </c>
      <c r="J1335" s="26">
        <f>SUM($I$4:I1335)</f>
        <v>99710353.160000175</v>
      </c>
      <c r="K1335" s="44">
        <f t="shared" si="20"/>
        <v>3.2349564650318404E-7</v>
      </c>
      <c r="L1335" s="22"/>
      <c r="M1335" s="22"/>
    </row>
    <row r="1336" spans="2:13" ht="12.75">
      <c r="B1336" s="21">
        <v>45276</v>
      </c>
      <c r="C1336" s="16"/>
      <c r="D1336" s="25" t="s">
        <v>264</v>
      </c>
      <c r="E1336" s="22"/>
      <c r="F1336" s="22"/>
      <c r="G1336" s="25"/>
      <c r="H1336" s="25"/>
      <c r="I1336" s="92">
        <v>1.87</v>
      </c>
      <c r="J1336" s="26">
        <f>SUM($I$4:I1336)</f>
        <v>99710355.03000018</v>
      </c>
      <c r="K1336" s="44">
        <f t="shared" si="20"/>
        <v>2.4197474358438168E-8</v>
      </c>
      <c r="L1336" s="22"/>
      <c r="M1336" s="22"/>
    </row>
    <row r="1337" spans="2:13" ht="12.75">
      <c r="B1337" s="21">
        <v>45276</v>
      </c>
      <c r="C1337" s="16"/>
      <c r="D1337" s="25" t="s">
        <v>275</v>
      </c>
      <c r="E1337" s="22"/>
      <c r="F1337" s="22"/>
      <c r="G1337" s="25"/>
      <c r="H1337" s="25"/>
      <c r="I1337" s="92">
        <v>405000</v>
      </c>
      <c r="J1337" s="26">
        <f>SUM($I$4:I1337)</f>
        <v>100115355.03000018</v>
      </c>
      <c r="K1337" s="44">
        <f t="shared" si="20"/>
        <v>5.2406294733515811E-3</v>
      </c>
      <c r="L1337" s="22"/>
      <c r="M1337" s="22"/>
    </row>
    <row r="1338" spans="2:13" ht="12.75">
      <c r="B1338" s="21">
        <v>45276</v>
      </c>
      <c r="C1338" s="16"/>
      <c r="D1338" s="25" t="s">
        <v>264</v>
      </c>
      <c r="E1338" s="22"/>
      <c r="F1338" s="22"/>
      <c r="G1338" s="25"/>
      <c r="H1338" s="25"/>
      <c r="I1338" s="92">
        <v>50</v>
      </c>
      <c r="J1338" s="26">
        <f>SUM($I$4:I1338)</f>
        <v>100115405.03000018</v>
      </c>
      <c r="K1338" s="44">
        <f t="shared" si="20"/>
        <v>6.4699129300636808E-7</v>
      </c>
      <c r="L1338" s="22"/>
      <c r="M1338" s="22"/>
    </row>
    <row r="1339" spans="2:13" ht="12.75">
      <c r="B1339" s="21">
        <v>45276</v>
      </c>
      <c r="C1339" s="16"/>
      <c r="D1339" s="25" t="s">
        <v>264</v>
      </c>
      <c r="E1339" s="22"/>
      <c r="F1339" s="22"/>
      <c r="G1339" s="25"/>
      <c r="H1339" s="25"/>
      <c r="I1339" s="92">
        <v>3.75</v>
      </c>
      <c r="J1339" s="26">
        <f>SUM($I$4:I1339)</f>
        <v>100115408.78000018</v>
      </c>
      <c r="K1339" s="44">
        <f t="shared" si="20"/>
        <v>4.8524346975477608E-8</v>
      </c>
      <c r="L1339" s="22"/>
      <c r="M1339" s="22"/>
    </row>
    <row r="1340" spans="2:13" ht="12.75">
      <c r="B1340" s="21">
        <v>45276</v>
      </c>
      <c r="C1340" s="16"/>
      <c r="D1340" s="25" t="s">
        <v>275</v>
      </c>
      <c r="E1340" s="22"/>
      <c r="F1340" s="22"/>
      <c r="G1340" s="25"/>
      <c r="H1340" s="25"/>
      <c r="I1340" s="92">
        <v>33000</v>
      </c>
      <c r="J1340" s="26">
        <f>SUM($I$4:I1340)</f>
        <v>100148408.78000018</v>
      </c>
      <c r="K1340" s="44">
        <f t="shared" si="20"/>
        <v>4.2701425338420292E-4</v>
      </c>
      <c r="L1340" s="22"/>
      <c r="M1340" s="22"/>
    </row>
    <row r="1341" spans="2:13" ht="12.75">
      <c r="B1341" s="21">
        <v>45276</v>
      </c>
      <c r="C1341" s="16"/>
      <c r="D1341" s="25" t="s">
        <v>264</v>
      </c>
      <c r="E1341" s="22"/>
      <c r="F1341" s="22"/>
      <c r="G1341" s="25"/>
      <c r="H1341" s="25"/>
      <c r="I1341" s="92">
        <v>1.87</v>
      </c>
      <c r="J1341" s="26">
        <f>SUM($I$4:I1341)</f>
        <v>100148410.65000018</v>
      </c>
      <c r="K1341" s="44">
        <f t="shared" si="20"/>
        <v>2.4197474358438168E-8</v>
      </c>
      <c r="L1341" s="22"/>
      <c r="M1341" s="22"/>
    </row>
    <row r="1342" spans="2:13" ht="12.75">
      <c r="B1342" s="21">
        <v>45276</v>
      </c>
      <c r="C1342" s="16"/>
      <c r="D1342" s="25" t="s">
        <v>264</v>
      </c>
      <c r="E1342" s="22"/>
      <c r="F1342" s="22"/>
      <c r="G1342" s="25"/>
      <c r="H1342" s="25"/>
      <c r="I1342" s="92">
        <v>50</v>
      </c>
      <c r="J1342" s="26">
        <f>SUM($I$4:I1342)</f>
        <v>100148460.65000018</v>
      </c>
      <c r="K1342" s="44">
        <f t="shared" si="20"/>
        <v>6.4699129300636808E-7</v>
      </c>
      <c r="L1342" s="22"/>
      <c r="M1342" s="22"/>
    </row>
    <row r="1343" spans="2:13" ht="12.75">
      <c r="B1343" s="21">
        <v>45279</v>
      </c>
      <c r="C1343" s="16"/>
      <c r="D1343" s="25" t="s">
        <v>269</v>
      </c>
      <c r="E1343" s="22"/>
      <c r="F1343" s="22"/>
      <c r="G1343" s="25"/>
      <c r="H1343" s="25"/>
      <c r="I1343" s="92">
        <v>32000</v>
      </c>
      <c r="J1343" s="26">
        <f>SUM($I$4:I1343)</f>
        <v>100180460.65000018</v>
      </c>
      <c r="K1343" s="44">
        <f t="shared" si="20"/>
        <v>4.1407442752407556E-4</v>
      </c>
      <c r="L1343" s="22"/>
      <c r="M1343" s="22"/>
    </row>
    <row r="1344" spans="2:13" ht="12.75">
      <c r="B1344" s="21">
        <v>45279</v>
      </c>
      <c r="C1344" s="16"/>
      <c r="D1344" s="25" t="s">
        <v>286</v>
      </c>
      <c r="E1344" s="22"/>
      <c r="F1344" s="22"/>
      <c r="G1344" s="25"/>
      <c r="H1344" s="25"/>
      <c r="I1344" s="92">
        <v>40500</v>
      </c>
      <c r="J1344" s="26">
        <f>SUM($I$4:I1344)</f>
        <v>100220960.65000018</v>
      </c>
      <c r="K1344" s="44">
        <f t="shared" si="20"/>
        <v>5.2406294733515818E-4</v>
      </c>
      <c r="L1344" s="22"/>
      <c r="M1344" s="22"/>
    </row>
    <row r="1345" spans="2:13" ht="12.75">
      <c r="B1345" s="21">
        <v>45279</v>
      </c>
      <c r="C1345" s="16"/>
      <c r="D1345" s="25" t="s">
        <v>264</v>
      </c>
      <c r="E1345" s="22"/>
      <c r="F1345" s="22"/>
      <c r="G1345" s="25"/>
      <c r="H1345" s="25"/>
      <c r="I1345" s="92">
        <v>25</v>
      </c>
      <c r="J1345" s="26">
        <f>SUM($I$4:I1345)</f>
        <v>100220985.65000018</v>
      </c>
      <c r="K1345" s="44">
        <f t="shared" si="20"/>
        <v>3.2349564650318404E-7</v>
      </c>
      <c r="L1345" s="22"/>
      <c r="M1345" s="22"/>
    </row>
    <row r="1346" spans="2:13" ht="12.75">
      <c r="B1346" s="21">
        <v>45279</v>
      </c>
      <c r="C1346" s="16"/>
      <c r="D1346" s="25" t="s">
        <v>264</v>
      </c>
      <c r="E1346" s="22"/>
      <c r="F1346" s="22"/>
      <c r="G1346" s="25"/>
      <c r="H1346" s="25"/>
      <c r="I1346" s="92">
        <v>1.87</v>
      </c>
      <c r="J1346" s="26">
        <f>SUM($I$4:I1346)</f>
        <v>100220987.52000019</v>
      </c>
      <c r="K1346" s="44">
        <f t="shared" si="20"/>
        <v>2.4197474358438168E-8</v>
      </c>
      <c r="L1346" s="22"/>
      <c r="M1346" s="22"/>
    </row>
    <row r="1347" spans="2:13" ht="12.75">
      <c r="B1347" s="21">
        <v>45279</v>
      </c>
      <c r="C1347" s="16"/>
      <c r="D1347" s="25" t="s">
        <v>286</v>
      </c>
      <c r="E1347" s="22"/>
      <c r="F1347" s="22"/>
      <c r="G1347" s="25"/>
      <c r="H1347" s="25"/>
      <c r="I1347" s="92">
        <v>50000</v>
      </c>
      <c r="J1347" s="26">
        <f>SUM($I$4:I1347)</f>
        <v>100270987.52000019</v>
      </c>
      <c r="K1347" s="44">
        <f t="shared" si="20"/>
        <v>6.4699129300636806E-4</v>
      </c>
      <c r="L1347" s="22"/>
      <c r="M1347" s="22"/>
    </row>
    <row r="1348" spans="2:13" ht="12.75">
      <c r="B1348" s="21">
        <v>45279</v>
      </c>
      <c r="C1348" s="16"/>
      <c r="D1348" s="25" t="s">
        <v>264</v>
      </c>
      <c r="E1348" s="22"/>
      <c r="F1348" s="22"/>
      <c r="G1348" s="25"/>
      <c r="H1348" s="25"/>
      <c r="I1348" s="92">
        <v>25</v>
      </c>
      <c r="J1348" s="26">
        <f>SUM($I$4:I1348)</f>
        <v>100271012.52000019</v>
      </c>
      <c r="K1348" s="44">
        <f t="shared" si="20"/>
        <v>3.2349564650318404E-7</v>
      </c>
      <c r="L1348" s="22"/>
      <c r="M1348" s="22"/>
    </row>
    <row r="1349" spans="2:13" ht="12.75">
      <c r="B1349" s="21">
        <v>45279</v>
      </c>
      <c r="C1349" s="16"/>
      <c r="D1349" s="25" t="s">
        <v>264</v>
      </c>
      <c r="E1349" s="22"/>
      <c r="F1349" s="22"/>
      <c r="G1349" s="25"/>
      <c r="H1349" s="25"/>
      <c r="I1349" s="92">
        <v>1.87</v>
      </c>
      <c r="J1349" s="26">
        <f>SUM($I$4:I1349)</f>
        <v>100271014.39000019</v>
      </c>
      <c r="K1349" s="44">
        <f t="shared" ref="K1349:K1412" si="21">IF(SUM($I$4:$I$830)=0,"",I1349/SUM($I$4:$I$830))</f>
        <v>2.4197474358438168E-8</v>
      </c>
      <c r="L1349" s="22"/>
      <c r="M1349" s="22"/>
    </row>
    <row r="1350" spans="2:13" ht="12.75">
      <c r="B1350" s="21">
        <v>45279</v>
      </c>
      <c r="C1350" s="16"/>
      <c r="D1350" s="25" t="s">
        <v>310</v>
      </c>
      <c r="E1350" s="22"/>
      <c r="F1350" s="22"/>
      <c r="G1350" s="25"/>
      <c r="H1350" s="25"/>
      <c r="I1350" s="92">
        <v>50000</v>
      </c>
      <c r="J1350" s="26">
        <f>SUM($I$4:I1350)</f>
        <v>100321014.39000019</v>
      </c>
      <c r="K1350" s="44">
        <f t="shared" si="21"/>
        <v>6.4699129300636806E-4</v>
      </c>
      <c r="L1350" s="22"/>
      <c r="M1350" s="22"/>
    </row>
    <row r="1351" spans="2:13" ht="12.75">
      <c r="B1351" s="21">
        <v>45279</v>
      </c>
      <c r="C1351" s="16"/>
      <c r="D1351" s="25" t="s">
        <v>264</v>
      </c>
      <c r="E1351" s="22"/>
      <c r="F1351" s="22"/>
      <c r="G1351" s="25"/>
      <c r="H1351" s="25"/>
      <c r="I1351" s="92">
        <v>25</v>
      </c>
      <c r="J1351" s="26">
        <f>SUM($I$4:I1351)</f>
        <v>100321039.39000019</v>
      </c>
      <c r="K1351" s="44">
        <f t="shared" si="21"/>
        <v>3.2349564650318404E-7</v>
      </c>
      <c r="L1351" s="22"/>
      <c r="M1351" s="22"/>
    </row>
    <row r="1352" spans="2:13" ht="12.75">
      <c r="B1352" s="21">
        <v>45279</v>
      </c>
      <c r="C1352" s="16"/>
      <c r="D1352" s="25" t="s">
        <v>264</v>
      </c>
      <c r="E1352" s="22"/>
      <c r="F1352" s="22"/>
      <c r="G1352" s="25"/>
      <c r="H1352" s="25"/>
      <c r="I1352" s="92">
        <v>1.87</v>
      </c>
      <c r="J1352" s="26">
        <f>SUM($I$4:I1352)</f>
        <v>100321041.2600002</v>
      </c>
      <c r="K1352" s="44">
        <f t="shared" si="21"/>
        <v>2.4197474358438168E-8</v>
      </c>
      <c r="L1352" s="22"/>
      <c r="M1352" s="22"/>
    </row>
    <row r="1353" spans="2:13" ht="12.75">
      <c r="B1353" s="21">
        <v>45279</v>
      </c>
      <c r="C1353" s="16"/>
      <c r="D1353" s="25" t="s">
        <v>285</v>
      </c>
      <c r="E1353" s="22"/>
      <c r="F1353" s="22"/>
      <c r="G1353" s="25"/>
      <c r="H1353" s="25"/>
      <c r="I1353" s="92">
        <v>120000</v>
      </c>
      <c r="J1353" s="26">
        <f>SUM($I$4:I1353)</f>
        <v>100441041.2600002</v>
      </c>
      <c r="K1353" s="44">
        <f t="shared" si="21"/>
        <v>1.5527791032152833E-3</v>
      </c>
      <c r="L1353" s="22"/>
      <c r="M1353" s="22"/>
    </row>
    <row r="1354" spans="2:13" ht="12.75">
      <c r="B1354" s="21">
        <v>45279</v>
      </c>
      <c r="C1354" s="16"/>
      <c r="D1354" s="25" t="s">
        <v>264</v>
      </c>
      <c r="E1354" s="22"/>
      <c r="F1354" s="22"/>
      <c r="G1354" s="25"/>
      <c r="H1354" s="25"/>
      <c r="I1354" s="92">
        <v>50</v>
      </c>
      <c r="J1354" s="26">
        <f>SUM($I$4:I1354)</f>
        <v>100441091.2600002</v>
      </c>
      <c r="K1354" s="44">
        <f t="shared" si="21"/>
        <v>6.4699129300636808E-7</v>
      </c>
      <c r="L1354" s="22"/>
      <c r="M1354" s="22"/>
    </row>
    <row r="1355" spans="2:13" ht="12.75">
      <c r="B1355" s="21">
        <v>45279</v>
      </c>
      <c r="C1355" s="16"/>
      <c r="D1355" s="25" t="s">
        <v>264</v>
      </c>
      <c r="E1355" s="22"/>
      <c r="F1355" s="22"/>
      <c r="G1355" s="25"/>
      <c r="H1355" s="25"/>
      <c r="I1355" s="92">
        <v>3.75</v>
      </c>
      <c r="J1355" s="26">
        <f>SUM($I$4:I1355)</f>
        <v>100441095.0100002</v>
      </c>
      <c r="K1355" s="44">
        <f t="shared" si="21"/>
        <v>4.8524346975477608E-8</v>
      </c>
      <c r="L1355" s="22"/>
      <c r="M1355" s="22"/>
    </row>
    <row r="1356" spans="2:13" ht="12.75">
      <c r="B1356" s="21">
        <v>45279</v>
      </c>
      <c r="C1356" s="16"/>
      <c r="D1356" s="25" t="s">
        <v>292</v>
      </c>
      <c r="E1356" s="22"/>
      <c r="F1356" s="22"/>
      <c r="G1356" s="25"/>
      <c r="H1356" s="25"/>
      <c r="I1356" s="92">
        <v>7330</v>
      </c>
      <c r="J1356" s="26">
        <f>SUM($I$4:I1356)</f>
        <v>100448425.0100002</v>
      </c>
      <c r="K1356" s="44">
        <f t="shared" si="21"/>
        <v>9.4848923554733555E-5</v>
      </c>
      <c r="L1356" s="22"/>
      <c r="M1356" s="22"/>
    </row>
    <row r="1357" spans="2:13" ht="12.75">
      <c r="B1357" s="21">
        <v>45279</v>
      </c>
      <c r="C1357" s="16"/>
      <c r="D1357" s="25" t="s">
        <v>272</v>
      </c>
      <c r="E1357" s="22"/>
      <c r="F1357" s="22"/>
      <c r="G1357" s="25"/>
      <c r="H1357" s="25"/>
      <c r="I1357" s="92">
        <v>24392.12</v>
      </c>
      <c r="J1357" s="26">
        <f>SUM($I$4:I1357)</f>
        <v>100472817.1300002</v>
      </c>
      <c r="K1357" s="44">
        <f t="shared" si="21"/>
        <v>3.156297851593298E-4</v>
      </c>
      <c r="L1357" s="22"/>
      <c r="M1357" s="22"/>
    </row>
    <row r="1358" spans="2:13" ht="12.75">
      <c r="B1358" s="21">
        <v>45279</v>
      </c>
      <c r="C1358" s="16"/>
      <c r="D1358" s="25" t="s">
        <v>264</v>
      </c>
      <c r="E1358" s="22"/>
      <c r="F1358" s="22"/>
      <c r="G1358" s="25"/>
      <c r="H1358" s="25"/>
      <c r="I1358" s="92">
        <v>100</v>
      </c>
      <c r="J1358" s="26">
        <f>SUM($I$4:I1358)</f>
        <v>100472917.1300002</v>
      </c>
      <c r="K1358" s="44">
        <f t="shared" si="21"/>
        <v>1.2939825860127362E-6</v>
      </c>
      <c r="L1358" s="22"/>
      <c r="M1358" s="22"/>
    </row>
    <row r="1359" spans="2:13" ht="12.75">
      <c r="B1359" s="21">
        <v>45279</v>
      </c>
      <c r="C1359" s="16"/>
      <c r="D1359" s="25" t="s">
        <v>284</v>
      </c>
      <c r="E1359" s="22"/>
      <c r="F1359" s="22"/>
      <c r="G1359" s="25"/>
      <c r="H1359" s="25"/>
      <c r="I1359" s="92">
        <v>8200</v>
      </c>
      <c r="J1359" s="26">
        <f>SUM($I$4:I1359)</f>
        <v>100481117.1300002</v>
      </c>
      <c r="K1359" s="44">
        <f t="shared" si="21"/>
        <v>1.0610657205304437E-4</v>
      </c>
      <c r="L1359" s="22"/>
      <c r="M1359" s="22"/>
    </row>
    <row r="1360" spans="2:13" ht="12.75">
      <c r="B1360" s="21">
        <v>45279</v>
      </c>
      <c r="C1360" s="16"/>
      <c r="D1360" s="25" t="s">
        <v>264</v>
      </c>
      <c r="E1360" s="22"/>
      <c r="F1360" s="22"/>
      <c r="G1360" s="25"/>
      <c r="H1360" s="25"/>
      <c r="I1360" s="92">
        <v>25</v>
      </c>
      <c r="J1360" s="26">
        <f>SUM($I$4:I1360)</f>
        <v>100481142.1300002</v>
      </c>
      <c r="K1360" s="44">
        <f t="shared" si="21"/>
        <v>3.2349564650318404E-7</v>
      </c>
      <c r="L1360" s="22"/>
      <c r="M1360" s="22"/>
    </row>
    <row r="1361" spans="2:13" ht="12.75">
      <c r="B1361" s="21">
        <v>45279</v>
      </c>
      <c r="C1361" s="16"/>
      <c r="D1361" s="25" t="s">
        <v>264</v>
      </c>
      <c r="E1361" s="22"/>
      <c r="F1361" s="22"/>
      <c r="G1361" s="25"/>
      <c r="H1361" s="25"/>
      <c r="I1361" s="92">
        <v>1.87</v>
      </c>
      <c r="J1361" s="26">
        <f>SUM($I$4:I1361)</f>
        <v>100481144.00000021</v>
      </c>
      <c r="K1361" s="44">
        <f t="shared" si="21"/>
        <v>2.4197474358438168E-8</v>
      </c>
      <c r="L1361" s="22"/>
      <c r="M1361" s="22"/>
    </row>
    <row r="1362" spans="2:13" ht="12.75">
      <c r="B1362" s="21">
        <v>45279</v>
      </c>
      <c r="C1362" s="16"/>
      <c r="D1362" s="25" t="s">
        <v>272</v>
      </c>
      <c r="E1362" s="22"/>
      <c r="F1362" s="22"/>
      <c r="G1362" s="25"/>
      <c r="H1362" s="25"/>
      <c r="I1362" s="92">
        <v>1495673.81</v>
      </c>
      <c r="J1362" s="26">
        <f>SUM($I$4:I1362)</f>
        <v>101976817.81000021</v>
      </c>
      <c r="K1362" s="44">
        <f t="shared" si="21"/>
        <v>1.9353758644953218E-2</v>
      </c>
      <c r="L1362" s="22"/>
      <c r="M1362" s="22"/>
    </row>
    <row r="1363" spans="2:13" ht="12.75">
      <c r="B1363" s="21">
        <v>45279</v>
      </c>
      <c r="C1363" s="16"/>
      <c r="D1363" s="25" t="s">
        <v>264</v>
      </c>
      <c r="E1363" s="22"/>
      <c r="F1363" s="22"/>
      <c r="G1363" s="25"/>
      <c r="H1363" s="25"/>
      <c r="I1363" s="92">
        <v>100</v>
      </c>
      <c r="J1363" s="26">
        <f>SUM($I$4:I1363)</f>
        <v>101976917.81000021</v>
      </c>
      <c r="K1363" s="44">
        <f t="shared" si="21"/>
        <v>1.2939825860127362E-6</v>
      </c>
      <c r="L1363" s="22"/>
      <c r="M1363" s="22"/>
    </row>
    <row r="1364" spans="2:13" ht="12.75">
      <c r="B1364" s="21">
        <v>45279</v>
      </c>
      <c r="C1364" s="16"/>
      <c r="D1364" s="25" t="s">
        <v>272</v>
      </c>
      <c r="E1364" s="22"/>
      <c r="F1364" s="22"/>
      <c r="G1364" s="25"/>
      <c r="H1364" s="25"/>
      <c r="I1364" s="92">
        <v>1741399.5</v>
      </c>
      <c r="J1364" s="26">
        <f>SUM($I$4:I1364)</f>
        <v>103718317.31000021</v>
      </c>
      <c r="K1364" s="44">
        <f t="shared" si="21"/>
        <v>2.2533406282912859E-2</v>
      </c>
      <c r="L1364" s="22"/>
      <c r="M1364" s="22"/>
    </row>
    <row r="1365" spans="2:13" ht="12.75">
      <c r="B1365" s="21">
        <v>45279</v>
      </c>
      <c r="C1365" s="16"/>
      <c r="D1365" s="25" t="s">
        <v>264</v>
      </c>
      <c r="E1365" s="22"/>
      <c r="F1365" s="22"/>
      <c r="G1365" s="25"/>
      <c r="H1365" s="25"/>
      <c r="I1365" s="92">
        <v>100</v>
      </c>
      <c r="J1365" s="26">
        <f>SUM($I$4:I1365)</f>
        <v>103718417.31000021</v>
      </c>
      <c r="K1365" s="44">
        <f t="shared" si="21"/>
        <v>1.2939825860127362E-6</v>
      </c>
      <c r="L1365" s="22"/>
      <c r="M1365" s="22"/>
    </row>
    <row r="1366" spans="2:13" ht="12.75">
      <c r="B1366" s="21">
        <v>45279</v>
      </c>
      <c r="C1366" s="16"/>
      <c r="D1366" s="25" t="s">
        <v>272</v>
      </c>
      <c r="E1366" s="22"/>
      <c r="F1366" s="22"/>
      <c r="G1366" s="25"/>
      <c r="H1366" s="25"/>
      <c r="I1366" s="92">
        <v>31378.080000000002</v>
      </c>
      <c r="J1366" s="26">
        <f>SUM($I$4:I1366)</f>
        <v>103749795.39000021</v>
      </c>
      <c r="K1366" s="44">
        <f t="shared" si="21"/>
        <v>4.0602689102514519E-4</v>
      </c>
      <c r="L1366" s="22"/>
      <c r="M1366" s="22"/>
    </row>
    <row r="1367" spans="2:13" ht="12.75">
      <c r="B1367" s="21">
        <v>45279</v>
      </c>
      <c r="C1367" s="16"/>
      <c r="D1367" s="25" t="s">
        <v>264</v>
      </c>
      <c r="E1367" s="22"/>
      <c r="F1367" s="22"/>
      <c r="G1367" s="25"/>
      <c r="H1367" s="25"/>
      <c r="I1367" s="92">
        <v>100</v>
      </c>
      <c r="J1367" s="26">
        <f>SUM($I$4:I1367)</f>
        <v>103749895.39000021</v>
      </c>
      <c r="K1367" s="44">
        <f t="shared" si="21"/>
        <v>1.2939825860127362E-6</v>
      </c>
      <c r="L1367" s="22"/>
      <c r="M1367" s="22"/>
    </row>
    <row r="1368" spans="2:13" ht="12.75">
      <c r="B1368" s="21">
        <v>45279</v>
      </c>
      <c r="C1368" s="16"/>
      <c r="D1368" s="25" t="s">
        <v>272</v>
      </c>
      <c r="E1368" s="22"/>
      <c r="F1368" s="22"/>
      <c r="G1368" s="25"/>
      <c r="H1368" s="25"/>
      <c r="I1368" s="92">
        <v>24392.12</v>
      </c>
      <c r="J1368" s="26">
        <f>SUM($I$4:I1368)</f>
        <v>103774287.51000021</v>
      </c>
      <c r="K1368" s="44">
        <f t="shared" si="21"/>
        <v>3.156297851593298E-4</v>
      </c>
      <c r="L1368" s="22"/>
      <c r="M1368" s="22"/>
    </row>
    <row r="1369" spans="2:13" ht="12.75">
      <c r="B1369" s="21">
        <v>45279</v>
      </c>
      <c r="C1369" s="16"/>
      <c r="D1369" s="25" t="s">
        <v>264</v>
      </c>
      <c r="E1369" s="22"/>
      <c r="F1369" s="22"/>
      <c r="G1369" s="25"/>
      <c r="H1369" s="25"/>
      <c r="I1369" s="92">
        <v>100</v>
      </c>
      <c r="J1369" s="26">
        <f>SUM($I$4:I1369)</f>
        <v>103774387.51000021</v>
      </c>
      <c r="K1369" s="44">
        <f t="shared" si="21"/>
        <v>1.2939825860127362E-6</v>
      </c>
      <c r="L1369" s="22"/>
      <c r="M1369" s="22"/>
    </row>
    <row r="1370" spans="2:13" ht="12.75">
      <c r="B1370" s="21">
        <v>45284</v>
      </c>
      <c r="C1370" s="16"/>
      <c r="D1370" s="25" t="s">
        <v>271</v>
      </c>
      <c r="E1370" s="22"/>
      <c r="F1370" s="22"/>
      <c r="G1370" s="25"/>
      <c r="H1370" s="25"/>
      <c r="I1370" s="92">
        <v>249561.58</v>
      </c>
      <c r="J1370" s="26">
        <f>SUM($I$4:I1370)</f>
        <v>104023949.09000021</v>
      </c>
      <c r="K1370" s="44">
        <f t="shared" si="21"/>
        <v>3.2292833865782433E-3</v>
      </c>
      <c r="L1370" s="22"/>
      <c r="M1370" s="22"/>
    </row>
    <row r="1371" spans="2:13" ht="12.75">
      <c r="B1371" s="21">
        <v>45284</v>
      </c>
      <c r="C1371" s="16"/>
      <c r="D1371" s="25" t="s">
        <v>271</v>
      </c>
      <c r="E1371" s="22"/>
      <c r="F1371" s="22"/>
      <c r="G1371" s="25"/>
      <c r="H1371" s="25"/>
      <c r="I1371" s="92">
        <v>159963.42000000001</v>
      </c>
      <c r="J1371" s="26">
        <f>SUM($I$4:I1371)</f>
        <v>104183912.51000021</v>
      </c>
      <c r="K1371" s="44">
        <f t="shared" si="21"/>
        <v>2.0698987987904146E-3</v>
      </c>
      <c r="L1371" s="22"/>
      <c r="M1371" s="22"/>
    </row>
    <row r="1372" spans="2:13" ht="12.75">
      <c r="B1372" s="21">
        <v>45284</v>
      </c>
      <c r="C1372" s="16"/>
      <c r="D1372" s="25" t="s">
        <v>271</v>
      </c>
      <c r="E1372" s="22"/>
      <c r="F1372" s="22"/>
      <c r="G1372" s="25"/>
      <c r="H1372" s="25"/>
      <c r="I1372" s="92">
        <v>118451.56</v>
      </c>
      <c r="J1372" s="26">
        <f>SUM($I$4:I1372)</f>
        <v>104302364.07000022</v>
      </c>
      <c r="K1372" s="44">
        <f t="shared" si="21"/>
        <v>1.5327425592604278E-3</v>
      </c>
      <c r="L1372" s="22"/>
      <c r="M1372" s="22"/>
    </row>
    <row r="1373" spans="2:13" ht="12.75">
      <c r="B1373" s="21">
        <v>45284</v>
      </c>
      <c r="C1373" s="16"/>
      <c r="D1373" s="25" t="s">
        <v>271</v>
      </c>
      <c r="E1373" s="22"/>
      <c r="F1373" s="22"/>
      <c r="G1373" s="25"/>
      <c r="H1373" s="25"/>
      <c r="I1373" s="92">
        <v>168523.14</v>
      </c>
      <c r="J1373" s="26">
        <f>SUM($I$4:I1373)</f>
        <v>104470887.21000022</v>
      </c>
      <c r="K1373" s="44">
        <f t="shared" si="21"/>
        <v>2.1806600850018641E-3</v>
      </c>
      <c r="L1373" s="22"/>
      <c r="M1373" s="22"/>
    </row>
    <row r="1374" spans="2:13" ht="12.75">
      <c r="B1374" s="21">
        <v>45284</v>
      </c>
      <c r="C1374" s="16"/>
      <c r="D1374" s="25" t="s">
        <v>271</v>
      </c>
      <c r="E1374" s="22"/>
      <c r="F1374" s="22"/>
      <c r="G1374" s="25"/>
      <c r="H1374" s="25"/>
      <c r="I1374" s="92">
        <v>83961.83</v>
      </c>
      <c r="J1374" s="26">
        <f>SUM($I$4:I1374)</f>
        <v>104554849.04000022</v>
      </c>
      <c r="K1374" s="44">
        <f t="shared" si="21"/>
        <v>1.0864514590976173E-3</v>
      </c>
      <c r="L1374" s="22"/>
      <c r="M1374" s="22"/>
    </row>
    <row r="1375" spans="2:13" ht="12.75">
      <c r="B1375" s="21">
        <v>45284</v>
      </c>
      <c r="C1375" s="16"/>
      <c r="D1375" s="25" t="s">
        <v>264</v>
      </c>
      <c r="E1375" s="22"/>
      <c r="F1375" s="22"/>
      <c r="G1375" s="25"/>
      <c r="H1375" s="25"/>
      <c r="I1375" s="92">
        <v>50</v>
      </c>
      <c r="J1375" s="26">
        <f>SUM($I$4:I1375)</f>
        <v>104554899.04000022</v>
      </c>
      <c r="K1375" s="44">
        <f t="shared" si="21"/>
        <v>6.4699129300636808E-7</v>
      </c>
      <c r="L1375" s="22"/>
      <c r="M1375" s="22"/>
    </row>
    <row r="1376" spans="2:13" ht="12.75">
      <c r="B1376" s="21">
        <v>45284</v>
      </c>
      <c r="C1376" s="16"/>
      <c r="D1376" s="25" t="s">
        <v>264</v>
      </c>
      <c r="E1376" s="22"/>
      <c r="F1376" s="22"/>
      <c r="G1376" s="25"/>
      <c r="H1376" s="25"/>
      <c r="I1376" s="92">
        <v>3.75</v>
      </c>
      <c r="J1376" s="26">
        <f>SUM($I$4:I1376)</f>
        <v>104554902.79000022</v>
      </c>
      <c r="K1376" s="44">
        <f t="shared" si="21"/>
        <v>4.8524346975477608E-8</v>
      </c>
      <c r="L1376" s="22"/>
      <c r="M1376" s="22"/>
    </row>
    <row r="1377" spans="2:13" ht="12.75">
      <c r="B1377" s="21">
        <v>45284</v>
      </c>
      <c r="C1377" s="16"/>
      <c r="D1377" s="25" t="s">
        <v>264</v>
      </c>
      <c r="E1377" s="22"/>
      <c r="F1377" s="22"/>
      <c r="G1377" s="25"/>
      <c r="H1377" s="25"/>
      <c r="I1377" s="92">
        <v>60</v>
      </c>
      <c r="J1377" s="26">
        <f>SUM($I$4:I1377)</f>
        <v>104554962.79000022</v>
      </c>
      <c r="K1377" s="44">
        <f t="shared" si="21"/>
        <v>7.7638955160764173E-7</v>
      </c>
      <c r="L1377" s="22"/>
      <c r="M1377" s="22"/>
    </row>
    <row r="1378" spans="2:13" ht="12.75">
      <c r="B1378" s="21">
        <v>45284</v>
      </c>
      <c r="C1378" s="16"/>
      <c r="D1378" s="25" t="s">
        <v>264</v>
      </c>
      <c r="E1378" s="22"/>
      <c r="F1378" s="22"/>
      <c r="G1378" s="25"/>
      <c r="H1378" s="25"/>
      <c r="I1378" s="92">
        <v>4.5</v>
      </c>
      <c r="J1378" s="26">
        <f>SUM($I$4:I1378)</f>
        <v>104554967.29000022</v>
      </c>
      <c r="K1378" s="44">
        <f t="shared" si="21"/>
        <v>5.822921637057313E-8</v>
      </c>
      <c r="L1378" s="22"/>
      <c r="M1378" s="22"/>
    </row>
    <row r="1379" spans="2:13" ht="12.75">
      <c r="B1379" s="21">
        <v>45284</v>
      </c>
      <c r="C1379" s="16"/>
      <c r="D1379" s="25" t="s">
        <v>271</v>
      </c>
      <c r="E1379" s="22"/>
      <c r="F1379" s="22"/>
      <c r="G1379" s="25"/>
      <c r="H1379" s="25"/>
      <c r="I1379" s="92">
        <v>98090.67</v>
      </c>
      <c r="J1379" s="26">
        <f>SUM($I$4:I1379)</f>
        <v>104653057.96000022</v>
      </c>
      <c r="K1379" s="44">
        <f t="shared" si="21"/>
        <v>1.2692761883032191E-3</v>
      </c>
      <c r="L1379" s="22"/>
      <c r="M1379" s="22"/>
    </row>
    <row r="1380" spans="2:13" ht="12.75">
      <c r="B1380" s="21">
        <v>45284</v>
      </c>
      <c r="C1380" s="16"/>
      <c r="D1380" s="25" t="s">
        <v>264</v>
      </c>
      <c r="E1380" s="22"/>
      <c r="F1380" s="22"/>
      <c r="G1380" s="25"/>
      <c r="H1380" s="25"/>
      <c r="I1380" s="92">
        <v>50</v>
      </c>
      <c r="J1380" s="26">
        <f>SUM($I$4:I1380)</f>
        <v>104653107.96000022</v>
      </c>
      <c r="K1380" s="44">
        <f t="shared" si="21"/>
        <v>6.4699129300636808E-7</v>
      </c>
      <c r="L1380" s="22"/>
      <c r="M1380" s="22"/>
    </row>
    <row r="1381" spans="2:13" ht="12.75">
      <c r="B1381" s="21">
        <v>45284</v>
      </c>
      <c r="C1381" s="16"/>
      <c r="D1381" s="25" t="s">
        <v>264</v>
      </c>
      <c r="E1381" s="22"/>
      <c r="F1381" s="22"/>
      <c r="G1381" s="25"/>
      <c r="H1381" s="25"/>
      <c r="I1381" s="92">
        <v>3.75</v>
      </c>
      <c r="J1381" s="26">
        <f>SUM($I$4:I1381)</f>
        <v>104653111.71000022</v>
      </c>
      <c r="K1381" s="44">
        <f t="shared" si="21"/>
        <v>4.8524346975477608E-8</v>
      </c>
      <c r="L1381" s="22"/>
      <c r="M1381" s="22"/>
    </row>
    <row r="1382" spans="2:13" ht="12.75">
      <c r="B1382" s="21">
        <v>45284</v>
      </c>
      <c r="C1382" s="16"/>
      <c r="D1382" s="25" t="s">
        <v>264</v>
      </c>
      <c r="E1382" s="22"/>
      <c r="F1382" s="22"/>
      <c r="G1382" s="25"/>
      <c r="H1382" s="25"/>
      <c r="I1382" s="92">
        <v>50</v>
      </c>
      <c r="J1382" s="26">
        <f>SUM($I$4:I1382)</f>
        <v>104653161.71000022</v>
      </c>
      <c r="K1382" s="44">
        <f t="shared" si="21"/>
        <v>6.4699129300636808E-7</v>
      </c>
      <c r="L1382" s="22"/>
      <c r="M1382" s="22"/>
    </row>
    <row r="1383" spans="2:13" ht="12.75">
      <c r="B1383" s="21">
        <v>45284</v>
      </c>
      <c r="C1383" s="16"/>
      <c r="D1383" s="25" t="s">
        <v>264</v>
      </c>
      <c r="E1383" s="22"/>
      <c r="F1383" s="22"/>
      <c r="G1383" s="25"/>
      <c r="H1383" s="25"/>
      <c r="I1383" s="92">
        <v>3.75</v>
      </c>
      <c r="J1383" s="26">
        <f>SUM($I$4:I1383)</f>
        <v>104653165.46000022</v>
      </c>
      <c r="K1383" s="44">
        <f t="shared" si="21"/>
        <v>4.8524346975477608E-8</v>
      </c>
      <c r="L1383" s="22"/>
      <c r="M1383" s="22"/>
    </row>
    <row r="1384" spans="2:13" ht="12.75">
      <c r="B1384" s="21">
        <v>45284</v>
      </c>
      <c r="C1384" s="16"/>
      <c r="D1384" s="25" t="s">
        <v>271</v>
      </c>
      <c r="E1384" s="22"/>
      <c r="F1384" s="22"/>
      <c r="G1384" s="25"/>
      <c r="H1384" s="25"/>
      <c r="I1384" s="92">
        <v>99378.23</v>
      </c>
      <c r="J1384" s="26">
        <f>SUM($I$4:I1384)</f>
        <v>104752543.69000022</v>
      </c>
      <c r="K1384" s="44">
        <f t="shared" si="21"/>
        <v>1.2859369904876848E-3</v>
      </c>
      <c r="L1384" s="22"/>
      <c r="M1384" s="22"/>
    </row>
    <row r="1385" spans="2:13" ht="12.75">
      <c r="B1385" s="21">
        <v>45284</v>
      </c>
      <c r="C1385" s="16"/>
      <c r="D1385" s="25" t="s">
        <v>264</v>
      </c>
      <c r="E1385" s="22"/>
      <c r="F1385" s="22"/>
      <c r="G1385" s="25"/>
      <c r="H1385" s="25"/>
      <c r="I1385" s="92">
        <v>50</v>
      </c>
      <c r="J1385" s="26">
        <f>SUM($I$4:I1385)</f>
        <v>104752593.69000022</v>
      </c>
      <c r="K1385" s="44">
        <f t="shared" si="21"/>
        <v>6.4699129300636808E-7</v>
      </c>
      <c r="L1385" s="22"/>
      <c r="M1385" s="22"/>
    </row>
    <row r="1386" spans="2:13" ht="12.75">
      <c r="B1386" s="21">
        <v>45284</v>
      </c>
      <c r="C1386" s="16"/>
      <c r="D1386" s="25" t="s">
        <v>264</v>
      </c>
      <c r="E1386" s="22"/>
      <c r="F1386" s="22"/>
      <c r="G1386" s="25"/>
      <c r="H1386" s="25"/>
      <c r="I1386" s="92">
        <v>3.75</v>
      </c>
      <c r="J1386" s="26">
        <f>SUM($I$4:I1386)</f>
        <v>104752597.44000022</v>
      </c>
      <c r="K1386" s="44">
        <f t="shared" si="21"/>
        <v>4.8524346975477608E-8</v>
      </c>
      <c r="L1386" s="22"/>
      <c r="M1386" s="22"/>
    </row>
    <row r="1387" spans="2:13" ht="12.75">
      <c r="B1387" s="21">
        <v>45284</v>
      </c>
      <c r="C1387" s="16"/>
      <c r="D1387" s="25" t="s">
        <v>271</v>
      </c>
      <c r="E1387" s="22"/>
      <c r="F1387" s="22"/>
      <c r="G1387" s="25"/>
      <c r="H1387" s="25"/>
      <c r="I1387" s="92">
        <v>100090.67</v>
      </c>
      <c r="J1387" s="26">
        <f>SUM($I$4:I1387)</f>
        <v>104852688.11000022</v>
      </c>
      <c r="K1387" s="44">
        <f t="shared" si="21"/>
        <v>1.2951558400234738E-3</v>
      </c>
      <c r="L1387" s="22"/>
      <c r="M1387" s="22"/>
    </row>
    <row r="1388" spans="2:13" ht="12.75">
      <c r="B1388" s="21">
        <v>45284</v>
      </c>
      <c r="C1388" s="16"/>
      <c r="D1388" s="25" t="s">
        <v>264</v>
      </c>
      <c r="E1388" s="22"/>
      <c r="F1388" s="22"/>
      <c r="G1388" s="25"/>
      <c r="H1388" s="25"/>
      <c r="I1388" s="92">
        <v>50</v>
      </c>
      <c r="J1388" s="26">
        <f>SUM($I$4:I1388)</f>
        <v>104852738.11000022</v>
      </c>
      <c r="K1388" s="44">
        <f t="shared" si="21"/>
        <v>6.4699129300636808E-7</v>
      </c>
      <c r="L1388" s="22"/>
      <c r="M1388" s="22"/>
    </row>
    <row r="1389" spans="2:13" ht="12.75">
      <c r="B1389" s="21">
        <v>45284</v>
      </c>
      <c r="C1389" s="16"/>
      <c r="D1389" s="25" t="s">
        <v>264</v>
      </c>
      <c r="E1389" s="22"/>
      <c r="F1389" s="22"/>
      <c r="G1389" s="25"/>
      <c r="H1389" s="25"/>
      <c r="I1389" s="92">
        <v>3.75</v>
      </c>
      <c r="J1389" s="26">
        <f>SUM($I$4:I1389)</f>
        <v>104852741.86000022</v>
      </c>
      <c r="K1389" s="44">
        <f t="shared" si="21"/>
        <v>4.8524346975477608E-8</v>
      </c>
      <c r="L1389" s="22"/>
      <c r="M1389" s="22"/>
    </row>
    <row r="1390" spans="2:13" ht="12.75">
      <c r="B1390" s="21">
        <v>45284</v>
      </c>
      <c r="C1390" s="16"/>
      <c r="D1390" s="25" t="s">
        <v>271</v>
      </c>
      <c r="E1390" s="22"/>
      <c r="F1390" s="22"/>
      <c r="G1390" s="25"/>
      <c r="H1390" s="25"/>
      <c r="I1390" s="92">
        <v>20000</v>
      </c>
      <c r="J1390" s="26">
        <f>SUM($I$4:I1390)</f>
        <v>104872741.86000022</v>
      </c>
      <c r="K1390" s="44">
        <f t="shared" si="21"/>
        <v>2.5879651720254722E-4</v>
      </c>
      <c r="L1390" s="22"/>
      <c r="M1390" s="22"/>
    </row>
    <row r="1391" spans="2:13" ht="12.75">
      <c r="B1391" s="21">
        <v>45284</v>
      </c>
      <c r="C1391" s="16"/>
      <c r="D1391" s="25" t="s">
        <v>271</v>
      </c>
      <c r="E1391" s="22"/>
      <c r="F1391" s="22"/>
      <c r="G1391" s="25"/>
      <c r="H1391" s="25"/>
      <c r="I1391" s="92">
        <v>20000</v>
      </c>
      <c r="J1391" s="26">
        <f>SUM($I$4:I1391)</f>
        <v>104892741.86000022</v>
      </c>
      <c r="K1391" s="44">
        <f t="shared" si="21"/>
        <v>2.5879651720254722E-4</v>
      </c>
      <c r="L1391" s="22"/>
      <c r="M1391" s="22"/>
    </row>
    <row r="1392" spans="2:13" ht="12.75">
      <c r="B1392" s="21">
        <v>45284</v>
      </c>
      <c r="C1392" s="16"/>
      <c r="D1392" s="25" t="s">
        <v>280</v>
      </c>
      <c r="E1392" s="22"/>
      <c r="F1392" s="22"/>
      <c r="G1392" s="25"/>
      <c r="H1392" s="25"/>
      <c r="I1392" s="92">
        <v>20000</v>
      </c>
      <c r="J1392" s="26">
        <f>SUM($I$4:I1392)</f>
        <v>104912741.86000022</v>
      </c>
      <c r="K1392" s="44">
        <f t="shared" si="21"/>
        <v>2.5879651720254722E-4</v>
      </c>
      <c r="L1392" s="22"/>
      <c r="M1392" s="22"/>
    </row>
    <row r="1393" spans="2:13" ht="12.75">
      <c r="B1393" s="21">
        <v>45284</v>
      </c>
      <c r="C1393" s="16"/>
      <c r="D1393" s="25" t="s">
        <v>264</v>
      </c>
      <c r="E1393" s="22"/>
      <c r="F1393" s="22"/>
      <c r="G1393" s="25"/>
      <c r="H1393" s="25"/>
      <c r="I1393" s="92">
        <v>25</v>
      </c>
      <c r="J1393" s="26">
        <f>SUM($I$4:I1393)</f>
        <v>104912766.86000022</v>
      </c>
      <c r="K1393" s="44">
        <f t="shared" si="21"/>
        <v>3.2349564650318404E-7</v>
      </c>
      <c r="L1393" s="22"/>
      <c r="M1393" s="22"/>
    </row>
    <row r="1394" spans="2:13" ht="12.75">
      <c r="B1394" s="21">
        <v>45284</v>
      </c>
      <c r="C1394" s="16"/>
      <c r="D1394" s="25" t="s">
        <v>264</v>
      </c>
      <c r="E1394" s="22"/>
      <c r="F1394" s="22"/>
      <c r="G1394" s="25"/>
      <c r="H1394" s="25"/>
      <c r="I1394" s="92">
        <v>1.87</v>
      </c>
      <c r="J1394" s="26">
        <f>SUM($I$4:I1394)</f>
        <v>104912768.73000023</v>
      </c>
      <c r="K1394" s="44">
        <f t="shared" si="21"/>
        <v>2.4197474358438168E-8</v>
      </c>
      <c r="L1394" s="22"/>
      <c r="M1394" s="22"/>
    </row>
    <row r="1395" spans="2:13" ht="12.75">
      <c r="B1395" s="21">
        <v>45284</v>
      </c>
      <c r="C1395" s="16"/>
      <c r="D1395" s="25" t="s">
        <v>271</v>
      </c>
      <c r="E1395" s="22"/>
      <c r="F1395" s="22"/>
      <c r="G1395" s="25"/>
      <c r="H1395" s="25"/>
      <c r="I1395" s="92">
        <v>20000</v>
      </c>
      <c r="J1395" s="26">
        <f>SUM($I$4:I1395)</f>
        <v>104932768.73000023</v>
      </c>
      <c r="K1395" s="44">
        <f t="shared" si="21"/>
        <v>2.5879651720254722E-4</v>
      </c>
      <c r="L1395" s="22"/>
      <c r="M1395" s="22"/>
    </row>
    <row r="1396" spans="2:13" ht="12.75">
      <c r="B1396" s="21">
        <v>45284</v>
      </c>
      <c r="C1396" s="16"/>
      <c r="D1396" s="25" t="s">
        <v>280</v>
      </c>
      <c r="E1396" s="22"/>
      <c r="F1396" s="22"/>
      <c r="G1396" s="25"/>
      <c r="H1396" s="25"/>
      <c r="I1396" s="92">
        <v>20000</v>
      </c>
      <c r="J1396" s="26">
        <f>SUM($I$4:I1396)</f>
        <v>104952768.73000023</v>
      </c>
      <c r="K1396" s="44">
        <f t="shared" si="21"/>
        <v>2.5879651720254722E-4</v>
      </c>
      <c r="L1396" s="22"/>
      <c r="M1396" s="22"/>
    </row>
    <row r="1397" spans="2:13" ht="12.75">
      <c r="B1397" s="21">
        <v>45284</v>
      </c>
      <c r="C1397" s="16"/>
      <c r="D1397" s="25" t="s">
        <v>264</v>
      </c>
      <c r="E1397" s="22"/>
      <c r="F1397" s="22"/>
      <c r="G1397" s="25"/>
      <c r="H1397" s="25"/>
      <c r="I1397" s="92">
        <v>25</v>
      </c>
      <c r="J1397" s="26">
        <f>SUM($I$4:I1397)</f>
        <v>104952793.73000023</v>
      </c>
      <c r="K1397" s="44">
        <f t="shared" si="21"/>
        <v>3.2349564650318404E-7</v>
      </c>
      <c r="L1397" s="22"/>
      <c r="M1397" s="22"/>
    </row>
    <row r="1398" spans="2:13" ht="12.75">
      <c r="B1398" s="21">
        <v>45284</v>
      </c>
      <c r="C1398" s="16"/>
      <c r="D1398" s="25" t="s">
        <v>264</v>
      </c>
      <c r="E1398" s="22"/>
      <c r="F1398" s="22"/>
      <c r="G1398" s="25"/>
      <c r="H1398" s="25"/>
      <c r="I1398" s="92">
        <v>1.87</v>
      </c>
      <c r="J1398" s="26">
        <f>SUM($I$4:I1398)</f>
        <v>104952795.60000023</v>
      </c>
      <c r="K1398" s="44">
        <f t="shared" si="21"/>
        <v>2.4197474358438168E-8</v>
      </c>
      <c r="L1398" s="22"/>
      <c r="M1398" s="22"/>
    </row>
    <row r="1399" spans="2:13" ht="12.75">
      <c r="B1399" s="21">
        <v>45284</v>
      </c>
      <c r="C1399" s="16"/>
      <c r="D1399" s="25" t="s">
        <v>271</v>
      </c>
      <c r="E1399" s="22"/>
      <c r="F1399" s="22"/>
      <c r="G1399" s="25"/>
      <c r="H1399" s="25"/>
      <c r="I1399" s="92">
        <v>20000</v>
      </c>
      <c r="J1399" s="26">
        <f>SUM($I$4:I1399)</f>
        <v>104972795.60000023</v>
      </c>
      <c r="K1399" s="44">
        <f t="shared" si="21"/>
        <v>2.5879651720254722E-4</v>
      </c>
      <c r="L1399" s="22"/>
      <c r="M1399" s="22"/>
    </row>
    <row r="1400" spans="2:13" ht="12.75">
      <c r="B1400" s="21">
        <v>45284</v>
      </c>
      <c r="C1400" s="16"/>
      <c r="D1400" s="25" t="s">
        <v>280</v>
      </c>
      <c r="E1400" s="22"/>
      <c r="F1400" s="22"/>
      <c r="G1400" s="25"/>
      <c r="H1400" s="25"/>
      <c r="I1400" s="92">
        <v>20000</v>
      </c>
      <c r="J1400" s="26">
        <f>SUM($I$4:I1400)</f>
        <v>104992795.60000023</v>
      </c>
      <c r="K1400" s="44">
        <f t="shared" si="21"/>
        <v>2.5879651720254722E-4</v>
      </c>
      <c r="L1400" s="22"/>
      <c r="M1400" s="22"/>
    </row>
    <row r="1401" spans="2:13" ht="12.75">
      <c r="B1401" s="21">
        <v>45284</v>
      </c>
      <c r="C1401" s="16"/>
      <c r="D1401" s="25" t="s">
        <v>264</v>
      </c>
      <c r="E1401" s="22"/>
      <c r="F1401" s="22"/>
      <c r="G1401" s="25"/>
      <c r="H1401" s="25"/>
      <c r="I1401" s="92">
        <v>25</v>
      </c>
      <c r="J1401" s="26">
        <f>SUM($I$4:I1401)</f>
        <v>104992820.60000023</v>
      </c>
      <c r="K1401" s="44">
        <f t="shared" si="21"/>
        <v>3.2349564650318404E-7</v>
      </c>
      <c r="L1401" s="22"/>
      <c r="M1401" s="22"/>
    </row>
    <row r="1402" spans="2:13" ht="12.75">
      <c r="B1402" s="21">
        <v>45284</v>
      </c>
      <c r="C1402" s="16"/>
      <c r="D1402" s="25" t="s">
        <v>264</v>
      </c>
      <c r="E1402" s="22"/>
      <c r="F1402" s="22"/>
      <c r="G1402" s="25"/>
      <c r="H1402" s="25"/>
      <c r="I1402" s="92">
        <v>1.87</v>
      </c>
      <c r="J1402" s="26">
        <f>SUM($I$4:I1402)</f>
        <v>104992822.47000024</v>
      </c>
      <c r="K1402" s="44">
        <f t="shared" si="21"/>
        <v>2.4197474358438168E-8</v>
      </c>
      <c r="L1402" s="22"/>
      <c r="M1402" s="22"/>
    </row>
    <row r="1403" spans="2:13" ht="12.75">
      <c r="B1403" s="21">
        <v>45284</v>
      </c>
      <c r="C1403" s="16"/>
      <c r="D1403" s="25" t="s">
        <v>280</v>
      </c>
      <c r="E1403" s="22"/>
      <c r="F1403" s="22"/>
      <c r="G1403" s="25"/>
      <c r="H1403" s="25"/>
      <c r="I1403" s="92">
        <v>20000</v>
      </c>
      <c r="J1403" s="26">
        <f>SUM($I$4:I1403)</f>
        <v>105012822.47000024</v>
      </c>
      <c r="K1403" s="44">
        <f t="shared" si="21"/>
        <v>2.5879651720254722E-4</v>
      </c>
      <c r="L1403" s="22"/>
      <c r="M1403" s="22"/>
    </row>
    <row r="1404" spans="2:13" ht="12.75">
      <c r="B1404" s="21">
        <v>45284</v>
      </c>
      <c r="C1404" s="16"/>
      <c r="D1404" s="25" t="s">
        <v>264</v>
      </c>
      <c r="E1404" s="22"/>
      <c r="F1404" s="22"/>
      <c r="G1404" s="25"/>
      <c r="H1404" s="25"/>
      <c r="I1404" s="92">
        <v>25</v>
      </c>
      <c r="J1404" s="26">
        <f>SUM($I$4:I1404)</f>
        <v>105012847.47000024</v>
      </c>
      <c r="K1404" s="44">
        <f t="shared" si="21"/>
        <v>3.2349564650318404E-7</v>
      </c>
      <c r="L1404" s="22"/>
      <c r="M1404" s="22"/>
    </row>
    <row r="1405" spans="2:13" ht="12.75">
      <c r="B1405" s="21">
        <v>45284</v>
      </c>
      <c r="C1405" s="16"/>
      <c r="D1405" s="25" t="s">
        <v>264</v>
      </c>
      <c r="E1405" s="22"/>
      <c r="F1405" s="22"/>
      <c r="G1405" s="25"/>
      <c r="H1405" s="25"/>
      <c r="I1405" s="92">
        <v>1.87</v>
      </c>
      <c r="J1405" s="26">
        <f>SUM($I$4:I1405)</f>
        <v>105012849.34000024</v>
      </c>
      <c r="K1405" s="44">
        <f t="shared" si="21"/>
        <v>2.4197474358438168E-8</v>
      </c>
      <c r="L1405" s="22"/>
      <c r="M1405" s="22"/>
    </row>
    <row r="1406" spans="2:13" ht="12.75">
      <c r="B1406" s="21">
        <v>45284</v>
      </c>
      <c r="C1406" s="16"/>
      <c r="D1406" s="25" t="s">
        <v>280</v>
      </c>
      <c r="E1406" s="22"/>
      <c r="F1406" s="22"/>
      <c r="G1406" s="25"/>
      <c r="H1406" s="25"/>
      <c r="I1406" s="92">
        <v>20000</v>
      </c>
      <c r="J1406" s="26">
        <f>SUM($I$4:I1406)</f>
        <v>105032849.34000024</v>
      </c>
      <c r="K1406" s="44">
        <f t="shared" si="21"/>
        <v>2.5879651720254722E-4</v>
      </c>
      <c r="L1406" s="22"/>
      <c r="M1406" s="22"/>
    </row>
    <row r="1407" spans="2:13" ht="12.75">
      <c r="B1407" s="21">
        <v>45284</v>
      </c>
      <c r="C1407" s="16"/>
      <c r="D1407" s="25" t="s">
        <v>264</v>
      </c>
      <c r="E1407" s="22"/>
      <c r="F1407" s="22"/>
      <c r="G1407" s="25"/>
      <c r="H1407" s="25"/>
      <c r="I1407" s="92">
        <v>25</v>
      </c>
      <c r="J1407" s="26">
        <f>SUM($I$4:I1407)</f>
        <v>105032874.34000024</v>
      </c>
      <c r="K1407" s="44">
        <f t="shared" si="21"/>
        <v>3.2349564650318404E-7</v>
      </c>
      <c r="L1407" s="22"/>
      <c r="M1407" s="22"/>
    </row>
    <row r="1408" spans="2:13" ht="12.75">
      <c r="B1408" s="21">
        <v>45284</v>
      </c>
      <c r="C1408" s="16"/>
      <c r="D1408" s="25" t="s">
        <v>264</v>
      </c>
      <c r="E1408" s="22"/>
      <c r="F1408" s="22"/>
      <c r="G1408" s="25"/>
      <c r="H1408" s="25"/>
      <c r="I1408" s="92">
        <v>1.87</v>
      </c>
      <c r="J1408" s="26">
        <f>SUM($I$4:I1408)</f>
        <v>105032876.21000025</v>
      </c>
      <c r="K1408" s="44">
        <f t="shared" si="21"/>
        <v>2.4197474358438168E-8</v>
      </c>
      <c r="L1408" s="22"/>
      <c r="M1408" s="22"/>
    </row>
    <row r="1409" spans="2:13" ht="12.75">
      <c r="B1409" s="21">
        <v>45284</v>
      </c>
      <c r="C1409" s="16"/>
      <c r="D1409" s="25" t="s">
        <v>271</v>
      </c>
      <c r="E1409" s="22"/>
      <c r="F1409" s="22"/>
      <c r="G1409" s="25"/>
      <c r="H1409" s="25"/>
      <c r="I1409" s="92">
        <v>20000</v>
      </c>
      <c r="J1409" s="26">
        <f>SUM($I$4:I1409)</f>
        <v>105052876.21000025</v>
      </c>
      <c r="K1409" s="44">
        <f t="shared" si="21"/>
        <v>2.5879651720254722E-4</v>
      </c>
      <c r="L1409" s="22"/>
      <c r="M1409" s="22"/>
    </row>
    <row r="1410" spans="2:13" ht="12.75">
      <c r="B1410" s="21">
        <v>45284</v>
      </c>
      <c r="C1410" s="16"/>
      <c r="D1410" s="25" t="s">
        <v>264</v>
      </c>
      <c r="E1410" s="22"/>
      <c r="F1410" s="22"/>
      <c r="G1410" s="25"/>
      <c r="H1410" s="25"/>
      <c r="I1410" s="92">
        <v>75</v>
      </c>
      <c r="J1410" s="26">
        <f>SUM($I$4:I1410)</f>
        <v>105052951.21000025</v>
      </c>
      <c r="K1410" s="44">
        <f t="shared" si="21"/>
        <v>9.7048693950955217E-7</v>
      </c>
      <c r="L1410" s="22"/>
      <c r="M1410" s="22"/>
    </row>
    <row r="1411" spans="2:13" ht="12.75">
      <c r="B1411" s="21">
        <v>45284</v>
      </c>
      <c r="C1411" s="16"/>
      <c r="D1411" s="25" t="s">
        <v>264</v>
      </c>
      <c r="E1411" s="22"/>
      <c r="F1411" s="22"/>
      <c r="G1411" s="25"/>
      <c r="H1411" s="25"/>
      <c r="I1411" s="92">
        <v>5.63</v>
      </c>
      <c r="J1411" s="26">
        <f>SUM($I$4:I1411)</f>
        <v>105052956.84000024</v>
      </c>
      <c r="K1411" s="44">
        <f t="shared" si="21"/>
        <v>7.2851219592517038E-8</v>
      </c>
      <c r="L1411" s="22"/>
      <c r="M1411" s="22"/>
    </row>
    <row r="1412" spans="2:13" ht="12.75">
      <c r="B1412" s="21">
        <v>45284</v>
      </c>
      <c r="C1412" s="16"/>
      <c r="D1412" s="25" t="s">
        <v>264</v>
      </c>
      <c r="E1412" s="22"/>
      <c r="F1412" s="22"/>
      <c r="G1412" s="25"/>
      <c r="H1412" s="25"/>
      <c r="I1412" s="92">
        <v>150</v>
      </c>
      <c r="J1412" s="26">
        <f>SUM($I$4:I1412)</f>
        <v>105053106.84000024</v>
      </c>
      <c r="K1412" s="44">
        <f t="shared" si="21"/>
        <v>1.9409738790191043E-6</v>
      </c>
      <c r="L1412" s="22"/>
      <c r="M1412" s="22"/>
    </row>
    <row r="1413" spans="2:13" ht="12.75">
      <c r="B1413" s="21">
        <v>45284</v>
      </c>
      <c r="C1413" s="16"/>
      <c r="D1413" s="25" t="s">
        <v>264</v>
      </c>
      <c r="E1413" s="22"/>
      <c r="F1413" s="22"/>
      <c r="G1413" s="25"/>
      <c r="H1413" s="25"/>
      <c r="I1413" s="92">
        <v>11.25</v>
      </c>
      <c r="J1413" s="26">
        <f>SUM($I$4:I1413)</f>
        <v>105053118.09000024</v>
      </c>
      <c r="K1413" s="44">
        <f t="shared" ref="K1413:K1439" si="22">IF(SUM($I$4:$I$830)=0,"",I1413/SUM($I$4:$I$830))</f>
        <v>1.4557304092643283E-7</v>
      </c>
      <c r="L1413" s="22"/>
      <c r="M1413" s="22"/>
    </row>
    <row r="1414" spans="2:13" ht="12.75">
      <c r="B1414" s="21">
        <v>45284</v>
      </c>
      <c r="C1414" s="16"/>
      <c r="D1414" s="25" t="s">
        <v>269</v>
      </c>
      <c r="E1414" s="22"/>
      <c r="F1414" s="22"/>
      <c r="G1414" s="25"/>
      <c r="H1414" s="25"/>
      <c r="I1414" s="92">
        <v>32000</v>
      </c>
      <c r="J1414" s="26">
        <f>SUM($I$4:I1414)</f>
        <v>105085118.09000024</v>
      </c>
      <c r="K1414" s="44">
        <f t="shared" si="22"/>
        <v>4.1407442752407556E-4</v>
      </c>
      <c r="L1414" s="22"/>
      <c r="M1414" s="22"/>
    </row>
    <row r="1415" spans="2:13" ht="12.75">
      <c r="B1415" s="21">
        <v>45284</v>
      </c>
      <c r="C1415" s="16"/>
      <c r="D1415" s="25" t="s">
        <v>271</v>
      </c>
      <c r="E1415" s="22"/>
      <c r="F1415" s="22"/>
      <c r="G1415" s="25"/>
      <c r="H1415" s="25"/>
      <c r="I1415" s="92">
        <v>30000</v>
      </c>
      <c r="J1415" s="26">
        <f>SUM($I$4:I1415)</f>
        <v>105115118.09000024</v>
      </c>
      <c r="K1415" s="44">
        <f t="shared" si="22"/>
        <v>3.8819477580382083E-4</v>
      </c>
      <c r="L1415" s="22"/>
      <c r="M1415" s="22"/>
    </row>
    <row r="1416" spans="2:13" ht="12.75">
      <c r="B1416" s="21">
        <v>45284</v>
      </c>
      <c r="C1416" s="16"/>
      <c r="D1416" s="25" t="s">
        <v>264</v>
      </c>
      <c r="E1416" s="22"/>
      <c r="F1416" s="22"/>
      <c r="G1416" s="25"/>
      <c r="H1416" s="25"/>
      <c r="I1416" s="92">
        <v>25</v>
      </c>
      <c r="J1416" s="26">
        <f>SUM($I$4:I1416)</f>
        <v>105115143.09000024</v>
      </c>
      <c r="K1416" s="44">
        <f t="shared" si="22"/>
        <v>3.2349564650318404E-7</v>
      </c>
      <c r="L1416" s="22"/>
      <c r="M1416" s="22"/>
    </row>
    <row r="1417" spans="2:13" ht="12.75">
      <c r="B1417" s="21">
        <v>45284</v>
      </c>
      <c r="C1417" s="16"/>
      <c r="D1417" s="25" t="s">
        <v>264</v>
      </c>
      <c r="E1417" s="22"/>
      <c r="F1417" s="22"/>
      <c r="G1417" s="25"/>
      <c r="H1417" s="25"/>
      <c r="I1417" s="92">
        <v>1.87</v>
      </c>
      <c r="J1417" s="26">
        <f>SUM($I$4:I1417)</f>
        <v>105115144.96000025</v>
      </c>
      <c r="K1417" s="44">
        <f t="shared" si="22"/>
        <v>2.4197474358438168E-8</v>
      </c>
      <c r="L1417" s="22"/>
      <c r="M1417" s="22"/>
    </row>
    <row r="1418" spans="2:13" ht="12.75">
      <c r="B1418" s="21">
        <v>45284</v>
      </c>
      <c r="C1418" s="16"/>
      <c r="D1418" s="25" t="s">
        <v>271</v>
      </c>
      <c r="E1418" s="22"/>
      <c r="F1418" s="22"/>
      <c r="G1418" s="25"/>
      <c r="H1418" s="25"/>
      <c r="I1418" s="92">
        <v>60000</v>
      </c>
      <c r="J1418" s="26">
        <f>SUM($I$4:I1418)</f>
        <v>105175144.96000025</v>
      </c>
      <c r="K1418" s="44">
        <f t="shared" si="22"/>
        <v>7.7638955160764167E-4</v>
      </c>
      <c r="L1418" s="22"/>
      <c r="M1418" s="22"/>
    </row>
    <row r="1419" spans="2:13" ht="12.75">
      <c r="B1419" s="21">
        <v>45284</v>
      </c>
      <c r="C1419" s="16"/>
      <c r="D1419" s="25" t="s">
        <v>264</v>
      </c>
      <c r="E1419" s="22"/>
      <c r="F1419" s="22"/>
      <c r="G1419" s="25"/>
      <c r="H1419" s="25"/>
      <c r="I1419" s="92">
        <v>50</v>
      </c>
      <c r="J1419" s="26">
        <f>SUM($I$4:I1419)</f>
        <v>105175194.96000025</v>
      </c>
      <c r="K1419" s="44">
        <f t="shared" si="22"/>
        <v>6.4699129300636808E-7</v>
      </c>
      <c r="L1419" s="22"/>
      <c r="M1419" s="22"/>
    </row>
    <row r="1420" spans="2:13" ht="12.75">
      <c r="B1420" s="21">
        <v>45284</v>
      </c>
      <c r="C1420" s="16"/>
      <c r="D1420" s="25" t="s">
        <v>264</v>
      </c>
      <c r="E1420" s="22"/>
      <c r="F1420" s="22"/>
      <c r="G1420" s="25"/>
      <c r="H1420" s="25"/>
      <c r="I1420" s="92">
        <v>3.75</v>
      </c>
      <c r="J1420" s="26">
        <f>SUM($I$4:I1420)</f>
        <v>105175198.71000025</v>
      </c>
      <c r="K1420" s="44">
        <f t="shared" si="22"/>
        <v>4.8524346975477608E-8</v>
      </c>
      <c r="L1420" s="22"/>
      <c r="M1420" s="22"/>
    </row>
    <row r="1421" spans="2:13" ht="12.75">
      <c r="B1421" s="21">
        <v>45284</v>
      </c>
      <c r="C1421" s="16"/>
      <c r="D1421" s="25" t="s">
        <v>271</v>
      </c>
      <c r="E1421" s="22"/>
      <c r="F1421" s="22"/>
      <c r="G1421" s="25"/>
      <c r="H1421" s="25"/>
      <c r="I1421" s="92">
        <v>152000</v>
      </c>
      <c r="J1421" s="26">
        <f>SUM($I$4:I1421)</f>
        <v>105327198.71000025</v>
      </c>
      <c r="K1421" s="44">
        <f t="shared" si="22"/>
        <v>1.9668535307393589E-3</v>
      </c>
      <c r="L1421" s="22"/>
      <c r="M1421" s="22"/>
    </row>
    <row r="1422" spans="2:13" ht="12.75">
      <c r="B1422" s="21">
        <v>45284</v>
      </c>
      <c r="C1422" s="16"/>
      <c r="D1422" s="25" t="s">
        <v>264</v>
      </c>
      <c r="E1422" s="22"/>
      <c r="F1422" s="22"/>
      <c r="G1422" s="25"/>
      <c r="H1422" s="25"/>
      <c r="I1422" s="92">
        <v>50</v>
      </c>
      <c r="J1422" s="26">
        <f>SUM($I$4:I1422)</f>
        <v>105327248.71000025</v>
      </c>
      <c r="K1422" s="44">
        <f t="shared" si="22"/>
        <v>6.4699129300636808E-7</v>
      </c>
      <c r="L1422" s="22"/>
      <c r="M1422" s="22"/>
    </row>
    <row r="1423" spans="2:13" ht="12.75">
      <c r="B1423" s="21">
        <v>45284</v>
      </c>
      <c r="C1423" s="16"/>
      <c r="D1423" s="25" t="s">
        <v>264</v>
      </c>
      <c r="E1423" s="22"/>
      <c r="F1423" s="22"/>
      <c r="G1423" s="25"/>
      <c r="H1423" s="25"/>
      <c r="I1423" s="92">
        <v>3.75</v>
      </c>
      <c r="J1423" s="26">
        <f>SUM($I$4:I1423)</f>
        <v>105327252.46000025</v>
      </c>
      <c r="K1423" s="44">
        <f t="shared" si="22"/>
        <v>4.8524346975477608E-8</v>
      </c>
      <c r="L1423" s="22"/>
      <c r="M1423" s="22"/>
    </row>
    <row r="1424" spans="2:13" ht="12.75">
      <c r="B1424" s="21">
        <v>45288</v>
      </c>
      <c r="C1424" s="16"/>
      <c r="D1424" s="25" t="s">
        <v>280</v>
      </c>
      <c r="E1424" s="22"/>
      <c r="F1424" s="22"/>
      <c r="G1424" s="25"/>
      <c r="H1424" s="25"/>
      <c r="I1424" s="92">
        <v>12803.81</v>
      </c>
      <c r="J1424" s="26">
        <f>SUM($I$4:I1424)</f>
        <v>105340056.27000025</v>
      </c>
      <c r="K1424" s="44">
        <f t="shared" si="22"/>
        <v>1.6567907174615731E-4</v>
      </c>
      <c r="L1424" s="22"/>
      <c r="M1424" s="22"/>
    </row>
    <row r="1425" spans="2:13" ht="12.75">
      <c r="B1425" s="21">
        <v>45291</v>
      </c>
      <c r="C1425" s="16"/>
      <c r="D1425" s="25" t="s">
        <v>264</v>
      </c>
      <c r="E1425" s="22"/>
      <c r="F1425" s="22"/>
      <c r="G1425" s="25"/>
      <c r="H1425" s="25"/>
      <c r="I1425" s="92">
        <v>1088</v>
      </c>
      <c r="J1425" s="26">
        <f>SUM($I$4:I1425)</f>
        <v>105341144.27000025</v>
      </c>
      <c r="K1425" s="44">
        <f t="shared" si="22"/>
        <v>1.407853053581857E-5</v>
      </c>
      <c r="L1425" s="22"/>
      <c r="M1425" s="22"/>
    </row>
    <row r="1426" spans="2:13" ht="12.75">
      <c r="B1426" s="21">
        <v>45291</v>
      </c>
      <c r="C1426" s="16"/>
      <c r="D1426" s="25" t="s">
        <v>264</v>
      </c>
      <c r="E1426" s="22"/>
      <c r="F1426" s="22"/>
      <c r="G1426" s="25"/>
      <c r="H1426" s="25"/>
      <c r="I1426" s="92">
        <v>81.599999999999994</v>
      </c>
      <c r="J1426" s="26">
        <f>SUM($I$4:I1426)</f>
        <v>105341225.87000024</v>
      </c>
      <c r="K1426" s="44">
        <f t="shared" si="22"/>
        <v>1.0558897901863927E-6</v>
      </c>
      <c r="L1426" s="22"/>
      <c r="M1426" s="22"/>
    </row>
    <row r="1427" spans="2:13" ht="12.75">
      <c r="B1427" s="21">
        <v>45291</v>
      </c>
      <c r="C1427" s="16"/>
      <c r="D1427" s="25" t="s">
        <v>264</v>
      </c>
      <c r="E1427" s="22"/>
      <c r="F1427" s="22"/>
      <c r="G1427" s="25"/>
      <c r="H1427" s="25"/>
      <c r="I1427" s="92">
        <v>9381.08</v>
      </c>
      <c r="J1427" s="26">
        <f>SUM($I$4:I1427)</f>
        <v>105350606.95000024</v>
      </c>
      <c r="K1427" s="44">
        <f t="shared" si="22"/>
        <v>1.2138954157992359E-4</v>
      </c>
      <c r="L1427" s="22"/>
      <c r="M1427" s="22"/>
    </row>
    <row r="1428" spans="2:13" ht="12.75">
      <c r="B1428" s="21">
        <v>45291</v>
      </c>
      <c r="C1428" s="16"/>
      <c r="D1428" s="25" t="s">
        <v>264</v>
      </c>
      <c r="E1428" s="22"/>
      <c r="F1428" s="22"/>
      <c r="G1428" s="25"/>
      <c r="H1428" s="25"/>
      <c r="I1428" s="92">
        <v>703.58</v>
      </c>
      <c r="J1428" s="26">
        <f>SUM($I$4:I1428)</f>
        <v>105351310.53000024</v>
      </c>
      <c r="K1428" s="44">
        <f t="shared" si="22"/>
        <v>9.1042026786684104E-6</v>
      </c>
      <c r="L1428" s="22"/>
      <c r="M1428" s="22"/>
    </row>
    <row r="1429" spans="2:13" ht="12.75">
      <c r="B1429" s="21">
        <v>45127</v>
      </c>
      <c r="C1429" s="16"/>
      <c r="D1429" s="25" t="s">
        <v>301</v>
      </c>
      <c r="E1429" s="22"/>
      <c r="F1429" s="22"/>
      <c r="G1429" s="25"/>
      <c r="H1429" s="25"/>
      <c r="I1429" s="92">
        <v>1500</v>
      </c>
      <c r="J1429" s="26">
        <f>SUM($I$4:I1429)</f>
        <v>105352810.53000024</v>
      </c>
      <c r="K1429" s="44">
        <f t="shared" si="22"/>
        <v>1.9409738790191042E-5</v>
      </c>
      <c r="L1429" s="22"/>
      <c r="M1429" s="22"/>
    </row>
    <row r="1430" spans="2:13" ht="12.75">
      <c r="B1430" s="21">
        <v>45176</v>
      </c>
      <c r="C1430" s="16"/>
      <c r="D1430" s="25" t="s">
        <v>321</v>
      </c>
      <c r="E1430" s="22"/>
      <c r="F1430" s="22"/>
      <c r="G1430" s="25"/>
      <c r="H1430" s="25"/>
      <c r="I1430" s="92">
        <v>10</v>
      </c>
      <c r="J1430" s="26">
        <f>SUM($I$4:I1430)</f>
        <v>105352820.53000024</v>
      </c>
      <c r="K1430" s="44">
        <f t="shared" si="22"/>
        <v>1.293982586012736E-7</v>
      </c>
      <c r="L1430" s="22"/>
      <c r="M1430" s="22"/>
    </row>
    <row r="1431" spans="2:13" ht="12.75">
      <c r="B1431" s="21">
        <v>45176</v>
      </c>
      <c r="C1431" s="16"/>
      <c r="D1431" s="25" t="s">
        <v>321</v>
      </c>
      <c r="E1431" s="22"/>
      <c r="F1431" s="22"/>
      <c r="G1431" s="25"/>
      <c r="H1431" s="25"/>
      <c r="I1431" s="92">
        <v>1.3</v>
      </c>
      <c r="J1431" s="26">
        <f>SUM($I$4:I1431)</f>
        <v>105352821.83000024</v>
      </c>
      <c r="K1431" s="44">
        <f t="shared" si="22"/>
        <v>1.6821773618165572E-8</v>
      </c>
      <c r="L1431" s="22"/>
      <c r="M1431" s="22"/>
    </row>
    <row r="1432" spans="2:13" ht="12.75">
      <c r="B1432" s="21">
        <v>45189</v>
      </c>
      <c r="C1432" s="16"/>
      <c r="D1432" s="25" t="s">
        <v>321</v>
      </c>
      <c r="E1432" s="22"/>
      <c r="F1432" s="22"/>
      <c r="G1432" s="25"/>
      <c r="H1432" s="25"/>
      <c r="I1432" s="92">
        <v>10</v>
      </c>
      <c r="J1432" s="26">
        <f>SUM($I$4:I1432)</f>
        <v>105352831.83000024</v>
      </c>
      <c r="K1432" s="44">
        <f t="shared" si="22"/>
        <v>1.293982586012736E-7</v>
      </c>
      <c r="L1432" s="22"/>
      <c r="M1432" s="22"/>
    </row>
    <row r="1433" spans="2:13" ht="12.75">
      <c r="B1433" s="21">
        <v>45261</v>
      </c>
      <c r="C1433" s="16"/>
      <c r="D1433" s="25" t="s">
        <v>301</v>
      </c>
      <c r="E1433" s="22"/>
      <c r="F1433" s="22"/>
      <c r="G1433" s="25"/>
      <c r="H1433" s="25"/>
      <c r="I1433" s="92">
        <v>200</v>
      </c>
      <c r="J1433" s="26">
        <f>SUM($I$4:I1433)</f>
        <v>105353031.83000024</v>
      </c>
      <c r="K1433" s="44">
        <f t="shared" si="22"/>
        <v>2.5879651720254723E-6</v>
      </c>
      <c r="L1433" s="22"/>
      <c r="M1433" s="22"/>
    </row>
    <row r="1434" spans="2:13" ht="12.75">
      <c r="B1434" s="21">
        <v>45266</v>
      </c>
      <c r="C1434" s="16"/>
      <c r="D1434" s="25" t="s">
        <v>323</v>
      </c>
      <c r="E1434" s="22"/>
      <c r="F1434" s="22"/>
      <c r="G1434" s="25"/>
      <c r="H1434" s="25"/>
      <c r="I1434" s="92">
        <v>0.06</v>
      </c>
      <c r="J1434" s="26">
        <f>SUM($I$4:I1434)</f>
        <v>105353031.89000024</v>
      </c>
      <c r="K1434" s="44">
        <f t="shared" si="22"/>
        <v>7.7638955160764166E-10</v>
      </c>
      <c r="L1434" s="22"/>
      <c r="M1434" s="22"/>
    </row>
    <row r="1435" spans="2:13" ht="12.75">
      <c r="B1435" s="21">
        <v>45271</v>
      </c>
      <c r="C1435" s="16"/>
      <c r="D1435" s="25" t="s">
        <v>270</v>
      </c>
      <c r="E1435" s="22"/>
      <c r="F1435" s="22"/>
      <c r="G1435" s="25"/>
      <c r="H1435" s="25"/>
      <c r="I1435" s="92">
        <v>15000</v>
      </c>
      <c r="J1435" s="26">
        <f>SUM($I$4:I1435)</f>
        <v>105368031.89000024</v>
      </c>
      <c r="K1435" s="44">
        <f t="shared" si="22"/>
        <v>1.9409738790191042E-4</v>
      </c>
      <c r="L1435" s="22"/>
      <c r="M1435" s="22"/>
    </row>
    <row r="1436" spans="2:13" ht="12.75">
      <c r="B1436" s="21">
        <v>45271</v>
      </c>
      <c r="C1436" s="16"/>
      <c r="D1436" s="25" t="s">
        <v>324</v>
      </c>
      <c r="E1436" s="22"/>
      <c r="F1436" s="22"/>
      <c r="G1436" s="25"/>
      <c r="H1436" s="25"/>
      <c r="I1436" s="92">
        <v>7.5</v>
      </c>
      <c r="J1436" s="26">
        <f>SUM($I$4:I1436)</f>
        <v>105368039.39000024</v>
      </c>
      <c r="K1436" s="44">
        <f t="shared" si="22"/>
        <v>9.7048693950955217E-8</v>
      </c>
      <c r="L1436" s="22"/>
      <c r="M1436" s="22"/>
    </row>
    <row r="1437" spans="2:13" ht="12.75">
      <c r="B1437" s="21">
        <v>45271</v>
      </c>
      <c r="C1437" s="16"/>
      <c r="D1437" s="25" t="s">
        <v>261</v>
      </c>
      <c r="E1437" s="22"/>
      <c r="F1437" s="22"/>
      <c r="G1437" s="25"/>
      <c r="H1437" s="25"/>
      <c r="I1437" s="92">
        <v>0.56000000000000005</v>
      </c>
      <c r="J1437" s="26">
        <f>SUM($I$4:I1437)</f>
        <v>105368039.95000024</v>
      </c>
      <c r="K1437" s="44">
        <f t="shared" si="22"/>
        <v>7.2463024816713234E-9</v>
      </c>
      <c r="L1437" s="22"/>
      <c r="M1437" s="22"/>
    </row>
    <row r="1438" spans="2:13" ht="12.75">
      <c r="B1438" s="21">
        <v>45282</v>
      </c>
      <c r="C1438" s="16"/>
      <c r="D1438" s="25" t="s">
        <v>323</v>
      </c>
      <c r="E1438" s="22"/>
      <c r="F1438" s="22"/>
      <c r="G1438" s="25"/>
      <c r="H1438" s="25"/>
      <c r="I1438" s="92">
        <v>0.06</v>
      </c>
      <c r="J1438" s="26">
        <f>SUM($I$4:I1438)</f>
        <v>105368040.01000024</v>
      </c>
      <c r="K1438" s="44">
        <f t="shared" si="22"/>
        <v>7.7638955160764166E-10</v>
      </c>
      <c r="L1438" s="22"/>
      <c r="M1438" s="22"/>
    </row>
    <row r="1439" spans="2:13" ht="12.75">
      <c r="B1439" s="21">
        <v>45284</v>
      </c>
      <c r="C1439" s="16"/>
      <c r="D1439" s="25" t="s">
        <v>301</v>
      </c>
      <c r="E1439" s="22"/>
      <c r="F1439" s="22"/>
      <c r="G1439" s="25"/>
      <c r="H1439" s="25"/>
      <c r="I1439" s="92">
        <v>500</v>
      </c>
      <c r="J1439" s="26">
        <f>SUM($I$4:I1439)</f>
        <v>105368540.01000024</v>
      </c>
      <c r="K1439" s="44">
        <f t="shared" si="22"/>
        <v>6.4699129300636806E-6</v>
      </c>
      <c r="L1439" s="22"/>
      <c r="M1439" s="22"/>
    </row>
    <row r="1440" spans="2:13" ht="12.75">
      <c r="B1440" s="21"/>
      <c r="C1440" s="16"/>
      <c r="D1440" s="25"/>
      <c r="E1440" s="22"/>
      <c r="F1440" s="22"/>
      <c r="G1440" s="25"/>
      <c r="H1440" s="25"/>
      <c r="I1440" s="92"/>
      <c r="J1440" s="26"/>
      <c r="K1440" s="44"/>
      <c r="L1440" s="22"/>
      <c r="M1440" s="22"/>
    </row>
    <row r="1441" spans="2:13" ht="12.75">
      <c r="B1441" s="21"/>
      <c r="C1441" s="16"/>
      <c r="D1441" s="25"/>
      <c r="E1441" s="22"/>
      <c r="F1441" s="22"/>
      <c r="G1441" s="25"/>
      <c r="H1441" s="25"/>
      <c r="I1441" s="92"/>
      <c r="J1441" s="26"/>
      <c r="K1441" s="44"/>
      <c r="L1441" s="22"/>
      <c r="M1441" s="22"/>
    </row>
    <row r="1442" spans="2:13" ht="12.75">
      <c r="B1442" s="21"/>
      <c r="C1442" s="16"/>
      <c r="D1442" s="25"/>
      <c r="E1442" s="22"/>
      <c r="F1442" s="22"/>
      <c r="G1442" s="25"/>
      <c r="H1442" s="25"/>
      <c r="I1442" s="92"/>
      <c r="J1442" s="26"/>
      <c r="K1442" s="44"/>
      <c r="L1442" s="22"/>
      <c r="M1442" s="22"/>
    </row>
    <row r="1443" spans="2:13" ht="12.75">
      <c r="B1443" s="21"/>
      <c r="C1443" s="16"/>
      <c r="D1443" s="25"/>
      <c r="E1443" s="22"/>
      <c r="F1443" s="22"/>
      <c r="G1443" s="25"/>
      <c r="H1443" s="25"/>
      <c r="I1443" s="92"/>
      <c r="J1443" s="26"/>
      <c r="K1443" s="44"/>
      <c r="L1443" s="22"/>
      <c r="M1443" s="22"/>
    </row>
  </sheetData>
  <autoFilter ref="D1:D1439" xr:uid="{00000000-0001-0000-0300-000000000000}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0"/>
  <sheetViews>
    <sheetView showGridLines="0" zoomScale="130" zoomScaleNormal="130" workbookViewId="0">
      <pane ySplit="3" topLeftCell="A4" activePane="bottomLeft" state="frozen"/>
      <selection pane="bottomLeft" activeCell="A67" sqref="A67:XFD67"/>
    </sheetView>
  </sheetViews>
  <sheetFormatPr defaultColWidth="8.5703125" defaultRowHeight="9"/>
  <cols>
    <col min="1" max="1" width="25.42578125" style="34" bestFit="1" customWidth="1"/>
    <col min="2" max="2" width="14.85546875" style="34" bestFit="1" customWidth="1"/>
    <col min="3" max="3" width="7.42578125" style="34" bestFit="1" customWidth="1"/>
    <col min="4" max="4" width="8.7109375" style="34" bestFit="1" customWidth="1"/>
    <col min="5" max="6" width="7.42578125" style="34" bestFit="1" customWidth="1"/>
    <col min="7" max="7" width="8.140625" style="34" bestFit="1" customWidth="1"/>
    <col min="8" max="8" width="7.42578125" style="34" bestFit="1" customWidth="1"/>
    <col min="9" max="9" width="7.85546875" style="34" bestFit="1" customWidth="1"/>
    <col min="10" max="10" width="8.140625" style="34" bestFit="1" customWidth="1"/>
    <col min="11" max="13" width="7.85546875" style="34" bestFit="1" customWidth="1"/>
    <col min="14" max="14" width="8.7109375" style="34" bestFit="1" customWidth="1"/>
    <col min="15" max="15" width="7.85546875" style="34" bestFit="1" customWidth="1"/>
    <col min="16" max="16" width="8.5703125" style="34"/>
    <col min="17" max="17" width="14.85546875" style="34" bestFit="1" customWidth="1"/>
    <col min="18" max="16384" width="8.5703125" style="34"/>
  </cols>
  <sheetData>
    <row r="1" spans="1:15">
      <c r="A1" s="130" t="s">
        <v>75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15">
      <c r="A2" s="132" t="s">
        <v>76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5">
      <c r="A3" s="35" t="s">
        <v>77</v>
      </c>
      <c r="B3" s="35" t="s">
        <v>78</v>
      </c>
      <c r="C3" s="35" t="s">
        <v>79</v>
      </c>
      <c r="D3" s="35" t="s">
        <v>80</v>
      </c>
      <c r="E3" s="35" t="s">
        <v>81</v>
      </c>
      <c r="F3" s="35" t="s">
        <v>82</v>
      </c>
      <c r="G3" s="35" t="s">
        <v>83</v>
      </c>
      <c r="H3" s="35" t="s">
        <v>84</v>
      </c>
      <c r="I3" s="35" t="s">
        <v>85</v>
      </c>
      <c r="J3" s="35" t="s">
        <v>86</v>
      </c>
      <c r="K3" s="35" t="s">
        <v>87</v>
      </c>
      <c r="L3" s="35" t="s">
        <v>88</v>
      </c>
      <c r="M3" s="35" t="s">
        <v>89</v>
      </c>
      <c r="N3" s="35" t="s">
        <v>90</v>
      </c>
    </row>
    <row r="4" spans="1:15">
      <c r="A4" s="40" t="s">
        <v>91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5">
      <c r="A5" s="54" t="s">
        <v>215</v>
      </c>
      <c r="B5" s="55">
        <f>221400+100000</f>
        <v>321400</v>
      </c>
      <c r="C5" s="55"/>
      <c r="D5" s="55"/>
      <c r="E5" s="55">
        <v>267830</v>
      </c>
      <c r="F5" s="55">
        <v>139230</v>
      </c>
      <c r="G5" s="55">
        <v>607290</v>
      </c>
      <c r="H5" s="55"/>
      <c r="I5" s="55"/>
      <c r="J5" s="55"/>
      <c r="K5" s="55"/>
      <c r="L5" s="55"/>
      <c r="M5" s="55"/>
      <c r="N5" s="62">
        <f t="shared" ref="N5:N21" si="0">SUM(B5:M5)</f>
        <v>1335750</v>
      </c>
      <c r="O5" s="55">
        <v>0</v>
      </c>
    </row>
    <row r="6" spans="1:15">
      <c r="A6" s="54" t="s">
        <v>210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62">
        <f t="shared" si="0"/>
        <v>0</v>
      </c>
      <c r="O6" s="55">
        <v>0</v>
      </c>
    </row>
    <row r="7" spans="1:15">
      <c r="A7" s="36" t="s">
        <v>212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>
        <v>70000</v>
      </c>
      <c r="N7" s="62">
        <f t="shared" si="0"/>
        <v>70000</v>
      </c>
      <c r="O7" s="55">
        <v>0</v>
      </c>
    </row>
    <row r="8" spans="1:15">
      <c r="A8" s="36" t="s">
        <v>330</v>
      </c>
      <c r="B8" s="55"/>
      <c r="C8" s="55"/>
      <c r="D8" s="55"/>
      <c r="E8" s="55"/>
      <c r="F8" s="55"/>
      <c r="G8" s="55">
        <v>40223</v>
      </c>
      <c r="H8" s="55"/>
      <c r="I8" s="55"/>
      <c r="J8" s="55"/>
      <c r="K8" s="55"/>
      <c r="L8" s="55"/>
      <c r="M8" s="55"/>
      <c r="N8" s="62"/>
      <c r="O8" s="55"/>
    </row>
    <row r="9" spans="1:15">
      <c r="A9" s="36" t="s">
        <v>55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62">
        <f t="shared" si="0"/>
        <v>0</v>
      </c>
      <c r="O9" s="55">
        <v>0</v>
      </c>
    </row>
    <row r="10" spans="1:15">
      <c r="A10" s="36" t="s">
        <v>211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62">
        <f t="shared" si="0"/>
        <v>0</v>
      </c>
      <c r="O10" s="55"/>
    </row>
    <row r="11" spans="1:15">
      <c r="A11" s="36" t="s">
        <v>327</v>
      </c>
      <c r="B11" s="55">
        <v>30000</v>
      </c>
      <c r="C11" s="55">
        <v>8700000</v>
      </c>
      <c r="D11" s="55">
        <v>13560000</v>
      </c>
      <c r="E11" s="55">
        <v>11250000</v>
      </c>
      <c r="F11" s="55">
        <v>9310000</v>
      </c>
      <c r="G11" s="55">
        <v>4660000</v>
      </c>
      <c r="H11" s="55">
        <v>15480503.810000001</v>
      </c>
      <c r="I11" s="55">
        <v>1300000</v>
      </c>
      <c r="J11" s="55"/>
      <c r="K11" s="55"/>
      <c r="L11" s="55">
        <v>1531669.68</v>
      </c>
      <c r="M11" s="55">
        <v>21690000</v>
      </c>
      <c r="N11" s="62">
        <f t="shared" si="0"/>
        <v>87512173.49000001</v>
      </c>
      <c r="O11" s="55"/>
    </row>
    <row r="12" spans="1:15">
      <c r="A12" s="36" t="s">
        <v>267</v>
      </c>
      <c r="B12" s="55"/>
      <c r="C12" s="55"/>
      <c r="D12" s="55"/>
      <c r="E12" s="55"/>
      <c r="F12" s="55"/>
      <c r="G12" s="55"/>
      <c r="H12" s="55"/>
      <c r="I12" s="55">
        <v>91578.26</v>
      </c>
      <c r="J12" s="55"/>
      <c r="K12" s="55"/>
      <c r="L12" s="55"/>
      <c r="M12" s="55">
        <v>96672.66</v>
      </c>
      <c r="N12" s="62"/>
      <c r="O12" s="55"/>
    </row>
    <row r="13" spans="1:15">
      <c r="A13" s="36" t="s">
        <v>331</v>
      </c>
      <c r="B13" s="55"/>
      <c r="C13" s="55"/>
      <c r="D13" s="55"/>
      <c r="E13" s="55">
        <v>145000</v>
      </c>
      <c r="F13" s="55">
        <v>42500</v>
      </c>
      <c r="G13" s="55"/>
      <c r="H13" s="55"/>
      <c r="I13" s="55"/>
      <c r="J13" s="55"/>
      <c r="K13" s="55"/>
      <c r="L13" s="55"/>
      <c r="M13" s="55"/>
      <c r="N13" s="62"/>
      <c r="O13" s="55"/>
    </row>
    <row r="14" spans="1:15">
      <c r="A14" s="36" t="s">
        <v>217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62">
        <f t="shared" si="0"/>
        <v>0</v>
      </c>
      <c r="O14" s="55"/>
    </row>
    <row r="15" spans="1:15">
      <c r="A15" s="36" t="s">
        <v>205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62">
        <f t="shared" si="0"/>
        <v>0</v>
      </c>
      <c r="O15" s="55"/>
    </row>
    <row r="16" spans="1:15">
      <c r="A16" s="36" t="s">
        <v>56</v>
      </c>
      <c r="B16" s="55"/>
      <c r="C16" s="55"/>
      <c r="D16" s="55"/>
      <c r="E16" s="55"/>
      <c r="F16" s="55"/>
      <c r="G16" s="55"/>
      <c r="H16" s="55">
        <v>1017516.27</v>
      </c>
      <c r="I16" s="55">
        <v>1284865.75</v>
      </c>
      <c r="J16" s="55">
        <v>1341225.32</v>
      </c>
      <c r="K16" s="55">
        <v>1537346.9</v>
      </c>
      <c r="L16" s="55"/>
      <c r="M16" s="55"/>
      <c r="N16" s="62">
        <f t="shared" si="0"/>
        <v>5180954.24</v>
      </c>
      <c r="O16" s="55"/>
    </row>
    <row r="17" spans="1:15">
      <c r="A17" s="36" t="s">
        <v>328</v>
      </c>
      <c r="B17" s="55">
        <v>40000</v>
      </c>
      <c r="C17" s="55"/>
      <c r="D17" s="55"/>
      <c r="E17" s="55">
        <v>39680</v>
      </c>
      <c r="F17" s="55"/>
      <c r="G17" s="55">
        <v>40000</v>
      </c>
      <c r="H17" s="55"/>
      <c r="I17" s="55"/>
      <c r="J17" s="55"/>
      <c r="K17" s="55"/>
      <c r="L17" s="55"/>
      <c r="M17" s="55"/>
      <c r="N17" s="62">
        <f t="shared" si="0"/>
        <v>119680</v>
      </c>
      <c r="O17" s="55"/>
    </row>
    <row r="18" spans="1:15">
      <c r="A18" s="36" t="s">
        <v>329</v>
      </c>
      <c r="B18" s="55">
        <v>159270</v>
      </c>
      <c r="C18" s="55"/>
      <c r="D18" s="55"/>
      <c r="E18" s="55">
        <v>496800</v>
      </c>
      <c r="F18" s="55">
        <v>96900</v>
      </c>
      <c r="G18" s="55">
        <v>300000</v>
      </c>
      <c r="H18" s="55"/>
      <c r="I18" s="55"/>
      <c r="J18" s="55"/>
      <c r="K18" s="55"/>
      <c r="L18" s="55"/>
      <c r="M18" s="55"/>
      <c r="N18" s="62"/>
      <c r="O18" s="55"/>
    </row>
    <row r="19" spans="1:15">
      <c r="A19" s="36" t="s">
        <v>157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62">
        <f t="shared" si="0"/>
        <v>0</v>
      </c>
      <c r="O19" s="55"/>
    </row>
    <row r="20" spans="1:15">
      <c r="A20" s="36" t="s">
        <v>233</v>
      </c>
      <c r="B20" s="55"/>
      <c r="C20" s="55"/>
      <c r="D20" s="55"/>
      <c r="E20" s="55"/>
      <c r="F20" s="55"/>
      <c r="G20" s="55"/>
      <c r="H20" s="55">
        <v>4800.53</v>
      </c>
      <c r="I20" s="55"/>
      <c r="J20" s="55"/>
      <c r="K20" s="55">
        <v>23889.48</v>
      </c>
      <c r="L20" s="55"/>
      <c r="M20" s="55">
        <v>24492.12</v>
      </c>
      <c r="N20" s="62">
        <f t="shared" si="0"/>
        <v>53182.13</v>
      </c>
      <c r="O20" s="55"/>
    </row>
    <row r="21" spans="1:15">
      <c r="A21" s="36" t="s">
        <v>206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62">
        <f t="shared" si="0"/>
        <v>0</v>
      </c>
      <c r="O21" s="55"/>
    </row>
    <row r="22" spans="1:15">
      <c r="A22" s="56" t="s">
        <v>68</v>
      </c>
      <c r="B22" s="57">
        <f>SUM(B5:B21)</f>
        <v>550670</v>
      </c>
      <c r="C22" s="57">
        <f t="shared" ref="C22:M22" si="1">SUM(C5:C21)</f>
        <v>8700000</v>
      </c>
      <c r="D22" s="57">
        <f t="shared" si="1"/>
        <v>13560000</v>
      </c>
      <c r="E22" s="57">
        <f t="shared" si="1"/>
        <v>12199310</v>
      </c>
      <c r="F22" s="57">
        <f t="shared" si="1"/>
        <v>9588630</v>
      </c>
      <c r="G22" s="57">
        <f t="shared" si="1"/>
        <v>5647513</v>
      </c>
      <c r="H22" s="57">
        <f t="shared" si="1"/>
        <v>16502820.609999999</v>
      </c>
      <c r="I22" s="57">
        <f t="shared" si="1"/>
        <v>2676444.0099999998</v>
      </c>
      <c r="J22" s="57">
        <f t="shared" si="1"/>
        <v>1341225.32</v>
      </c>
      <c r="K22" s="57">
        <f t="shared" si="1"/>
        <v>1561236.38</v>
      </c>
      <c r="L22" s="57">
        <f t="shared" si="1"/>
        <v>1531669.68</v>
      </c>
      <c r="M22" s="57">
        <f t="shared" si="1"/>
        <v>21881164.780000001</v>
      </c>
      <c r="N22" s="57">
        <f>SUM(N5:N21)</f>
        <v>94271739.859999999</v>
      </c>
      <c r="O22" s="57">
        <f>SUM(O5:O21)</f>
        <v>0</v>
      </c>
    </row>
    <row r="23" spans="1:15">
      <c r="A23" s="22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</row>
    <row r="24" spans="1:15">
      <c r="A24" s="40" t="s">
        <v>92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>
      <c r="A25" s="16" t="s">
        <v>232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>
        <f>SUM(B25:M25)</f>
        <v>0</v>
      </c>
      <c r="O25" s="55">
        <v>0</v>
      </c>
    </row>
    <row r="26" spans="1:15">
      <c r="A26" s="16" t="s">
        <v>215</v>
      </c>
      <c r="B26" s="55">
        <v>233400</v>
      </c>
      <c r="C26" s="55">
        <v>686500</v>
      </c>
      <c r="D26" s="55">
        <v>1355889.8</v>
      </c>
      <c r="E26" s="55">
        <v>746161.53</v>
      </c>
      <c r="F26" s="55">
        <v>74167.5</v>
      </c>
      <c r="G26" s="55">
        <v>220390</v>
      </c>
      <c r="H26" s="55">
        <v>66350</v>
      </c>
      <c r="I26" s="55">
        <v>103550</v>
      </c>
      <c r="J26" s="55">
        <v>152115</v>
      </c>
      <c r="K26" s="55">
        <v>137500</v>
      </c>
      <c r="L26" s="55">
        <v>49570</v>
      </c>
      <c r="M26" s="55">
        <v>55590</v>
      </c>
      <c r="N26" s="55">
        <f t="shared" ref="N26:N76" si="2">SUM(B26:M26)</f>
        <v>3881183.83</v>
      </c>
      <c r="O26" s="55">
        <v>0</v>
      </c>
    </row>
    <row r="27" spans="1:15">
      <c r="A27" s="16" t="s">
        <v>339</v>
      </c>
      <c r="B27" s="55">
        <v>200000</v>
      </c>
      <c r="C27" s="55"/>
      <c r="D27" s="55"/>
      <c r="E27" s="55">
        <v>150000</v>
      </c>
      <c r="F27" s="55"/>
      <c r="G27" s="55"/>
      <c r="H27" s="55"/>
      <c r="I27" s="55"/>
      <c r="J27" s="55">
        <v>150000</v>
      </c>
      <c r="K27" s="55"/>
      <c r="L27" s="55"/>
      <c r="M27" s="55"/>
      <c r="N27" s="55">
        <f t="shared" si="2"/>
        <v>500000</v>
      </c>
      <c r="O27" s="55">
        <v>0</v>
      </c>
    </row>
    <row r="28" spans="1:15">
      <c r="A28" s="16" t="s">
        <v>213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>
        <f t="shared" si="2"/>
        <v>0</v>
      </c>
      <c r="O28" s="55">
        <v>0</v>
      </c>
    </row>
    <row r="29" spans="1:15">
      <c r="A29" s="16" t="s">
        <v>234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>
        <f t="shared" si="2"/>
        <v>0</v>
      </c>
      <c r="O29" s="55">
        <v>0</v>
      </c>
    </row>
    <row r="30" spans="1:15">
      <c r="A30" s="16" t="s">
        <v>231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>
        <f t="shared" si="2"/>
        <v>0</v>
      </c>
      <c r="O30" s="55">
        <v>0</v>
      </c>
    </row>
    <row r="31" spans="1:15">
      <c r="A31" s="16" t="s">
        <v>243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>
        <f t="shared" si="2"/>
        <v>0</v>
      </c>
      <c r="O31" s="55">
        <v>0</v>
      </c>
    </row>
    <row r="32" spans="1:15">
      <c r="A32" s="16" t="s">
        <v>241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>
        <f t="shared" si="2"/>
        <v>0</v>
      </c>
      <c r="O32" s="55"/>
    </row>
    <row r="33" spans="1:15">
      <c r="A33" s="16" t="s">
        <v>266</v>
      </c>
      <c r="B33" s="55"/>
      <c r="C33" s="55">
        <v>20000</v>
      </c>
      <c r="D33" s="55">
        <v>30000</v>
      </c>
      <c r="E33" s="55">
        <v>26500</v>
      </c>
      <c r="F33" s="55">
        <v>20000</v>
      </c>
      <c r="G33" s="55">
        <v>11500</v>
      </c>
      <c r="H33" s="55"/>
      <c r="I33" s="55"/>
      <c r="J33" s="55"/>
      <c r="K33" s="55"/>
      <c r="L33" s="55"/>
      <c r="M33" s="55">
        <v>700</v>
      </c>
      <c r="N33" s="55">
        <f t="shared" si="2"/>
        <v>108700</v>
      </c>
      <c r="O33" s="55"/>
    </row>
    <row r="34" spans="1:15">
      <c r="A34" s="16" t="s">
        <v>338</v>
      </c>
      <c r="B34" s="55"/>
      <c r="C34" s="55"/>
      <c r="D34" s="55"/>
      <c r="E34" s="55"/>
      <c r="F34" s="55">
        <v>128553.33</v>
      </c>
      <c r="G34" s="55"/>
      <c r="H34" s="55"/>
      <c r="I34" s="55"/>
      <c r="J34" s="55">
        <v>314545</v>
      </c>
      <c r="K34" s="55"/>
      <c r="L34" s="55"/>
      <c r="M34" s="55"/>
      <c r="N34" s="55">
        <f t="shared" si="2"/>
        <v>443098.33</v>
      </c>
      <c r="O34" s="55"/>
    </row>
    <row r="35" spans="1:15">
      <c r="A35" s="16" t="s">
        <v>237</v>
      </c>
      <c r="B35" s="55">
        <v>11179</v>
      </c>
      <c r="C35" s="55">
        <v>73407</v>
      </c>
      <c r="D35" s="55"/>
      <c r="E35" s="55"/>
      <c r="F35" s="55"/>
      <c r="G35" s="55">
        <v>91210</v>
      </c>
      <c r="H35" s="55"/>
      <c r="I35" s="55"/>
      <c r="J35" s="55"/>
      <c r="K35" s="55"/>
      <c r="L35" s="55"/>
      <c r="M35" s="55"/>
      <c r="N35" s="55">
        <f t="shared" si="2"/>
        <v>175796</v>
      </c>
      <c r="O35" s="55"/>
    </row>
    <row r="36" spans="1:15">
      <c r="A36" s="16" t="s">
        <v>134</v>
      </c>
      <c r="B36" s="55">
        <v>115000</v>
      </c>
      <c r="C36" s="55"/>
      <c r="D36" s="55"/>
      <c r="E36" s="55">
        <v>100000</v>
      </c>
      <c r="F36" s="55">
        <v>10000</v>
      </c>
      <c r="G36" s="55">
        <v>300000</v>
      </c>
      <c r="H36" s="55"/>
      <c r="I36" s="55"/>
      <c r="J36" s="55">
        <v>100000</v>
      </c>
      <c r="K36" s="55">
        <v>150000</v>
      </c>
      <c r="L36" s="55">
        <v>150000</v>
      </c>
      <c r="M36" s="55">
        <v>100000</v>
      </c>
      <c r="N36" s="55">
        <f t="shared" si="2"/>
        <v>1025000</v>
      </c>
      <c r="O36" s="55"/>
    </row>
    <row r="37" spans="1:15">
      <c r="A37" s="16" t="s">
        <v>220</v>
      </c>
      <c r="B37" s="55">
        <v>305000</v>
      </c>
      <c r="C37" s="55"/>
      <c r="D37" s="55">
        <v>67500</v>
      </c>
      <c r="E37" s="55">
        <v>376000</v>
      </c>
      <c r="F37" s="55">
        <v>116780</v>
      </c>
      <c r="G37" s="55">
        <v>160350</v>
      </c>
      <c r="H37" s="55"/>
      <c r="I37" s="55">
        <v>9000</v>
      </c>
      <c r="J37" s="55">
        <v>4000</v>
      </c>
      <c r="K37" s="55">
        <v>22000</v>
      </c>
      <c r="L37" s="55">
        <v>150400</v>
      </c>
      <c r="M37" s="55">
        <v>844400</v>
      </c>
      <c r="N37" s="55">
        <f t="shared" si="2"/>
        <v>2055430</v>
      </c>
      <c r="O37" s="55"/>
    </row>
    <row r="38" spans="1:15">
      <c r="A38" s="16" t="s">
        <v>210</v>
      </c>
      <c r="B38" s="55">
        <v>18265.86</v>
      </c>
      <c r="C38" s="55">
        <v>13034.06</v>
      </c>
      <c r="D38" s="55">
        <v>32817.199999999997</v>
      </c>
      <c r="E38" s="55">
        <v>60517.680000000008</v>
      </c>
      <c r="F38" s="55">
        <v>7160.2999999999993</v>
      </c>
      <c r="G38" s="55">
        <v>45369.349999999991</v>
      </c>
      <c r="H38" s="55">
        <v>5139.4400000000005</v>
      </c>
      <c r="I38" s="55">
        <v>7675.2999999999993</v>
      </c>
      <c r="J38" s="55">
        <f>19997.15+21.3</f>
        <v>20018.45</v>
      </c>
      <c r="K38" s="55">
        <v>8731.2699999999968</v>
      </c>
      <c r="L38" s="55">
        <v>5729.75</v>
      </c>
      <c r="M38" s="55">
        <v>14319.959999999997</v>
      </c>
      <c r="N38" s="55">
        <f t="shared" si="2"/>
        <v>238778.62</v>
      </c>
      <c r="O38" s="55"/>
    </row>
    <row r="39" spans="1:15">
      <c r="A39" s="16" t="s">
        <v>242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>
        <f t="shared" si="2"/>
        <v>0</v>
      </c>
      <c r="O39" s="55"/>
    </row>
    <row r="40" spans="1:15">
      <c r="A40" s="16" t="s">
        <v>333</v>
      </c>
      <c r="B40" s="55">
        <v>31200</v>
      </c>
      <c r="C40" s="55">
        <v>379020</v>
      </c>
      <c r="D40" s="55">
        <v>684600</v>
      </c>
      <c r="E40" s="55">
        <v>484470</v>
      </c>
      <c r="F40" s="55">
        <v>558134</v>
      </c>
      <c r="G40" s="55">
        <v>431656</v>
      </c>
      <c r="H40" s="55"/>
      <c r="I40" s="55"/>
      <c r="J40" s="55"/>
      <c r="K40" s="55"/>
      <c r="L40" s="55">
        <v>80000</v>
      </c>
      <c r="M40" s="55">
        <v>0.12</v>
      </c>
      <c r="N40" s="55">
        <f t="shared" si="2"/>
        <v>2649080.12</v>
      </c>
      <c r="O40" s="55"/>
    </row>
    <row r="41" spans="1:15">
      <c r="A41" s="16" t="s">
        <v>212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>
        <f t="shared" si="2"/>
        <v>0</v>
      </c>
      <c r="O41" s="55"/>
    </row>
    <row r="42" spans="1:15">
      <c r="A42" s="16" t="s">
        <v>337</v>
      </c>
      <c r="B42" s="55">
        <v>127000</v>
      </c>
      <c r="C42" s="55">
        <v>49090</v>
      </c>
      <c r="D42" s="55"/>
      <c r="E42" s="55">
        <v>15500</v>
      </c>
      <c r="F42" s="55">
        <v>29800</v>
      </c>
      <c r="G42" s="55">
        <v>36500</v>
      </c>
      <c r="H42" s="55">
        <v>156000</v>
      </c>
      <c r="I42" s="55">
        <v>190800</v>
      </c>
      <c r="J42" s="55">
        <v>246000</v>
      </c>
      <c r="K42" s="55">
        <v>402000</v>
      </c>
      <c r="L42" s="55">
        <v>471600</v>
      </c>
      <c r="M42" s="55">
        <v>402000</v>
      </c>
      <c r="N42" s="55">
        <f t="shared" si="2"/>
        <v>2126290</v>
      </c>
      <c r="O42" s="55"/>
    </row>
    <row r="43" spans="1:15">
      <c r="A43" s="16" t="s">
        <v>240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>
        <v>445000</v>
      </c>
      <c r="N43" s="55">
        <f t="shared" si="2"/>
        <v>445000</v>
      </c>
      <c r="O43" s="55"/>
    </row>
    <row r="44" spans="1:15">
      <c r="A44" s="16" t="s">
        <v>225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>
        <f t="shared" si="2"/>
        <v>0</v>
      </c>
      <c r="O44" s="55"/>
    </row>
    <row r="45" spans="1:15">
      <c r="A45" s="16" t="s">
        <v>230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>
        <f t="shared" si="2"/>
        <v>0</v>
      </c>
      <c r="O45" s="55"/>
    </row>
    <row r="46" spans="1:15">
      <c r="A46" s="16" t="s">
        <v>211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>
        <f t="shared" si="2"/>
        <v>0</v>
      </c>
      <c r="O46" s="55"/>
    </row>
    <row r="47" spans="1:15">
      <c r="A47" s="16" t="s">
        <v>227</v>
      </c>
      <c r="B47" s="55">
        <v>590000</v>
      </c>
      <c r="C47" s="55"/>
      <c r="D47" s="55"/>
      <c r="E47" s="55"/>
      <c r="F47" s="55">
        <v>20000</v>
      </c>
      <c r="G47" s="55">
        <v>20000</v>
      </c>
      <c r="H47" s="55"/>
      <c r="I47" s="55">
        <v>20000</v>
      </c>
      <c r="J47" s="55"/>
      <c r="K47" s="55"/>
      <c r="L47" s="55"/>
      <c r="M47" s="55">
        <v>96000</v>
      </c>
      <c r="N47" s="55">
        <f t="shared" si="2"/>
        <v>746000</v>
      </c>
      <c r="O47" s="55"/>
    </row>
    <row r="48" spans="1:15">
      <c r="A48" s="16" t="s">
        <v>335</v>
      </c>
      <c r="B48" s="55">
        <v>1400000</v>
      </c>
      <c r="C48" s="55"/>
      <c r="D48" s="55">
        <v>2600000</v>
      </c>
      <c r="E48" s="55">
        <v>1300000</v>
      </c>
      <c r="F48" s="55">
        <v>1300000</v>
      </c>
      <c r="G48" s="55">
        <v>2160400</v>
      </c>
      <c r="H48" s="55"/>
      <c r="I48" s="55">
        <v>1300000</v>
      </c>
      <c r="J48" s="55">
        <v>1300000</v>
      </c>
      <c r="K48" s="55">
        <v>1300000</v>
      </c>
      <c r="L48" s="55">
        <v>1300000</v>
      </c>
      <c r="M48" s="55">
        <v>1300000</v>
      </c>
      <c r="N48" s="55">
        <f t="shared" si="2"/>
        <v>15260400</v>
      </c>
      <c r="O48" s="55"/>
    </row>
    <row r="49" spans="1:15">
      <c r="A49" s="16" t="s">
        <v>236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>
        <f t="shared" si="2"/>
        <v>0</v>
      </c>
      <c r="O49" s="55"/>
    </row>
    <row r="50" spans="1:15">
      <c r="A50" s="16" t="s">
        <v>238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>
        <f t="shared" si="2"/>
        <v>0</v>
      </c>
      <c r="O50" s="55"/>
    </row>
    <row r="51" spans="1:15">
      <c r="A51" s="16" t="s">
        <v>235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>
        <f t="shared" si="2"/>
        <v>0</v>
      </c>
      <c r="O51" s="55"/>
    </row>
    <row r="52" spans="1:15">
      <c r="A52" s="16" t="s">
        <v>239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>
        <f t="shared" si="2"/>
        <v>0</v>
      </c>
      <c r="O52" s="55"/>
    </row>
    <row r="53" spans="1:15">
      <c r="A53" s="16" t="s">
        <v>221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>
        <f t="shared" si="2"/>
        <v>0</v>
      </c>
      <c r="O53" s="55"/>
    </row>
    <row r="54" spans="1:15">
      <c r="A54" s="16" t="s">
        <v>224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>
        <f t="shared" si="2"/>
        <v>0</v>
      </c>
      <c r="O54" s="55"/>
    </row>
    <row r="55" spans="1:15">
      <c r="A55" s="16" t="s">
        <v>222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>
        <f t="shared" si="2"/>
        <v>0</v>
      </c>
      <c r="O55" s="55"/>
    </row>
    <row r="56" spans="1:15">
      <c r="A56" s="16" t="s">
        <v>217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>
        <f t="shared" si="2"/>
        <v>0</v>
      </c>
      <c r="O56" s="55"/>
    </row>
    <row r="57" spans="1:15">
      <c r="A57" s="16" t="s">
        <v>331</v>
      </c>
      <c r="B57" s="55">
        <v>68000</v>
      </c>
      <c r="C57" s="55"/>
      <c r="D57" s="55">
        <v>22000</v>
      </c>
      <c r="E57" s="55">
        <v>303000</v>
      </c>
      <c r="F57" s="55">
        <v>602500</v>
      </c>
      <c r="G57" s="55"/>
      <c r="H57" s="55"/>
      <c r="I57" s="55"/>
      <c r="J57" s="55"/>
      <c r="K57" s="55"/>
      <c r="L57" s="55"/>
      <c r="M57" s="55"/>
      <c r="N57" s="55">
        <f t="shared" si="2"/>
        <v>995500</v>
      </c>
      <c r="O57" s="55"/>
    </row>
    <row r="58" spans="1:15">
      <c r="A58" s="16" t="s">
        <v>56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>
        <f t="shared" si="2"/>
        <v>0</v>
      </c>
      <c r="O58" s="55"/>
    </row>
    <row r="59" spans="1:15">
      <c r="A59" s="16" t="s">
        <v>340</v>
      </c>
      <c r="B59" s="55"/>
      <c r="C59" s="55"/>
      <c r="D59" s="55">
        <v>25</v>
      </c>
      <c r="E59" s="55"/>
      <c r="F59" s="55"/>
      <c r="G59" s="55"/>
      <c r="H59" s="55"/>
      <c r="I59" s="55">
        <v>39667.5</v>
      </c>
      <c r="J59" s="55"/>
      <c r="K59" s="55"/>
      <c r="L59" s="55"/>
      <c r="M59" s="55">
        <v>7600</v>
      </c>
      <c r="N59" s="55">
        <f t="shared" si="2"/>
        <v>47292.5</v>
      </c>
      <c r="O59" s="55"/>
    </row>
    <row r="60" spans="1:15">
      <c r="A60" s="16" t="s">
        <v>214</v>
      </c>
      <c r="B60" s="55">
        <v>494000</v>
      </c>
      <c r="C60" s="55"/>
      <c r="D60" s="55">
        <v>34000</v>
      </c>
      <c r="E60" s="55">
        <v>181000</v>
      </c>
      <c r="F60" s="55">
        <v>238000</v>
      </c>
      <c r="G60" s="55">
        <v>280000</v>
      </c>
      <c r="H60" s="55">
        <v>15000</v>
      </c>
      <c r="I60" s="55"/>
      <c r="J60" s="55"/>
      <c r="K60" s="55"/>
      <c r="L60" s="55"/>
      <c r="M60" s="55">
        <v>15000</v>
      </c>
      <c r="N60" s="55">
        <f t="shared" si="2"/>
        <v>1257000</v>
      </c>
      <c r="O60" s="55"/>
    </row>
    <row r="61" spans="1:15">
      <c r="A61" s="16" t="s">
        <v>263</v>
      </c>
      <c r="B61" s="55">
        <v>2748927.92</v>
      </c>
      <c r="C61" s="55">
        <v>1123363.58</v>
      </c>
      <c r="D61" s="55">
        <v>1070405.01</v>
      </c>
      <c r="E61" s="55">
        <v>1045169.79</v>
      </c>
      <c r="F61" s="55">
        <v>1002635.01</v>
      </c>
      <c r="G61" s="55"/>
      <c r="H61" s="55"/>
      <c r="I61" s="55"/>
      <c r="J61" s="55"/>
      <c r="K61" s="55"/>
      <c r="L61" s="55"/>
      <c r="M61" s="55"/>
      <c r="N61" s="55">
        <f t="shared" si="2"/>
        <v>6990501.3099999996</v>
      </c>
      <c r="O61" s="55"/>
    </row>
    <row r="62" spans="1:15">
      <c r="A62" s="16" t="s">
        <v>207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>
        <f t="shared" si="2"/>
        <v>0</v>
      </c>
      <c r="O62" s="55"/>
    </row>
    <row r="63" spans="1:15">
      <c r="A63" s="16" t="s">
        <v>205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>
        <f t="shared" si="2"/>
        <v>0</v>
      </c>
      <c r="O63" s="55"/>
    </row>
    <row r="64" spans="1:15">
      <c r="A64" s="16" t="s">
        <v>73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>
        <f t="shared" si="2"/>
        <v>0</v>
      </c>
      <c r="O64" s="55"/>
    </row>
    <row r="65" spans="1:15">
      <c r="A65" s="16" t="s">
        <v>219</v>
      </c>
      <c r="B65" s="55">
        <v>218925.9</v>
      </c>
      <c r="C65" s="55">
        <v>26100</v>
      </c>
      <c r="D65" s="55">
        <v>7850</v>
      </c>
      <c r="E65" s="55">
        <v>84325</v>
      </c>
      <c r="F65" s="55">
        <v>62925</v>
      </c>
      <c r="G65" s="55"/>
      <c r="H65" s="55"/>
      <c r="I65" s="55">
        <v>7000</v>
      </c>
      <c r="J65" s="55">
        <v>8500</v>
      </c>
      <c r="K65" s="55"/>
      <c r="L65" s="55"/>
      <c r="M65" s="55">
        <v>16400</v>
      </c>
      <c r="N65" s="55">
        <f t="shared" si="2"/>
        <v>432025.9</v>
      </c>
      <c r="O65" s="55"/>
    </row>
    <row r="66" spans="1:15">
      <c r="A66" s="16" t="s">
        <v>329</v>
      </c>
      <c r="B66" s="55"/>
      <c r="C66" s="55">
        <v>10000</v>
      </c>
      <c r="D66" s="55"/>
      <c r="E66" s="55"/>
      <c r="F66" s="55"/>
      <c r="G66" s="55"/>
      <c r="H66" s="55"/>
      <c r="I66" s="55">
        <v>8000</v>
      </c>
      <c r="J66" s="55"/>
      <c r="K66" s="55"/>
      <c r="L66" s="55">
        <v>122560</v>
      </c>
      <c r="M66" s="55">
        <v>7330</v>
      </c>
      <c r="N66" s="55">
        <f t="shared" si="2"/>
        <v>147890</v>
      </c>
      <c r="O66" s="55"/>
    </row>
    <row r="67" spans="1:15">
      <c r="A67" s="16" t="s">
        <v>262</v>
      </c>
      <c r="B67" s="55">
        <v>7528254.8599999994</v>
      </c>
      <c r="C67" s="55">
        <v>6573960.9400000004</v>
      </c>
      <c r="D67" s="55">
        <v>560311.76</v>
      </c>
      <c r="E67" s="55">
        <v>13469279</v>
      </c>
      <c r="F67" s="55">
        <v>511677.25</v>
      </c>
      <c r="G67" s="55">
        <v>8185701.6600000001</v>
      </c>
      <c r="H67" s="55">
        <v>1137855.1800000002</v>
      </c>
      <c r="I67" s="55">
        <v>1663343.41</v>
      </c>
      <c r="J67" s="55">
        <v>1911020.51</v>
      </c>
      <c r="K67" s="55">
        <v>1559522.09</v>
      </c>
      <c r="L67" s="55">
        <v>1019915.7100000001</v>
      </c>
      <c r="M67" s="55">
        <v>2779348.71</v>
      </c>
      <c r="N67" s="55">
        <f t="shared" si="2"/>
        <v>46900191.079999998</v>
      </c>
      <c r="O67" s="55"/>
    </row>
    <row r="68" spans="1:15">
      <c r="A68" s="16" t="s">
        <v>157</v>
      </c>
      <c r="B68" s="55">
        <v>21450</v>
      </c>
      <c r="C68" s="55"/>
      <c r="D68" s="55">
        <v>150000</v>
      </c>
      <c r="E68" s="55"/>
      <c r="F68" s="55"/>
      <c r="G68" s="55">
        <v>9505.93</v>
      </c>
      <c r="H68" s="55">
        <v>252430.6</v>
      </c>
      <c r="I68" s="55">
        <v>229800</v>
      </c>
      <c r="J68" s="55">
        <v>352613.43000000005</v>
      </c>
      <c r="K68" s="55">
        <v>160000</v>
      </c>
      <c r="L68" s="55">
        <v>40000</v>
      </c>
      <c r="M68" s="55">
        <v>278258.35000000003</v>
      </c>
      <c r="N68" s="55">
        <f t="shared" si="2"/>
        <v>1494058.31</v>
      </c>
      <c r="O68" s="55"/>
    </row>
    <row r="69" spans="1:15">
      <c r="A69" s="16" t="s">
        <v>332</v>
      </c>
      <c r="B69" s="55">
        <v>88695.5</v>
      </c>
      <c r="C69" s="55">
        <v>86904.75</v>
      </c>
      <c r="D69" s="55">
        <v>91923.68</v>
      </c>
      <c r="E69" s="55">
        <v>78963.679999999993</v>
      </c>
      <c r="F69" s="55">
        <v>247265.71</v>
      </c>
      <c r="G69" s="55"/>
      <c r="H69" s="55"/>
      <c r="I69" s="55">
        <v>91578.26</v>
      </c>
      <c r="J69" s="55"/>
      <c r="K69" s="55"/>
      <c r="L69" s="55">
        <v>219220.15</v>
      </c>
      <c r="M69" s="55"/>
      <c r="N69" s="55">
        <f t="shared" si="2"/>
        <v>904551.73</v>
      </c>
      <c r="O69" s="55"/>
    </row>
    <row r="70" spans="1:15">
      <c r="A70" s="16" t="s">
        <v>209</v>
      </c>
      <c r="B70" s="55"/>
      <c r="C70" s="55">
        <v>100000</v>
      </c>
      <c r="D70" s="55"/>
      <c r="E70" s="55">
        <v>116000</v>
      </c>
      <c r="F70" s="55"/>
      <c r="G70" s="55"/>
      <c r="H70" s="55"/>
      <c r="I70" s="55"/>
      <c r="J70" s="55"/>
      <c r="K70" s="55"/>
      <c r="L70" s="55"/>
      <c r="M70" s="55"/>
      <c r="N70" s="55">
        <f t="shared" si="2"/>
        <v>216000</v>
      </c>
      <c r="O70" s="55"/>
    </row>
    <row r="71" spans="1:15">
      <c r="A71" s="16" t="s">
        <v>206</v>
      </c>
      <c r="B71" s="55">
        <v>161220</v>
      </c>
      <c r="C71" s="55">
        <v>202587.4</v>
      </c>
      <c r="D71" s="55">
        <v>134620</v>
      </c>
      <c r="E71" s="55">
        <v>120000</v>
      </c>
      <c r="F71" s="55">
        <v>341150</v>
      </c>
      <c r="G71" s="55">
        <v>461200</v>
      </c>
      <c r="H71" s="55"/>
      <c r="I71" s="55"/>
      <c r="J71" s="55"/>
      <c r="K71" s="55"/>
      <c r="L71" s="55"/>
      <c r="M71" s="55"/>
      <c r="N71" s="55">
        <f t="shared" si="2"/>
        <v>1420777.4</v>
      </c>
      <c r="O71" s="55"/>
    </row>
    <row r="72" spans="1:15">
      <c r="A72" s="16" t="s">
        <v>341</v>
      </c>
      <c r="B72" s="55"/>
      <c r="C72" s="55"/>
      <c r="D72" s="55"/>
      <c r="E72" s="55"/>
      <c r="F72" s="55"/>
      <c r="G72" s="55"/>
      <c r="H72" s="55">
        <v>130000</v>
      </c>
      <c r="I72" s="55"/>
      <c r="J72" s="55"/>
      <c r="K72" s="55"/>
      <c r="L72" s="55"/>
      <c r="M72" s="55"/>
      <c r="N72" s="55">
        <f t="shared" si="2"/>
        <v>130000</v>
      </c>
      <c r="O72" s="55"/>
    </row>
    <row r="73" spans="1:15">
      <c r="A73" s="16" t="s">
        <v>336</v>
      </c>
      <c r="B73" s="55"/>
      <c r="C73" s="55"/>
      <c r="D73" s="55">
        <v>515.65</v>
      </c>
      <c r="E73" s="55"/>
      <c r="F73" s="55"/>
      <c r="G73" s="55"/>
      <c r="H73" s="55"/>
      <c r="I73" s="55"/>
      <c r="J73" s="55"/>
      <c r="K73" s="55"/>
      <c r="L73" s="55"/>
      <c r="M73" s="55"/>
      <c r="N73" s="55">
        <f t="shared" si="2"/>
        <v>515.65</v>
      </c>
      <c r="O73" s="55"/>
    </row>
    <row r="74" spans="1:15">
      <c r="A74" s="16" t="s">
        <v>233</v>
      </c>
      <c r="B74" s="55">
        <v>884747.84</v>
      </c>
      <c r="C74" s="55">
        <v>959692.72</v>
      </c>
      <c r="D74" s="55">
        <v>796391.8</v>
      </c>
      <c r="E74" s="55">
        <v>884343.89</v>
      </c>
      <c r="F74" s="55">
        <f>891319.68+30000</f>
        <v>921319.68</v>
      </c>
      <c r="G74" s="55">
        <v>919635.29</v>
      </c>
      <c r="H74" s="55">
        <v>1030347.4</v>
      </c>
      <c r="I74" s="55">
        <v>1292865.75</v>
      </c>
      <c r="J74" s="55">
        <v>1349225.32</v>
      </c>
      <c r="K74" s="55">
        <v>1561136.38</v>
      </c>
      <c r="L74" s="55"/>
      <c r="M74" s="55">
        <v>3317235.6300000004</v>
      </c>
      <c r="N74" s="55">
        <f t="shared" si="2"/>
        <v>13916941.700000001</v>
      </c>
      <c r="O74" s="55"/>
    </row>
    <row r="75" spans="1:15">
      <c r="A75" s="16" t="s">
        <v>334</v>
      </c>
      <c r="B75" s="55">
        <v>92270</v>
      </c>
      <c r="C75" s="55">
        <v>8822.5</v>
      </c>
      <c r="D75" s="55">
        <v>5911.25</v>
      </c>
      <c r="E75" s="55">
        <v>96850</v>
      </c>
      <c r="F75" s="55">
        <v>103961.25</v>
      </c>
      <c r="G75" s="55">
        <v>108161.25</v>
      </c>
      <c r="H75" s="55">
        <v>39600</v>
      </c>
      <c r="I75" s="55">
        <v>72500</v>
      </c>
      <c r="J75" s="55">
        <v>51300</v>
      </c>
      <c r="K75" s="55">
        <v>56661.25</v>
      </c>
      <c r="L75" s="55">
        <v>46000</v>
      </c>
      <c r="M75" s="55">
        <v>144500</v>
      </c>
      <c r="N75" s="55">
        <f t="shared" si="2"/>
        <v>826537.5</v>
      </c>
      <c r="O75" s="55"/>
    </row>
    <row r="76" spans="1:15">
      <c r="A76" s="16" t="s">
        <v>216</v>
      </c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>
        <f t="shared" si="2"/>
        <v>0</v>
      </c>
      <c r="O76" s="55"/>
    </row>
    <row r="77" spans="1:15">
      <c r="A77" s="59" t="s">
        <v>74</v>
      </c>
      <c r="B77" s="60">
        <f>SUM(B25:B76)</f>
        <v>15337536.879999999</v>
      </c>
      <c r="C77" s="60">
        <f>SUM(C25:C76)</f>
        <v>10312482.950000001</v>
      </c>
      <c r="D77" s="60">
        <f>SUM(D25:D76)</f>
        <v>7644761.1499999994</v>
      </c>
      <c r="E77" s="60">
        <f>SUM(E25:E76)</f>
        <v>19638080.57</v>
      </c>
      <c r="F77" s="60">
        <f>SUM(F25:F76)</f>
        <v>6296029.0299999993</v>
      </c>
      <c r="G77" s="60">
        <f>SUM(G25:G76)</f>
        <v>13441579.48</v>
      </c>
      <c r="H77" s="60">
        <f>SUM(H25:H76)</f>
        <v>2832722.62</v>
      </c>
      <c r="I77" s="60">
        <f>SUM(I25:I76)</f>
        <v>5035780.22</v>
      </c>
      <c r="J77" s="60">
        <f>SUM(J25:J76)</f>
        <v>5959337.71</v>
      </c>
      <c r="K77" s="60">
        <f>SUM(K25:K76)</f>
        <v>5357550.99</v>
      </c>
      <c r="L77" s="60">
        <f>SUM(L25:L76)</f>
        <v>3654995.61</v>
      </c>
      <c r="M77" s="60">
        <f>SUM(M25:M76)</f>
        <v>9823682.7699999996</v>
      </c>
      <c r="N77" s="60">
        <f>SUM(N25:N76)</f>
        <v>105334539.98000002</v>
      </c>
      <c r="O77" s="60">
        <f>SUM(O25:O76)</f>
        <v>0</v>
      </c>
    </row>
    <row r="78" spans="1:15">
      <c r="A78" s="22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</row>
    <row r="79" spans="1:15">
      <c r="A79" s="40" t="s">
        <v>93</v>
      </c>
      <c r="B79" s="53">
        <f>B22-B77</f>
        <v>-14786866.879999999</v>
      </c>
      <c r="C79" s="53">
        <f>C22-C77</f>
        <v>-1612482.9500000011</v>
      </c>
      <c r="D79" s="53">
        <f>D22-D77</f>
        <v>5915238.8500000006</v>
      </c>
      <c r="E79" s="53">
        <f>E22-E77</f>
        <v>-7438770.5700000003</v>
      </c>
      <c r="F79" s="53">
        <f>F22-F77</f>
        <v>3292600.9700000007</v>
      </c>
      <c r="G79" s="53">
        <f>G22-G77</f>
        <v>-7794066.4800000004</v>
      </c>
      <c r="H79" s="53">
        <f>H22-H77</f>
        <v>13670097.989999998</v>
      </c>
      <c r="I79" s="53">
        <f>I22-I77</f>
        <v>-2359336.21</v>
      </c>
      <c r="J79" s="53">
        <f>J22-J77</f>
        <v>-4618112.3899999997</v>
      </c>
      <c r="K79" s="53">
        <f>K22-K77</f>
        <v>-3796314.6100000003</v>
      </c>
      <c r="L79" s="53">
        <f>L22-L77</f>
        <v>-2123325.9299999997</v>
      </c>
      <c r="M79" s="53">
        <f>M22-M77</f>
        <v>12057482.010000002</v>
      </c>
      <c r="N79" s="53"/>
      <c r="O79" s="53">
        <f>O22-O77</f>
        <v>0</v>
      </c>
    </row>
    <row r="80" spans="1:15">
      <c r="A80" s="61" t="s">
        <v>94</v>
      </c>
      <c r="B80" s="55">
        <v>22768508.23</v>
      </c>
      <c r="C80" s="55"/>
      <c r="D80" s="55"/>
      <c r="E80" s="55"/>
      <c r="F80" s="55"/>
      <c r="G80" s="55"/>
      <c r="H80" s="55">
        <f>2764292.22+1731.37</f>
        <v>2766023.5900000003</v>
      </c>
      <c r="I80" s="55"/>
      <c r="J80" s="55"/>
      <c r="K80" s="55"/>
      <c r="L80" s="55"/>
      <c r="M80" s="55"/>
      <c r="N80" s="55"/>
      <c r="O80" s="55">
        <v>0</v>
      </c>
    </row>
    <row r="81" spans="1:17">
      <c r="A81" s="56" t="s">
        <v>95</v>
      </c>
      <c r="B81" s="57">
        <f t="shared" ref="B81:O81" si="3">B80+B79</f>
        <v>7981641.3500000015</v>
      </c>
      <c r="C81" s="57">
        <f>C80+C79</f>
        <v>-1612482.9500000011</v>
      </c>
      <c r="D81" s="57">
        <f t="shared" si="3"/>
        <v>5915238.8500000006</v>
      </c>
      <c r="E81" s="57">
        <f t="shared" si="3"/>
        <v>-7438770.5700000003</v>
      </c>
      <c r="F81" s="57">
        <f t="shared" si="3"/>
        <v>3292600.9700000007</v>
      </c>
      <c r="G81" s="57">
        <f t="shared" si="3"/>
        <v>-7794066.4800000004</v>
      </c>
      <c r="H81" s="57">
        <f t="shared" si="3"/>
        <v>16436121.579999998</v>
      </c>
      <c r="I81" s="57">
        <f t="shared" si="3"/>
        <v>-2359336.21</v>
      </c>
      <c r="J81" s="57">
        <f t="shared" si="3"/>
        <v>-4618112.3899999997</v>
      </c>
      <c r="K81" s="57">
        <f t="shared" si="3"/>
        <v>-3796314.6100000003</v>
      </c>
      <c r="L81" s="57">
        <f t="shared" si="3"/>
        <v>-2123325.9299999997</v>
      </c>
      <c r="M81" s="57">
        <f t="shared" si="3"/>
        <v>12057482.010000002</v>
      </c>
      <c r="N81" s="57"/>
      <c r="O81" s="57">
        <f t="shared" si="3"/>
        <v>0</v>
      </c>
      <c r="Q81" s="33"/>
    </row>
    <row r="82" spans="1:17">
      <c r="Q82" s="33"/>
    </row>
    <row r="83" spans="1:17">
      <c r="Q83" s="33"/>
    </row>
    <row r="84" spans="1:17">
      <c r="Q84" s="33"/>
    </row>
    <row r="85" spans="1:17">
      <c r="B85" s="33"/>
      <c r="Q85" s="63"/>
    </row>
    <row r="86" spans="1:17">
      <c r="B86" s="33"/>
      <c r="Q86" s="63"/>
    </row>
    <row r="87" spans="1:17">
      <c r="B87" s="33"/>
    </row>
    <row r="88" spans="1:17">
      <c r="B88" s="33"/>
    </row>
    <row r="89" spans="1:17" ht="9.75" thickBot="1">
      <c r="B89" s="64">
        <f>SUM(B85:B88)</f>
        <v>0</v>
      </c>
    </row>
    <row r="90" spans="1:17" ht="9.75" thickTop="1"/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showGridLines="0" zoomScaleNormal="100" workbookViewId="0">
      <pane ySplit="3" topLeftCell="A16" activePane="bottomLeft" state="frozen"/>
      <selection pane="bottomLeft" activeCell="A4" sqref="A4"/>
    </sheetView>
  </sheetViews>
  <sheetFormatPr defaultColWidth="8.5703125" defaultRowHeight="15"/>
  <cols>
    <col min="1" max="1" width="14" customWidth="1"/>
    <col min="2" max="2" width="20" customWidth="1"/>
    <col min="3" max="5" width="18" customWidth="1"/>
    <col min="6" max="7" width="20" customWidth="1"/>
    <col min="8" max="8" width="16" customWidth="1"/>
    <col min="9" max="9" width="28" customWidth="1"/>
    <col min="10" max="10" width="12" customWidth="1"/>
  </cols>
  <sheetData>
    <row r="1" spans="1:14" ht="31.5" customHeight="1">
      <c r="A1" s="120" t="s">
        <v>96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19.5" customHeight="1">
      <c r="A2" s="121" t="s">
        <v>97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14" ht="21.75" customHeight="1">
      <c r="A3" s="4" t="s">
        <v>98</v>
      </c>
      <c r="B3" s="4" t="s">
        <v>42</v>
      </c>
      <c r="C3" s="4" t="s">
        <v>99</v>
      </c>
      <c r="D3" s="4" t="s">
        <v>100</v>
      </c>
      <c r="E3" s="4" t="s">
        <v>101</v>
      </c>
      <c r="F3" s="4" t="s">
        <v>102</v>
      </c>
      <c r="G3" s="4" t="s">
        <v>103</v>
      </c>
      <c r="H3" s="4" t="s">
        <v>104</v>
      </c>
      <c r="I3" s="4" t="s">
        <v>105</v>
      </c>
      <c r="J3" s="4" t="s">
        <v>72</v>
      </c>
    </row>
    <row r="4" spans="1:14" ht="18" customHeight="1">
      <c r="A4" s="5" t="s">
        <v>106</v>
      </c>
      <c r="B4" s="11" t="s">
        <v>107</v>
      </c>
      <c r="C4" s="8">
        <v>0</v>
      </c>
      <c r="D4" s="8">
        <v>0</v>
      </c>
      <c r="E4" s="8">
        <v>0</v>
      </c>
      <c r="F4" s="10">
        <f>C4+D4-E4</f>
        <v>0</v>
      </c>
      <c r="G4" s="8">
        <v>0</v>
      </c>
      <c r="H4" s="10">
        <f t="shared" ref="H4:H15" si="0">F4-G4</f>
        <v>0</v>
      </c>
      <c r="I4" s="7"/>
      <c r="J4" s="7"/>
    </row>
    <row r="5" spans="1:14" ht="18" customHeight="1">
      <c r="A5" s="12" t="s">
        <v>108</v>
      </c>
      <c r="B5" s="11" t="s">
        <v>107</v>
      </c>
      <c r="C5" s="8">
        <v>0</v>
      </c>
      <c r="D5" s="8">
        <v>0</v>
      </c>
      <c r="E5" s="8">
        <v>0</v>
      </c>
      <c r="F5" s="9">
        <f t="shared" ref="F5:F15" si="1">C5+D5-E5</f>
        <v>0</v>
      </c>
      <c r="G5" s="8">
        <v>0</v>
      </c>
      <c r="H5" s="9">
        <f t="shared" si="0"/>
        <v>0</v>
      </c>
      <c r="I5" s="2"/>
      <c r="J5" s="2"/>
    </row>
    <row r="6" spans="1:14" ht="18" customHeight="1">
      <c r="A6" s="5" t="s">
        <v>109</v>
      </c>
      <c r="B6" s="11" t="s">
        <v>107</v>
      </c>
      <c r="C6" s="8">
        <v>0</v>
      </c>
      <c r="D6" s="8">
        <v>0</v>
      </c>
      <c r="E6" s="8">
        <v>0</v>
      </c>
      <c r="F6" s="10">
        <f t="shared" si="1"/>
        <v>0</v>
      </c>
      <c r="G6" s="8">
        <v>0</v>
      </c>
      <c r="H6" s="10">
        <f t="shared" si="0"/>
        <v>0</v>
      </c>
      <c r="I6" s="7"/>
      <c r="J6" s="7"/>
    </row>
    <row r="7" spans="1:14" ht="18" customHeight="1">
      <c r="A7" s="12" t="s">
        <v>110</v>
      </c>
      <c r="B7" s="11" t="s">
        <v>107</v>
      </c>
      <c r="C7" s="8">
        <v>0</v>
      </c>
      <c r="D7" s="8">
        <v>0</v>
      </c>
      <c r="E7" s="8">
        <v>0</v>
      </c>
      <c r="F7" s="9">
        <f t="shared" si="1"/>
        <v>0</v>
      </c>
      <c r="G7" s="8">
        <v>0</v>
      </c>
      <c r="H7" s="9">
        <f t="shared" si="0"/>
        <v>0</v>
      </c>
      <c r="I7" s="2"/>
      <c r="J7" s="2"/>
    </row>
    <row r="8" spans="1:14" ht="18" customHeight="1">
      <c r="A8" s="5" t="s">
        <v>82</v>
      </c>
      <c r="B8" s="11" t="s">
        <v>107</v>
      </c>
      <c r="C8" s="8">
        <v>0</v>
      </c>
      <c r="D8" s="8">
        <v>0</v>
      </c>
      <c r="E8" s="8">
        <v>0</v>
      </c>
      <c r="F8" s="10">
        <f t="shared" si="1"/>
        <v>0</v>
      </c>
      <c r="G8" s="8">
        <v>0</v>
      </c>
      <c r="H8" s="10">
        <f t="shared" si="0"/>
        <v>0</v>
      </c>
      <c r="I8" s="7"/>
      <c r="J8" s="7"/>
    </row>
    <row r="9" spans="1:14" ht="18" customHeight="1">
      <c r="A9" s="12" t="s">
        <v>111</v>
      </c>
      <c r="B9" s="11" t="s">
        <v>107</v>
      </c>
      <c r="C9" s="8">
        <v>0</v>
      </c>
      <c r="D9" s="8">
        <v>0</v>
      </c>
      <c r="E9" s="8">
        <v>0</v>
      </c>
      <c r="F9" s="9">
        <f t="shared" si="1"/>
        <v>0</v>
      </c>
      <c r="G9" s="8">
        <v>0</v>
      </c>
      <c r="H9" s="9">
        <f t="shared" si="0"/>
        <v>0</v>
      </c>
      <c r="I9" s="2"/>
      <c r="J9" s="2"/>
    </row>
    <row r="10" spans="1:14" ht="18" customHeight="1">
      <c r="A10" s="5" t="s">
        <v>112</v>
      </c>
      <c r="B10" s="11" t="s">
        <v>107</v>
      </c>
      <c r="C10" s="8">
        <v>0</v>
      </c>
      <c r="D10" s="8">
        <v>0</v>
      </c>
      <c r="E10" s="8">
        <v>0</v>
      </c>
      <c r="F10" s="10">
        <f t="shared" si="1"/>
        <v>0</v>
      </c>
      <c r="G10" s="8">
        <v>0</v>
      </c>
      <c r="H10" s="10">
        <f t="shared" si="0"/>
        <v>0</v>
      </c>
      <c r="I10" s="7"/>
      <c r="J10" s="7"/>
    </row>
    <row r="11" spans="1:14" ht="18" customHeight="1">
      <c r="A11" s="12" t="s">
        <v>113</v>
      </c>
      <c r="B11" s="11" t="s">
        <v>107</v>
      </c>
      <c r="C11" s="8">
        <v>0</v>
      </c>
      <c r="D11" s="8">
        <v>0</v>
      </c>
      <c r="E11" s="8">
        <v>0</v>
      </c>
      <c r="F11" s="9">
        <f t="shared" si="1"/>
        <v>0</v>
      </c>
      <c r="G11" s="8">
        <v>0</v>
      </c>
      <c r="H11" s="9">
        <f t="shared" si="0"/>
        <v>0</v>
      </c>
      <c r="I11" s="2"/>
      <c r="J11" s="2"/>
    </row>
    <row r="12" spans="1:14" ht="18" customHeight="1">
      <c r="A12" s="5" t="s">
        <v>114</v>
      </c>
      <c r="B12" s="11" t="s">
        <v>107</v>
      </c>
      <c r="C12" s="8">
        <v>0</v>
      </c>
      <c r="D12" s="8">
        <v>0</v>
      </c>
      <c r="E12" s="8">
        <v>0</v>
      </c>
      <c r="F12" s="10">
        <f t="shared" si="1"/>
        <v>0</v>
      </c>
      <c r="G12" s="8">
        <v>0</v>
      </c>
      <c r="H12" s="10">
        <f t="shared" si="0"/>
        <v>0</v>
      </c>
      <c r="I12" s="7"/>
      <c r="J12" s="7"/>
    </row>
    <row r="13" spans="1:14" ht="18" customHeight="1">
      <c r="A13" s="12" t="s">
        <v>115</v>
      </c>
      <c r="B13" s="11" t="s">
        <v>107</v>
      </c>
      <c r="C13" s="8">
        <v>0</v>
      </c>
      <c r="D13" s="8">
        <v>0</v>
      </c>
      <c r="E13" s="8">
        <v>0</v>
      </c>
      <c r="F13" s="9">
        <f t="shared" si="1"/>
        <v>0</v>
      </c>
      <c r="G13" s="8">
        <v>0</v>
      </c>
      <c r="H13" s="9">
        <f t="shared" si="0"/>
        <v>0</v>
      </c>
      <c r="I13" s="2"/>
      <c r="J13" s="2"/>
    </row>
    <row r="14" spans="1:14" ht="18" customHeight="1">
      <c r="A14" s="5" t="s">
        <v>116</v>
      </c>
      <c r="B14" s="11" t="s">
        <v>107</v>
      </c>
      <c r="C14" s="8">
        <v>0</v>
      </c>
      <c r="D14" s="8">
        <v>0</v>
      </c>
      <c r="E14" s="8">
        <v>0</v>
      </c>
      <c r="F14" s="10">
        <f t="shared" si="1"/>
        <v>0</v>
      </c>
      <c r="G14" s="8">
        <v>0</v>
      </c>
      <c r="H14" s="10">
        <f t="shared" si="0"/>
        <v>0</v>
      </c>
      <c r="I14" s="7"/>
      <c r="J14" s="7"/>
    </row>
    <row r="15" spans="1:14" ht="18" customHeight="1">
      <c r="A15" s="12" t="s">
        <v>117</v>
      </c>
      <c r="B15" s="11" t="s">
        <v>107</v>
      </c>
      <c r="C15" s="8">
        <v>0</v>
      </c>
      <c r="D15" s="8">
        <v>0</v>
      </c>
      <c r="E15" s="8">
        <v>0</v>
      </c>
      <c r="F15" s="9">
        <f t="shared" si="1"/>
        <v>0</v>
      </c>
      <c r="G15" s="8">
        <v>0</v>
      </c>
      <c r="H15" s="9">
        <f t="shared" si="0"/>
        <v>0</v>
      </c>
      <c r="I15" s="2"/>
      <c r="J15" s="2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33"/>
  <sheetViews>
    <sheetView showGridLines="0" zoomScaleNormal="100" workbookViewId="0">
      <pane ySplit="3" topLeftCell="A4" activePane="bottomLeft" state="frozen"/>
      <selection pane="bottomLeft" activeCell="C135" sqref="C4:C135"/>
    </sheetView>
  </sheetViews>
  <sheetFormatPr defaultColWidth="8.5703125" defaultRowHeight="12.75"/>
  <cols>
    <col min="1" max="1" width="2.7109375" style="20" bestFit="1" customWidth="1"/>
    <col min="2" max="2" width="11.42578125" style="20" bestFit="1" customWidth="1"/>
    <col min="3" max="3" width="20.5703125" style="20" bestFit="1" customWidth="1"/>
    <col min="4" max="4" width="20.85546875" style="20" bestFit="1" customWidth="1"/>
    <col min="5" max="5" width="10.28515625" style="20" bestFit="1" customWidth="1"/>
    <col min="6" max="6" width="13" style="20" bestFit="1" customWidth="1"/>
    <col min="7" max="7" width="8.85546875" style="20" bestFit="1" customWidth="1"/>
    <col min="8" max="8" width="15.7109375" style="85" bestFit="1" customWidth="1"/>
    <col min="9" max="9" width="7.42578125" style="20" bestFit="1" customWidth="1"/>
    <col min="10" max="10" width="12.28515625" style="20" bestFit="1" customWidth="1"/>
    <col min="11" max="11" width="4.42578125" style="20" bestFit="1" customWidth="1"/>
    <col min="12" max="16384" width="8.5703125" style="20"/>
  </cols>
  <sheetData>
    <row r="1" spans="1:14" ht="9">
      <c r="A1" s="130" t="s">
        <v>119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14" ht="9">
      <c r="A2" s="132" t="s">
        <v>120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4">
      <c r="A3" s="35" t="s">
        <v>250</v>
      </c>
      <c r="B3" s="35" t="s">
        <v>121</v>
      </c>
      <c r="C3" s="35" t="s">
        <v>42</v>
      </c>
      <c r="D3" s="35" t="s">
        <v>59</v>
      </c>
      <c r="E3" s="35" t="s">
        <v>122</v>
      </c>
      <c r="F3" s="35" t="s">
        <v>123</v>
      </c>
      <c r="G3" s="35" t="s">
        <v>67</v>
      </c>
      <c r="H3" s="84" t="s">
        <v>124</v>
      </c>
      <c r="I3" s="35" t="s">
        <v>125</v>
      </c>
      <c r="J3" s="35" t="s">
        <v>126</v>
      </c>
      <c r="K3" s="35" t="s">
        <v>51</v>
      </c>
    </row>
    <row r="4" spans="1:14">
      <c r="A4" s="16"/>
      <c r="B4" s="21">
        <v>44929</v>
      </c>
      <c r="C4" s="16"/>
      <c r="D4" s="25" t="s">
        <v>271</v>
      </c>
      <c r="E4" s="22"/>
      <c r="F4" s="22"/>
      <c r="G4" s="25"/>
      <c r="H4" s="92">
        <v>96228.17</v>
      </c>
      <c r="I4" s="22"/>
      <c r="J4" s="24"/>
      <c r="K4" s="22"/>
    </row>
    <row r="5" spans="1:14">
      <c r="A5" s="16"/>
      <c r="B5" s="21">
        <v>44936</v>
      </c>
      <c r="C5" s="16"/>
      <c r="D5" s="25" t="s">
        <v>271</v>
      </c>
      <c r="E5" s="22"/>
      <c r="F5" s="22"/>
      <c r="G5" s="25"/>
      <c r="H5" s="92">
        <v>22502.04</v>
      </c>
      <c r="I5" s="22"/>
      <c r="J5" s="24"/>
      <c r="K5" s="22"/>
    </row>
    <row r="6" spans="1:14">
      <c r="A6" s="16"/>
      <c r="B6" s="21">
        <v>44943</v>
      </c>
      <c r="C6" s="16"/>
      <c r="D6" s="25" t="s">
        <v>271</v>
      </c>
      <c r="E6" s="22"/>
      <c r="F6" s="22"/>
      <c r="G6" s="25"/>
      <c r="H6" s="92">
        <v>133963.95000000001</v>
      </c>
      <c r="I6" s="22"/>
      <c r="J6" s="24"/>
      <c r="K6" s="22"/>
    </row>
    <row r="7" spans="1:14">
      <c r="A7" s="16"/>
      <c r="B7" s="21">
        <v>44946</v>
      </c>
      <c r="C7" s="16"/>
      <c r="D7" s="25" t="s">
        <v>271</v>
      </c>
      <c r="E7" s="22"/>
      <c r="F7" s="22"/>
      <c r="G7" s="25"/>
      <c r="H7" s="92">
        <v>164810.91</v>
      </c>
      <c r="I7" s="22"/>
      <c r="J7" s="24"/>
      <c r="K7" s="22"/>
    </row>
    <row r="8" spans="1:14">
      <c r="A8" s="16"/>
      <c r="B8" s="21">
        <v>44957</v>
      </c>
      <c r="C8" s="16"/>
      <c r="D8" s="25" t="s">
        <v>271</v>
      </c>
      <c r="E8" s="22"/>
      <c r="F8" s="22"/>
      <c r="G8" s="25"/>
      <c r="H8" s="92">
        <v>60000</v>
      </c>
      <c r="I8" s="22"/>
      <c r="J8" s="24"/>
      <c r="K8" s="22"/>
    </row>
    <row r="9" spans="1:14">
      <c r="A9" s="16"/>
      <c r="B9" s="21">
        <v>44957</v>
      </c>
      <c r="C9" s="16"/>
      <c r="D9" s="25" t="s">
        <v>271</v>
      </c>
      <c r="E9" s="22"/>
      <c r="F9" s="22"/>
      <c r="G9" s="25"/>
      <c r="H9" s="92">
        <v>30000</v>
      </c>
      <c r="I9" s="22"/>
      <c r="J9" s="24"/>
      <c r="K9" s="22"/>
    </row>
    <row r="10" spans="1:14">
      <c r="A10" s="16"/>
      <c r="B10" s="21">
        <v>44957</v>
      </c>
      <c r="C10" s="16"/>
      <c r="D10" s="25" t="s">
        <v>271</v>
      </c>
      <c r="E10" s="22"/>
      <c r="F10" s="22"/>
      <c r="G10" s="25"/>
      <c r="H10" s="92">
        <v>320938.90000000002</v>
      </c>
      <c r="I10" s="22"/>
      <c r="J10" s="24"/>
      <c r="K10" s="22"/>
    </row>
    <row r="11" spans="1:14">
      <c r="A11" s="16"/>
      <c r="B11" s="21">
        <v>44957</v>
      </c>
      <c r="C11" s="16"/>
      <c r="D11" s="25" t="s">
        <v>271</v>
      </c>
      <c r="E11" s="22"/>
      <c r="F11" s="22"/>
      <c r="G11" s="25"/>
      <c r="H11" s="92">
        <v>6699810.8899999997</v>
      </c>
      <c r="I11" s="22"/>
      <c r="J11" s="24"/>
      <c r="K11" s="22"/>
    </row>
    <row r="12" spans="1:14">
      <c r="A12" s="16"/>
      <c r="B12" s="21">
        <v>44966</v>
      </c>
      <c r="C12" s="16"/>
      <c r="D12" s="25" t="s">
        <v>271</v>
      </c>
      <c r="E12" s="22"/>
      <c r="F12" s="22"/>
      <c r="G12" s="25"/>
      <c r="H12" s="92">
        <v>14118.47</v>
      </c>
      <c r="I12" s="22"/>
      <c r="J12" s="24"/>
      <c r="K12" s="22"/>
    </row>
    <row r="13" spans="1:14">
      <c r="A13" s="16"/>
      <c r="B13" s="21">
        <v>44977</v>
      </c>
      <c r="C13" s="16"/>
      <c r="D13" s="25" t="s">
        <v>271</v>
      </c>
      <c r="E13" s="22"/>
      <c r="F13" s="22"/>
      <c r="G13" s="25"/>
      <c r="H13" s="92">
        <v>58205.35</v>
      </c>
      <c r="I13" s="22"/>
      <c r="J13" s="24"/>
      <c r="K13" s="22"/>
    </row>
    <row r="14" spans="1:14">
      <c r="A14" s="16"/>
      <c r="B14" s="21">
        <v>44984</v>
      </c>
      <c r="C14" s="16"/>
      <c r="D14" s="25" t="s">
        <v>271</v>
      </c>
      <c r="E14" s="22"/>
      <c r="F14" s="22"/>
      <c r="G14" s="25"/>
      <c r="H14" s="92">
        <v>106330.8</v>
      </c>
      <c r="I14" s="22"/>
      <c r="J14" s="24"/>
      <c r="K14" s="22"/>
    </row>
    <row r="15" spans="1:14">
      <c r="A15" s="16"/>
      <c r="B15" s="21">
        <v>44985</v>
      </c>
      <c r="C15" s="16"/>
      <c r="D15" s="25" t="s">
        <v>271</v>
      </c>
      <c r="E15" s="22"/>
      <c r="F15" s="22"/>
      <c r="G15" s="25"/>
      <c r="H15" s="92">
        <v>6245486.6500000004</v>
      </c>
      <c r="I15" s="22"/>
      <c r="J15" s="24"/>
      <c r="K15" s="22"/>
    </row>
    <row r="16" spans="1:14">
      <c r="A16" s="16"/>
      <c r="B16" s="21">
        <v>44985</v>
      </c>
      <c r="C16" s="16"/>
      <c r="D16" s="25" t="s">
        <v>271</v>
      </c>
      <c r="E16" s="22"/>
      <c r="F16" s="22"/>
      <c r="G16" s="25"/>
      <c r="H16" s="92">
        <v>59819.67</v>
      </c>
      <c r="I16" s="22"/>
      <c r="J16" s="24"/>
      <c r="K16" s="22"/>
    </row>
    <row r="17" spans="1:11">
      <c r="A17" s="16"/>
      <c r="B17" s="21">
        <v>44985</v>
      </c>
      <c r="C17" s="16"/>
      <c r="D17" s="25" t="s">
        <v>271</v>
      </c>
      <c r="E17" s="22"/>
      <c r="F17" s="22"/>
      <c r="G17" s="25"/>
      <c r="H17" s="92">
        <v>60000</v>
      </c>
      <c r="I17" s="22"/>
      <c r="J17" s="24"/>
      <c r="K17" s="22"/>
    </row>
    <row r="18" spans="1:11">
      <c r="A18" s="16"/>
      <c r="B18" s="21">
        <v>44985</v>
      </c>
      <c r="C18" s="16"/>
      <c r="D18" s="25" t="s">
        <v>271</v>
      </c>
      <c r="E18" s="22"/>
      <c r="F18" s="22"/>
      <c r="G18" s="25"/>
      <c r="H18" s="92">
        <v>30000</v>
      </c>
      <c r="I18" s="22"/>
      <c r="J18" s="24"/>
      <c r="K18" s="22"/>
    </row>
    <row r="19" spans="1:11">
      <c r="A19" s="16"/>
      <c r="B19" s="21">
        <v>44995</v>
      </c>
      <c r="C19" s="16"/>
      <c r="D19" s="25" t="s">
        <v>271</v>
      </c>
      <c r="E19" s="22"/>
      <c r="F19" s="22"/>
      <c r="G19" s="25"/>
      <c r="H19" s="92">
        <v>10939.39</v>
      </c>
      <c r="I19" s="22"/>
      <c r="J19" s="24"/>
      <c r="K19" s="22"/>
    </row>
    <row r="20" spans="1:11">
      <c r="A20" s="16"/>
      <c r="B20" s="21">
        <v>44995</v>
      </c>
      <c r="C20" s="16"/>
      <c r="D20" s="25" t="s">
        <v>271</v>
      </c>
      <c r="E20" s="22"/>
      <c r="F20" s="22"/>
      <c r="G20" s="25"/>
      <c r="H20" s="92">
        <v>48379.199999999997</v>
      </c>
      <c r="I20" s="22"/>
      <c r="J20" s="24"/>
      <c r="K20" s="22"/>
    </row>
    <row r="21" spans="1:11">
      <c r="A21" s="16"/>
      <c r="B21" s="21">
        <v>45001</v>
      </c>
      <c r="C21" s="16"/>
      <c r="D21" s="25" t="s">
        <v>271</v>
      </c>
      <c r="E21" s="22"/>
      <c r="F21" s="22"/>
      <c r="G21" s="25"/>
      <c r="H21" s="92">
        <v>372439.84</v>
      </c>
      <c r="I21" s="22"/>
      <c r="J21" s="24"/>
      <c r="K21" s="22"/>
    </row>
    <row r="22" spans="1:11">
      <c r="A22" s="16"/>
      <c r="B22" s="21">
        <v>45007</v>
      </c>
      <c r="C22" s="16"/>
      <c r="D22" s="25" t="s">
        <v>271</v>
      </c>
      <c r="E22" s="22"/>
      <c r="F22" s="22"/>
      <c r="G22" s="25"/>
      <c r="H22" s="92">
        <v>128553.33</v>
      </c>
      <c r="I22" s="22"/>
      <c r="J22" s="24"/>
      <c r="K22" s="22"/>
    </row>
    <row r="23" spans="1:11">
      <c r="A23" s="16"/>
      <c r="B23" s="21">
        <v>45017</v>
      </c>
      <c r="C23" s="16"/>
      <c r="D23" s="25" t="s">
        <v>271</v>
      </c>
      <c r="E23" s="22"/>
      <c r="F23" s="22"/>
      <c r="G23" s="25"/>
      <c r="H23" s="92">
        <v>6296714.7400000002</v>
      </c>
      <c r="I23" s="22"/>
      <c r="J23" s="24"/>
      <c r="K23" s="22"/>
    </row>
    <row r="24" spans="1:11">
      <c r="A24" s="16"/>
      <c r="B24" s="21">
        <v>45017</v>
      </c>
      <c r="C24" s="16"/>
      <c r="D24" s="25" t="s">
        <v>271</v>
      </c>
      <c r="E24" s="22"/>
      <c r="F24" s="22"/>
      <c r="G24" s="25"/>
      <c r="H24" s="92">
        <v>119639.34</v>
      </c>
      <c r="I24" s="22"/>
      <c r="J24" s="24"/>
      <c r="K24" s="22"/>
    </row>
    <row r="25" spans="1:11">
      <c r="A25" s="16"/>
      <c r="B25" s="21">
        <v>45019</v>
      </c>
      <c r="C25" s="16"/>
      <c r="D25" s="25" t="s">
        <v>271</v>
      </c>
      <c r="E25" s="22"/>
      <c r="F25" s="22"/>
      <c r="G25" s="25"/>
      <c r="H25" s="92">
        <v>30000</v>
      </c>
      <c r="I25" s="22"/>
      <c r="J25" s="24"/>
      <c r="K25" s="22"/>
    </row>
    <row r="26" spans="1:11">
      <c r="A26" s="16"/>
      <c r="B26" s="21">
        <v>45019</v>
      </c>
      <c r="C26" s="16"/>
      <c r="D26" s="25" t="s">
        <v>271</v>
      </c>
      <c r="E26" s="22"/>
      <c r="F26" s="22"/>
      <c r="G26" s="25"/>
      <c r="H26" s="92">
        <v>60000</v>
      </c>
      <c r="I26" s="22"/>
      <c r="J26" s="24"/>
      <c r="K26" s="22"/>
    </row>
    <row r="27" spans="1:11">
      <c r="A27" s="16"/>
      <c r="B27" s="21">
        <v>45026</v>
      </c>
      <c r="C27" s="16"/>
      <c r="D27" s="25" t="s">
        <v>271</v>
      </c>
      <c r="E27" s="22"/>
      <c r="F27" s="22"/>
      <c r="G27" s="25"/>
      <c r="H27" s="92">
        <v>358451.88</v>
      </c>
      <c r="I27" s="22"/>
      <c r="J27" s="24"/>
      <c r="K27" s="22"/>
    </row>
    <row r="28" spans="1:11">
      <c r="A28" s="16"/>
      <c r="B28" s="21">
        <v>45026</v>
      </c>
      <c r="C28" s="16"/>
      <c r="D28" s="25" t="s">
        <v>271</v>
      </c>
      <c r="E28" s="22"/>
      <c r="F28" s="22"/>
      <c r="G28" s="25"/>
      <c r="H28" s="92">
        <v>8359.64</v>
      </c>
      <c r="I28" s="22"/>
      <c r="J28" s="24"/>
      <c r="K28" s="22"/>
    </row>
    <row r="29" spans="1:11">
      <c r="A29" s="16"/>
      <c r="B29" s="21">
        <v>45037</v>
      </c>
      <c r="C29" s="16"/>
      <c r="D29" s="25" t="s">
        <v>271</v>
      </c>
      <c r="E29" s="22"/>
      <c r="F29" s="22"/>
      <c r="G29" s="25"/>
      <c r="H29" s="92">
        <v>95711.46</v>
      </c>
      <c r="I29" s="22"/>
      <c r="J29" s="24"/>
      <c r="K29" s="22"/>
    </row>
    <row r="30" spans="1:11">
      <c r="A30" s="16"/>
      <c r="B30" s="21">
        <v>45037</v>
      </c>
      <c r="C30" s="16"/>
      <c r="D30" s="25" t="s">
        <v>271</v>
      </c>
      <c r="E30" s="22"/>
      <c r="F30" s="22"/>
      <c r="G30" s="25"/>
      <c r="H30" s="92">
        <v>35994.93</v>
      </c>
      <c r="I30" s="22"/>
      <c r="J30" s="24"/>
      <c r="K30" s="22"/>
    </row>
    <row r="31" spans="1:11">
      <c r="A31" s="16"/>
      <c r="B31" s="21">
        <v>45045</v>
      </c>
      <c r="C31" s="16"/>
      <c r="D31" s="25" t="s">
        <v>271</v>
      </c>
      <c r="E31" s="22"/>
      <c r="F31" s="22"/>
      <c r="G31" s="25"/>
      <c r="H31" s="92">
        <v>6404407.0099999998</v>
      </c>
      <c r="I31" s="22"/>
      <c r="J31" s="24"/>
      <c r="K31" s="22"/>
    </row>
    <row r="32" spans="1:11">
      <c r="A32" s="16"/>
      <c r="B32" s="21">
        <v>45045</v>
      </c>
      <c r="C32" s="16"/>
      <c r="D32" s="25" t="s">
        <v>271</v>
      </c>
      <c r="E32" s="22"/>
      <c r="F32" s="22"/>
      <c r="G32" s="25"/>
      <c r="H32" s="92">
        <v>60000</v>
      </c>
      <c r="I32" s="22"/>
      <c r="J32" s="24"/>
      <c r="K32" s="22"/>
    </row>
    <row r="33" spans="1:11">
      <c r="A33" s="16"/>
      <c r="B33" s="21">
        <v>45048</v>
      </c>
      <c r="C33" s="16"/>
      <c r="D33" s="25" t="s">
        <v>271</v>
      </c>
      <c r="E33" s="22"/>
      <c r="F33" s="22"/>
      <c r="G33" s="25"/>
      <c r="H33" s="92">
        <v>59816.67</v>
      </c>
      <c r="I33" s="22"/>
      <c r="J33" s="24"/>
      <c r="K33" s="22"/>
    </row>
    <row r="34" spans="1:11">
      <c r="A34" s="16"/>
      <c r="B34" s="21">
        <v>45048</v>
      </c>
      <c r="C34" s="16"/>
      <c r="D34" s="25" t="s">
        <v>271</v>
      </c>
      <c r="E34" s="22"/>
      <c r="F34" s="22"/>
      <c r="G34" s="25"/>
      <c r="H34" s="92">
        <v>59816.67</v>
      </c>
      <c r="I34" s="22"/>
      <c r="J34" s="24"/>
      <c r="K34" s="22"/>
    </row>
    <row r="35" spans="1:11">
      <c r="A35" s="16"/>
      <c r="B35" s="21">
        <v>45048</v>
      </c>
      <c r="C35" s="16"/>
      <c r="D35" s="25" t="s">
        <v>271</v>
      </c>
      <c r="E35" s="22"/>
      <c r="F35" s="22"/>
      <c r="G35" s="25"/>
      <c r="H35" s="92">
        <v>59816.67</v>
      </c>
      <c r="I35" s="22"/>
      <c r="J35" s="24"/>
      <c r="K35" s="22"/>
    </row>
    <row r="36" spans="1:11">
      <c r="A36" s="16"/>
      <c r="B36" s="21">
        <v>45054</v>
      </c>
      <c r="C36" s="16"/>
      <c r="D36" s="25" t="s">
        <v>271</v>
      </c>
      <c r="E36" s="22"/>
      <c r="F36" s="22"/>
      <c r="G36" s="25"/>
      <c r="H36" s="92">
        <v>221133.58</v>
      </c>
      <c r="I36" s="22"/>
      <c r="J36" s="24"/>
      <c r="K36" s="22"/>
    </row>
    <row r="37" spans="1:11">
      <c r="A37" s="16"/>
      <c r="B37" s="21">
        <v>45066</v>
      </c>
      <c r="C37" s="16"/>
      <c r="D37" s="25" t="s">
        <v>271</v>
      </c>
      <c r="E37" s="22"/>
      <c r="F37" s="22"/>
      <c r="G37" s="25"/>
      <c r="H37" s="92">
        <v>111093.66</v>
      </c>
      <c r="I37" s="22"/>
      <c r="J37" s="24"/>
      <c r="K37" s="22"/>
    </row>
    <row r="38" spans="1:11">
      <c r="A38" s="16"/>
      <c r="B38" s="21">
        <v>45078</v>
      </c>
      <c r="C38" s="16"/>
      <c r="D38" s="25" t="s">
        <v>271</v>
      </c>
      <c r="E38" s="22"/>
      <c r="F38" s="22"/>
      <c r="G38" s="25"/>
      <c r="H38" s="92">
        <v>7474675.1799999997</v>
      </c>
      <c r="I38" s="22"/>
      <c r="J38" s="24"/>
      <c r="K38" s="22"/>
    </row>
    <row r="39" spans="1:11">
      <c r="A39" s="16"/>
      <c r="B39" s="21">
        <v>45079</v>
      </c>
      <c r="C39" s="16"/>
      <c r="D39" s="25" t="s">
        <v>271</v>
      </c>
      <c r="E39" s="22"/>
      <c r="F39" s="22"/>
      <c r="G39" s="25"/>
      <c r="H39" s="92">
        <v>60000</v>
      </c>
      <c r="I39" s="22"/>
      <c r="J39" s="24"/>
      <c r="K39" s="22"/>
    </row>
    <row r="40" spans="1:11">
      <c r="A40" s="16"/>
      <c r="B40" s="21">
        <v>45084</v>
      </c>
      <c r="C40" s="16"/>
      <c r="D40" s="25" t="s">
        <v>271</v>
      </c>
      <c r="E40" s="22"/>
      <c r="F40" s="22"/>
      <c r="G40" s="25"/>
      <c r="H40" s="92">
        <v>14000.82</v>
      </c>
      <c r="I40" s="22"/>
      <c r="J40" s="24"/>
      <c r="K40" s="22"/>
    </row>
    <row r="41" spans="1:11">
      <c r="A41" s="16"/>
      <c r="B41" s="21">
        <v>45084</v>
      </c>
      <c r="C41" s="16"/>
      <c r="D41" s="25" t="s">
        <v>271</v>
      </c>
      <c r="E41" s="22"/>
      <c r="F41" s="22"/>
      <c r="G41" s="25"/>
      <c r="H41" s="92">
        <v>57819.67</v>
      </c>
      <c r="I41" s="22"/>
      <c r="J41" s="24"/>
      <c r="K41" s="22"/>
    </row>
    <row r="42" spans="1:11">
      <c r="A42" s="16"/>
      <c r="B42" s="21">
        <v>45084</v>
      </c>
      <c r="C42" s="16"/>
      <c r="D42" s="25" t="s">
        <v>271</v>
      </c>
      <c r="E42" s="22"/>
      <c r="F42" s="22"/>
      <c r="G42" s="25"/>
      <c r="H42" s="92">
        <v>8250.51</v>
      </c>
      <c r="I42" s="22"/>
      <c r="J42" s="24"/>
      <c r="K42" s="22"/>
    </row>
    <row r="43" spans="1:11">
      <c r="A43" s="16"/>
      <c r="B43" s="21">
        <v>45084</v>
      </c>
      <c r="C43" s="16"/>
      <c r="D43" s="25" t="s">
        <v>271</v>
      </c>
      <c r="E43" s="22"/>
      <c r="F43" s="22"/>
      <c r="G43" s="25"/>
      <c r="H43" s="92">
        <v>109975.05</v>
      </c>
      <c r="I43" s="22"/>
      <c r="J43" s="24"/>
      <c r="K43" s="22"/>
    </row>
    <row r="44" spans="1:11">
      <c r="A44" s="16"/>
      <c r="B44" s="21">
        <v>45084</v>
      </c>
      <c r="C44" s="16"/>
      <c r="D44" s="25" t="s">
        <v>271</v>
      </c>
      <c r="E44" s="22"/>
      <c r="F44" s="22"/>
      <c r="G44" s="25"/>
      <c r="H44" s="92">
        <v>74774.58</v>
      </c>
      <c r="I44" s="22"/>
      <c r="J44" s="24"/>
      <c r="K44" s="22"/>
    </row>
    <row r="45" spans="1:11">
      <c r="A45" s="16"/>
      <c r="B45" s="21">
        <v>45092</v>
      </c>
      <c r="C45" s="16"/>
      <c r="D45" s="25" t="s">
        <v>271</v>
      </c>
      <c r="E45" s="22"/>
      <c r="F45" s="22"/>
      <c r="G45" s="25"/>
      <c r="H45" s="92">
        <v>63024.29</v>
      </c>
      <c r="I45" s="22"/>
      <c r="J45" s="24"/>
      <c r="K45" s="22"/>
    </row>
    <row r="46" spans="1:11">
      <c r="A46" s="16"/>
      <c r="B46" s="21">
        <v>45098</v>
      </c>
      <c r="C46" s="16"/>
      <c r="D46" s="25" t="s">
        <v>271</v>
      </c>
      <c r="E46" s="22"/>
      <c r="F46" s="22"/>
      <c r="G46" s="25"/>
      <c r="H46" s="92">
        <v>111093.66</v>
      </c>
      <c r="I46" s="22"/>
      <c r="J46" s="24"/>
      <c r="K46" s="22"/>
    </row>
    <row r="47" spans="1:11">
      <c r="A47" s="16"/>
      <c r="B47" s="21">
        <v>45098</v>
      </c>
      <c r="C47" s="16"/>
      <c r="D47" s="25" t="s">
        <v>271</v>
      </c>
      <c r="E47" s="22"/>
      <c r="F47" s="22"/>
      <c r="G47" s="25"/>
      <c r="H47" s="92">
        <v>100994.24000000001</v>
      </c>
      <c r="I47" s="22"/>
      <c r="J47" s="24"/>
      <c r="K47" s="22"/>
    </row>
    <row r="48" spans="1:11">
      <c r="A48" s="16"/>
      <c r="B48" s="21">
        <v>45103</v>
      </c>
      <c r="C48" s="16"/>
      <c r="D48" s="25" t="s">
        <v>271</v>
      </c>
      <c r="E48" s="22"/>
      <c r="F48" s="22"/>
      <c r="G48" s="25"/>
      <c r="H48" s="92">
        <v>111093.66</v>
      </c>
      <c r="I48" s="22"/>
      <c r="J48" s="24"/>
      <c r="K48" s="22"/>
    </row>
    <row r="49" spans="1:11">
      <c r="A49" s="16"/>
      <c r="B49" s="67">
        <v>45108</v>
      </c>
      <c r="C49" s="16"/>
      <c r="D49" s="25" t="s">
        <v>271</v>
      </c>
      <c r="E49" s="22"/>
      <c r="F49" s="22"/>
      <c r="G49" s="25"/>
      <c r="H49" s="91">
        <v>128553.33</v>
      </c>
      <c r="I49" s="22"/>
      <c r="J49" s="24"/>
      <c r="K49" s="22"/>
    </row>
    <row r="50" spans="1:11">
      <c r="A50" s="16"/>
      <c r="B50" s="67">
        <v>45108</v>
      </c>
      <c r="C50" s="16"/>
      <c r="D50" s="25" t="s">
        <v>271</v>
      </c>
      <c r="E50" s="22"/>
      <c r="F50" s="22"/>
      <c r="G50" s="25"/>
      <c r="H50" s="91">
        <v>34034.85</v>
      </c>
      <c r="I50" s="22"/>
      <c r="J50" s="24"/>
      <c r="K50" s="22"/>
    </row>
    <row r="51" spans="1:11">
      <c r="A51" s="16"/>
      <c r="B51" s="67">
        <v>45108</v>
      </c>
      <c r="C51" s="16"/>
      <c r="D51" s="25" t="s">
        <v>271</v>
      </c>
      <c r="E51" s="22"/>
      <c r="F51" s="22"/>
      <c r="G51" s="25"/>
      <c r="H51" s="91">
        <v>170913.33</v>
      </c>
      <c r="I51" s="22"/>
      <c r="J51" s="24"/>
      <c r="K51" s="22"/>
    </row>
    <row r="52" spans="1:11">
      <c r="A52" s="16"/>
      <c r="B52" s="67">
        <v>45108</v>
      </c>
      <c r="C52" s="16"/>
      <c r="D52" s="25" t="s">
        <v>271</v>
      </c>
      <c r="E52" s="22"/>
      <c r="F52" s="22"/>
      <c r="G52" s="25"/>
      <c r="H52" s="91">
        <v>121391.25</v>
      </c>
      <c r="I52" s="22"/>
      <c r="J52" s="24"/>
      <c r="K52" s="22"/>
    </row>
    <row r="53" spans="1:11">
      <c r="A53" s="16"/>
      <c r="B53" s="67">
        <v>45108</v>
      </c>
      <c r="C53" s="16"/>
      <c r="D53" s="25" t="s">
        <v>271</v>
      </c>
      <c r="E53" s="22"/>
      <c r="F53" s="22"/>
      <c r="G53" s="25"/>
      <c r="H53" s="91">
        <v>100100</v>
      </c>
      <c r="I53" s="22"/>
      <c r="J53" s="24"/>
      <c r="K53" s="22"/>
    </row>
    <row r="54" spans="1:11">
      <c r="A54" s="16"/>
      <c r="B54" s="67">
        <v>45108</v>
      </c>
      <c r="C54" s="16"/>
      <c r="D54" s="25" t="s">
        <v>271</v>
      </c>
      <c r="E54" s="22"/>
      <c r="F54" s="22"/>
      <c r="G54" s="25"/>
      <c r="H54" s="91">
        <v>351443.33</v>
      </c>
      <c r="I54" s="22"/>
      <c r="J54" s="24"/>
      <c r="K54" s="22"/>
    </row>
    <row r="55" spans="1:11">
      <c r="A55" s="16"/>
      <c r="B55" s="67">
        <v>45108</v>
      </c>
      <c r="C55" s="16"/>
      <c r="D55" s="25" t="s">
        <v>271</v>
      </c>
      <c r="E55" s="22"/>
      <c r="F55" s="22"/>
      <c r="G55" s="25"/>
      <c r="H55" s="91">
        <v>101500</v>
      </c>
      <c r="I55" s="22"/>
      <c r="J55" s="24"/>
      <c r="K55" s="22"/>
    </row>
    <row r="56" spans="1:11">
      <c r="A56" s="16"/>
      <c r="B56" s="67">
        <v>45108</v>
      </c>
      <c r="C56" s="16"/>
      <c r="D56" s="25" t="s">
        <v>271</v>
      </c>
      <c r="E56" s="22"/>
      <c r="F56" s="22"/>
      <c r="G56" s="25"/>
      <c r="H56" s="91">
        <v>60000</v>
      </c>
      <c r="I56" s="22"/>
      <c r="J56" s="24"/>
      <c r="K56" s="22"/>
    </row>
    <row r="57" spans="1:11">
      <c r="A57" s="16"/>
      <c r="B57" s="67">
        <v>45108</v>
      </c>
      <c r="C57" s="16"/>
      <c r="D57" s="25" t="s">
        <v>271</v>
      </c>
      <c r="E57" s="22"/>
      <c r="F57" s="22"/>
      <c r="G57" s="25"/>
      <c r="H57" s="91">
        <v>69919.09</v>
      </c>
      <c r="I57" s="22"/>
      <c r="J57" s="24"/>
      <c r="K57" s="22"/>
    </row>
    <row r="58" spans="1:11">
      <c r="A58" s="16"/>
      <c r="B58" s="67">
        <v>45139</v>
      </c>
      <c r="C58" s="16"/>
      <c r="D58" s="25" t="s">
        <v>271</v>
      </c>
      <c r="E58" s="22"/>
      <c r="F58" s="22"/>
      <c r="G58" s="25"/>
      <c r="H58" s="96">
        <v>168523.14</v>
      </c>
      <c r="I58" s="22"/>
      <c r="J58" s="24"/>
      <c r="K58" s="22"/>
    </row>
    <row r="59" spans="1:11">
      <c r="A59" s="16"/>
      <c r="B59" s="67">
        <v>45139</v>
      </c>
      <c r="C59" s="16"/>
      <c r="D59" s="25" t="s">
        <v>271</v>
      </c>
      <c r="E59" s="22"/>
      <c r="F59" s="22"/>
      <c r="G59" s="25"/>
      <c r="H59" s="91">
        <v>49742.74</v>
      </c>
      <c r="I59" s="22"/>
      <c r="J59" s="24"/>
      <c r="K59" s="22"/>
    </row>
    <row r="60" spans="1:11">
      <c r="A60" s="16"/>
      <c r="B60" s="67">
        <v>45139</v>
      </c>
      <c r="C60" s="16"/>
      <c r="D60" s="25" t="s">
        <v>271</v>
      </c>
      <c r="E60" s="22"/>
      <c r="F60" s="22"/>
      <c r="G60" s="25"/>
      <c r="H60" s="91">
        <v>192119.33</v>
      </c>
      <c r="I60" s="22"/>
      <c r="J60" s="24"/>
      <c r="K60" s="22"/>
    </row>
    <row r="61" spans="1:11">
      <c r="A61" s="16"/>
      <c r="B61" s="67">
        <v>45139</v>
      </c>
      <c r="C61" s="16"/>
      <c r="D61" s="25" t="s">
        <v>271</v>
      </c>
      <c r="E61" s="22"/>
      <c r="F61" s="22"/>
      <c r="G61" s="25"/>
      <c r="H61" s="91">
        <v>152000</v>
      </c>
      <c r="I61" s="22"/>
      <c r="J61" s="24"/>
      <c r="K61" s="22"/>
    </row>
    <row r="62" spans="1:11">
      <c r="A62" s="16"/>
      <c r="B62" s="67">
        <v>45139</v>
      </c>
      <c r="C62" s="16"/>
      <c r="D62" s="25" t="s">
        <v>271</v>
      </c>
      <c r="E62" s="22"/>
      <c r="F62" s="22"/>
      <c r="G62" s="25"/>
      <c r="H62" s="91">
        <v>30000</v>
      </c>
      <c r="I62" s="22"/>
      <c r="J62" s="24"/>
      <c r="K62" s="22"/>
    </row>
    <row r="63" spans="1:11">
      <c r="A63" s="16"/>
      <c r="B63" s="67">
        <v>45139</v>
      </c>
      <c r="C63" s="16"/>
      <c r="D63" s="25" t="s">
        <v>271</v>
      </c>
      <c r="E63" s="22"/>
      <c r="F63" s="22"/>
      <c r="G63" s="25"/>
      <c r="H63" s="91">
        <v>114378.23</v>
      </c>
      <c r="I63" s="22"/>
      <c r="J63" s="24"/>
      <c r="K63" s="22"/>
    </row>
    <row r="64" spans="1:11">
      <c r="A64" s="16"/>
      <c r="B64" s="67">
        <v>45139</v>
      </c>
      <c r="C64" s="16"/>
      <c r="D64" s="25" t="s">
        <v>271</v>
      </c>
      <c r="E64" s="22"/>
      <c r="F64" s="22"/>
      <c r="G64" s="25"/>
      <c r="H64" s="91">
        <v>144479.15</v>
      </c>
      <c r="I64" s="22"/>
      <c r="J64" s="24"/>
      <c r="K64" s="22"/>
    </row>
    <row r="65" spans="1:11">
      <c r="A65" s="16"/>
      <c r="B65" s="67">
        <v>45139</v>
      </c>
      <c r="C65" s="16"/>
      <c r="D65" s="25" t="s">
        <v>271</v>
      </c>
      <c r="E65" s="22"/>
      <c r="F65" s="22"/>
      <c r="G65" s="25"/>
      <c r="H65" s="91">
        <v>395860.52</v>
      </c>
      <c r="I65" s="22"/>
      <c r="J65" s="24"/>
      <c r="K65" s="22"/>
    </row>
    <row r="66" spans="1:11">
      <c r="A66" s="16"/>
      <c r="B66" s="67">
        <v>45139</v>
      </c>
      <c r="C66" s="16"/>
      <c r="D66" s="25" t="s">
        <v>271</v>
      </c>
      <c r="E66" s="22"/>
      <c r="F66" s="22"/>
      <c r="G66" s="25"/>
      <c r="H66" s="91">
        <v>192119.33</v>
      </c>
      <c r="I66" s="22"/>
      <c r="J66" s="24"/>
      <c r="K66" s="22"/>
    </row>
    <row r="67" spans="1:11">
      <c r="A67" s="16"/>
      <c r="B67" s="67">
        <v>45139</v>
      </c>
      <c r="C67" s="16"/>
      <c r="D67" s="25" t="s">
        <v>271</v>
      </c>
      <c r="E67" s="22"/>
      <c r="F67" s="22"/>
      <c r="G67" s="25"/>
      <c r="H67" s="96">
        <v>114378.23</v>
      </c>
      <c r="I67" s="22"/>
      <c r="J67" s="24"/>
      <c r="K67" s="22"/>
    </row>
    <row r="68" spans="1:11">
      <c r="A68" s="16"/>
      <c r="B68" s="67">
        <v>45139</v>
      </c>
      <c r="C68" s="16"/>
      <c r="D68" s="25" t="s">
        <v>271</v>
      </c>
      <c r="E68" s="22"/>
      <c r="F68" s="22"/>
      <c r="G68" s="25"/>
      <c r="H68" s="91">
        <v>49742.74</v>
      </c>
      <c r="I68" s="22"/>
      <c r="J68" s="24"/>
      <c r="K68" s="22"/>
    </row>
    <row r="69" spans="1:11">
      <c r="A69" s="16"/>
      <c r="B69" s="67">
        <v>45139</v>
      </c>
      <c r="C69" s="16"/>
      <c r="D69" s="25" t="s">
        <v>271</v>
      </c>
      <c r="E69" s="22"/>
      <c r="F69" s="22"/>
      <c r="G69" s="25"/>
      <c r="H69" s="91">
        <v>60000</v>
      </c>
      <c r="I69" s="22"/>
      <c r="J69" s="24"/>
      <c r="K69" s="22"/>
    </row>
    <row r="70" spans="1:11">
      <c r="A70" s="16"/>
      <c r="B70" s="67">
        <v>45170</v>
      </c>
      <c r="C70" s="16"/>
      <c r="D70" s="25" t="s">
        <v>271</v>
      </c>
      <c r="E70" s="22"/>
      <c r="F70" s="22"/>
      <c r="G70" s="25"/>
      <c r="H70" s="91">
        <v>114378.23</v>
      </c>
      <c r="I70" s="22"/>
      <c r="J70" s="24"/>
      <c r="K70" s="22"/>
    </row>
    <row r="71" spans="1:11">
      <c r="A71" s="16"/>
      <c r="B71" s="67">
        <v>45170</v>
      </c>
      <c r="C71" s="16"/>
      <c r="D71" s="25" t="s">
        <v>271</v>
      </c>
      <c r="E71" s="22"/>
      <c r="F71" s="22"/>
      <c r="G71" s="25"/>
      <c r="H71" s="96">
        <v>80353.66</v>
      </c>
      <c r="I71" s="22"/>
      <c r="J71" s="24"/>
      <c r="K71" s="22"/>
    </row>
    <row r="72" spans="1:11">
      <c r="A72" s="16"/>
      <c r="B72" s="67">
        <v>45170</v>
      </c>
      <c r="C72" s="16"/>
      <c r="D72" s="25" t="s">
        <v>271</v>
      </c>
      <c r="E72" s="22"/>
      <c r="F72" s="22"/>
      <c r="G72" s="25"/>
      <c r="H72" s="91">
        <v>187942.82</v>
      </c>
      <c r="I72" s="22"/>
      <c r="J72" s="24"/>
      <c r="K72" s="22"/>
    </row>
    <row r="73" spans="1:11">
      <c r="A73" s="16"/>
      <c r="B73" s="67">
        <v>45170</v>
      </c>
      <c r="C73" s="16"/>
      <c r="D73" s="25" t="s">
        <v>271</v>
      </c>
      <c r="E73" s="22"/>
      <c r="F73" s="22"/>
      <c r="G73" s="25"/>
      <c r="H73" s="91">
        <v>164859.59</v>
      </c>
      <c r="I73" s="22"/>
      <c r="J73" s="24"/>
      <c r="K73" s="22"/>
    </row>
    <row r="74" spans="1:11">
      <c r="A74" s="16"/>
      <c r="B74" s="67">
        <v>45170</v>
      </c>
      <c r="C74" s="16"/>
      <c r="D74" s="25" t="s">
        <v>271</v>
      </c>
      <c r="E74" s="22"/>
      <c r="F74" s="22"/>
      <c r="G74" s="25"/>
      <c r="H74" s="96">
        <v>144479.15</v>
      </c>
      <c r="I74" s="22"/>
      <c r="J74" s="24"/>
      <c r="K74" s="22"/>
    </row>
    <row r="75" spans="1:11">
      <c r="A75" s="16"/>
      <c r="B75" s="67">
        <v>45170</v>
      </c>
      <c r="C75" s="16"/>
      <c r="D75" s="25" t="s">
        <v>271</v>
      </c>
      <c r="E75" s="22"/>
      <c r="F75" s="22"/>
      <c r="G75" s="25"/>
      <c r="H75" s="91">
        <v>108405.26</v>
      </c>
      <c r="I75" s="22"/>
      <c r="J75" s="24"/>
      <c r="K75" s="22"/>
    </row>
    <row r="76" spans="1:11">
      <c r="A76" s="16"/>
      <c r="B76" s="67">
        <v>45170</v>
      </c>
      <c r="C76" s="16"/>
      <c r="D76" s="25" t="s">
        <v>271</v>
      </c>
      <c r="E76" s="22"/>
      <c r="F76" s="22"/>
      <c r="G76" s="25"/>
      <c r="H76" s="91">
        <v>191119.33</v>
      </c>
      <c r="I76" s="22"/>
      <c r="J76" s="24"/>
      <c r="K76" s="22"/>
    </row>
    <row r="77" spans="1:11">
      <c r="A77" s="16"/>
      <c r="B77" s="67">
        <v>45170</v>
      </c>
      <c r="C77" s="16"/>
      <c r="D77" s="25" t="s">
        <v>271</v>
      </c>
      <c r="E77" s="22"/>
      <c r="F77" s="22"/>
      <c r="G77" s="25"/>
      <c r="H77" s="91">
        <v>79353.66</v>
      </c>
      <c r="I77" s="22"/>
      <c r="J77" s="24"/>
      <c r="K77" s="22"/>
    </row>
    <row r="78" spans="1:11">
      <c r="A78" s="16"/>
      <c r="B78" s="67">
        <v>45170</v>
      </c>
      <c r="C78" s="16"/>
      <c r="D78" s="25" t="s">
        <v>271</v>
      </c>
      <c r="E78" s="22"/>
      <c r="F78" s="22"/>
      <c r="G78" s="25"/>
      <c r="H78" s="91">
        <v>390860.52</v>
      </c>
      <c r="I78" s="22"/>
      <c r="J78" s="24"/>
      <c r="K78" s="22"/>
    </row>
    <row r="79" spans="1:11">
      <c r="A79" s="16"/>
      <c r="B79" s="67">
        <v>45170</v>
      </c>
      <c r="C79" s="16"/>
      <c r="D79" s="25" t="s">
        <v>271</v>
      </c>
      <c r="E79" s="22"/>
      <c r="F79" s="22"/>
      <c r="G79" s="25"/>
      <c r="H79" s="91">
        <v>59347.83</v>
      </c>
      <c r="I79" s="22"/>
      <c r="J79" s="24"/>
      <c r="K79" s="22"/>
    </row>
    <row r="80" spans="1:11">
      <c r="A80" s="16"/>
      <c r="B80" s="67">
        <v>45170</v>
      </c>
      <c r="C80" s="16"/>
      <c r="D80" s="25" t="s">
        <v>271</v>
      </c>
      <c r="E80" s="22"/>
      <c r="F80" s="22"/>
      <c r="G80" s="25"/>
      <c r="H80" s="91">
        <v>207920.46</v>
      </c>
      <c r="I80" s="22"/>
      <c r="J80" s="24"/>
      <c r="K80" s="22"/>
    </row>
    <row r="81" spans="1:11">
      <c r="A81" s="16"/>
      <c r="B81" s="67">
        <v>45170</v>
      </c>
      <c r="C81" s="16"/>
      <c r="D81" s="25" t="s">
        <v>271</v>
      </c>
      <c r="E81" s="22"/>
      <c r="F81" s="22"/>
      <c r="G81" s="25"/>
      <c r="H81" s="91">
        <v>152000</v>
      </c>
      <c r="I81" s="22"/>
      <c r="J81" s="24"/>
      <c r="K81" s="22"/>
    </row>
    <row r="82" spans="1:11">
      <c r="A82" s="16"/>
      <c r="B82" s="67">
        <v>45170</v>
      </c>
      <c r="C82" s="16"/>
      <c r="D82" s="25" t="s">
        <v>271</v>
      </c>
      <c r="E82" s="22"/>
      <c r="F82" s="22"/>
      <c r="G82" s="25"/>
      <c r="H82" s="91">
        <v>30000</v>
      </c>
      <c r="I82" s="22"/>
      <c r="J82" s="24"/>
      <c r="K82" s="22"/>
    </row>
    <row r="83" spans="1:11">
      <c r="A83" s="16"/>
      <c r="B83" s="67">
        <v>45200</v>
      </c>
      <c r="C83" s="16"/>
      <c r="D83" s="25" t="s">
        <v>271</v>
      </c>
      <c r="E83" s="22"/>
      <c r="F83" s="22"/>
      <c r="G83" s="25"/>
      <c r="H83" s="91">
        <v>393137</v>
      </c>
      <c r="I83" s="22"/>
      <c r="J83" s="24"/>
      <c r="K83" s="22"/>
    </row>
    <row r="84" spans="1:11">
      <c r="A84" s="16"/>
      <c r="B84" s="67">
        <v>45200</v>
      </c>
      <c r="C84" s="16"/>
      <c r="D84" s="25" t="s">
        <v>271</v>
      </c>
      <c r="E84" s="22"/>
      <c r="F84" s="22"/>
      <c r="G84" s="25"/>
      <c r="H84" s="91">
        <v>144479.15</v>
      </c>
      <c r="I84" s="22"/>
      <c r="J84" s="24"/>
      <c r="K84" s="22"/>
    </row>
    <row r="85" spans="1:11">
      <c r="A85" s="16"/>
      <c r="B85" s="67">
        <v>45200</v>
      </c>
      <c r="C85" s="16"/>
      <c r="D85" s="25" t="s">
        <v>271</v>
      </c>
      <c r="E85" s="22"/>
      <c r="F85" s="22"/>
      <c r="G85" s="25"/>
      <c r="H85" s="91">
        <v>228207.66</v>
      </c>
      <c r="I85" s="22"/>
      <c r="J85" s="24"/>
      <c r="K85" s="22"/>
    </row>
    <row r="86" spans="1:11">
      <c r="A86" s="16"/>
      <c r="B86" s="67">
        <v>45200</v>
      </c>
      <c r="C86" s="16"/>
      <c r="D86" s="25" t="s">
        <v>271</v>
      </c>
      <c r="E86" s="22"/>
      <c r="F86" s="22"/>
      <c r="G86" s="25"/>
      <c r="H86" s="91">
        <v>102815.62</v>
      </c>
      <c r="I86" s="22"/>
      <c r="J86" s="24"/>
      <c r="K86" s="22"/>
    </row>
    <row r="87" spans="1:11">
      <c r="A87" s="16"/>
      <c r="B87" s="67">
        <v>45200</v>
      </c>
      <c r="C87" s="16"/>
      <c r="D87" s="25" t="s">
        <v>271</v>
      </c>
      <c r="E87" s="22"/>
      <c r="F87" s="22"/>
      <c r="G87" s="25"/>
      <c r="H87" s="91">
        <v>24353.66</v>
      </c>
      <c r="I87" s="22"/>
      <c r="J87" s="24"/>
      <c r="K87" s="22"/>
    </row>
    <row r="88" spans="1:11">
      <c r="A88" s="16"/>
      <c r="B88" s="67">
        <v>45200</v>
      </c>
      <c r="C88" s="16"/>
      <c r="D88" s="25" t="s">
        <v>271</v>
      </c>
      <c r="E88" s="22"/>
      <c r="F88" s="22"/>
      <c r="G88" s="25"/>
      <c r="H88" s="91">
        <v>96378.23</v>
      </c>
      <c r="I88" s="22"/>
      <c r="J88" s="24"/>
      <c r="K88" s="22"/>
    </row>
    <row r="89" spans="1:11">
      <c r="A89" s="16"/>
      <c r="B89" s="67">
        <v>45200</v>
      </c>
      <c r="C89" s="16"/>
      <c r="D89" s="25" t="s">
        <v>271</v>
      </c>
      <c r="E89" s="22"/>
      <c r="F89" s="22"/>
      <c r="G89" s="25"/>
      <c r="H89" s="91">
        <v>80353.66</v>
      </c>
      <c r="I89" s="22"/>
      <c r="J89" s="24"/>
      <c r="K89" s="22"/>
    </row>
    <row r="90" spans="1:11">
      <c r="A90" s="16"/>
      <c r="B90" s="67">
        <v>45200</v>
      </c>
      <c r="C90" s="16"/>
      <c r="D90" s="25" t="s">
        <v>271</v>
      </c>
      <c r="E90" s="22"/>
      <c r="F90" s="22"/>
      <c r="G90" s="25"/>
      <c r="H90" s="91">
        <v>168523.14</v>
      </c>
      <c r="I90" s="22"/>
      <c r="J90" s="24"/>
      <c r="K90" s="22"/>
    </row>
    <row r="91" spans="1:11">
      <c r="A91" s="16"/>
      <c r="B91" s="67">
        <v>45200</v>
      </c>
      <c r="C91" s="16"/>
      <c r="D91" s="25" t="s">
        <v>271</v>
      </c>
      <c r="E91" s="22"/>
      <c r="F91" s="22"/>
      <c r="G91" s="25"/>
      <c r="H91" s="91">
        <v>30000</v>
      </c>
      <c r="I91" s="22"/>
      <c r="J91" s="24"/>
      <c r="K91" s="22"/>
    </row>
    <row r="92" spans="1:11">
      <c r="A92" s="16"/>
      <c r="B92" s="67">
        <v>45200</v>
      </c>
      <c r="C92" s="16"/>
      <c r="D92" s="25" t="s">
        <v>271</v>
      </c>
      <c r="E92" s="22"/>
      <c r="F92" s="22"/>
      <c r="G92" s="25"/>
      <c r="H92" s="91">
        <v>60000</v>
      </c>
      <c r="I92" s="22"/>
      <c r="J92" s="24"/>
      <c r="K92" s="22"/>
    </row>
    <row r="93" spans="1:11">
      <c r="A93" s="16"/>
      <c r="B93" s="67">
        <v>45200</v>
      </c>
      <c r="C93" s="16"/>
      <c r="D93" s="25" t="s">
        <v>271</v>
      </c>
      <c r="E93" s="22"/>
      <c r="F93" s="22"/>
      <c r="G93" s="25"/>
      <c r="H93" s="91">
        <v>152000</v>
      </c>
      <c r="I93" s="22"/>
      <c r="J93" s="24"/>
      <c r="K93" s="22"/>
    </row>
    <row r="94" spans="1:11">
      <c r="A94" s="16"/>
      <c r="B94" s="67">
        <v>45200</v>
      </c>
      <c r="C94" s="16"/>
      <c r="D94" s="25" t="s">
        <v>271</v>
      </c>
      <c r="E94" s="22"/>
      <c r="F94" s="22"/>
      <c r="G94" s="25"/>
      <c r="H94" s="91">
        <v>36088.33</v>
      </c>
      <c r="I94" s="22"/>
      <c r="J94" s="24"/>
      <c r="K94" s="22"/>
    </row>
    <row r="95" spans="1:11">
      <c r="A95" s="16"/>
      <c r="B95" s="67">
        <v>45200</v>
      </c>
      <c r="C95" s="16"/>
      <c r="D95" s="25" t="s">
        <v>271</v>
      </c>
      <c r="E95" s="22"/>
      <c r="F95" s="22"/>
      <c r="G95" s="25"/>
      <c r="H95" s="91">
        <v>43185.64</v>
      </c>
      <c r="I95" s="22"/>
      <c r="J95" s="24"/>
      <c r="K95" s="22"/>
    </row>
    <row r="96" spans="1:11">
      <c r="A96" s="16"/>
      <c r="B96" s="67">
        <v>45237</v>
      </c>
      <c r="C96" s="16"/>
      <c r="D96" s="25" t="s">
        <v>271</v>
      </c>
      <c r="E96" s="22"/>
      <c r="F96" s="22"/>
      <c r="G96" s="25"/>
      <c r="H96" s="91">
        <v>99378.23</v>
      </c>
      <c r="I96" s="22"/>
      <c r="J96" s="24"/>
      <c r="K96" s="22"/>
    </row>
    <row r="97" spans="1:11">
      <c r="A97" s="16"/>
      <c r="B97" s="67">
        <v>45237</v>
      </c>
      <c r="C97" s="16"/>
      <c r="D97" s="25" t="s">
        <v>271</v>
      </c>
      <c r="E97" s="22"/>
      <c r="F97" s="22"/>
      <c r="G97" s="25"/>
      <c r="H97" s="96">
        <v>80353.66</v>
      </c>
      <c r="I97" s="22"/>
      <c r="J97" s="24"/>
      <c r="K97" s="22"/>
    </row>
    <row r="98" spans="1:11">
      <c r="A98" s="16"/>
      <c r="B98" s="67">
        <v>45237</v>
      </c>
      <c r="C98" s="16"/>
      <c r="D98" s="25" t="s">
        <v>271</v>
      </c>
      <c r="E98" s="22"/>
      <c r="F98" s="22"/>
      <c r="G98" s="25"/>
      <c r="H98" s="91">
        <v>17635.939999999999</v>
      </c>
      <c r="I98" s="22"/>
      <c r="J98" s="24"/>
      <c r="K98" s="22"/>
    </row>
    <row r="99" spans="1:11">
      <c r="A99" s="16"/>
      <c r="B99" s="67">
        <v>45237</v>
      </c>
      <c r="C99" s="16"/>
      <c r="D99" s="25" t="s">
        <v>271</v>
      </c>
      <c r="E99" s="22"/>
      <c r="F99" s="22"/>
      <c r="G99" s="25"/>
      <c r="H99" s="91">
        <v>20353.66</v>
      </c>
      <c r="I99" s="22"/>
      <c r="J99" s="24"/>
      <c r="K99" s="22"/>
    </row>
    <row r="100" spans="1:11">
      <c r="A100" s="16"/>
      <c r="B100" s="67">
        <v>45237</v>
      </c>
      <c r="C100" s="16"/>
      <c r="D100" s="25" t="s">
        <v>271</v>
      </c>
      <c r="E100" s="22"/>
      <c r="F100" s="22"/>
      <c r="G100" s="25"/>
      <c r="H100" s="91">
        <v>168523.14</v>
      </c>
      <c r="I100" s="22"/>
      <c r="J100" s="24"/>
      <c r="K100" s="22"/>
    </row>
    <row r="101" spans="1:11">
      <c r="A101" s="16"/>
      <c r="B101" s="67">
        <v>45237</v>
      </c>
      <c r="C101" s="16"/>
      <c r="D101" s="25" t="s">
        <v>271</v>
      </c>
      <c r="E101" s="22"/>
      <c r="F101" s="22"/>
      <c r="G101" s="25"/>
      <c r="H101" s="91">
        <v>159963.42000000001</v>
      </c>
      <c r="I101" s="22"/>
      <c r="J101" s="24"/>
      <c r="K101" s="22"/>
    </row>
    <row r="102" spans="1:11">
      <c r="A102" s="16"/>
      <c r="B102" s="67">
        <v>45237</v>
      </c>
      <c r="C102" s="16"/>
      <c r="D102" s="25" t="s">
        <v>271</v>
      </c>
      <c r="E102" s="22"/>
      <c r="F102" s="22"/>
      <c r="G102" s="25"/>
      <c r="H102" s="91">
        <v>228207.66</v>
      </c>
      <c r="I102" s="22"/>
      <c r="J102" s="24"/>
      <c r="K102" s="22"/>
    </row>
    <row r="103" spans="1:11">
      <c r="A103" s="16"/>
      <c r="B103" s="67">
        <v>45237</v>
      </c>
      <c r="C103" s="16"/>
      <c r="D103" s="25" t="s">
        <v>271</v>
      </c>
      <c r="E103" s="22"/>
      <c r="F103" s="22"/>
      <c r="G103" s="25"/>
      <c r="H103" s="96">
        <v>3500</v>
      </c>
      <c r="I103" s="22"/>
      <c r="J103" s="24"/>
      <c r="K103" s="22"/>
    </row>
    <row r="104" spans="1:11">
      <c r="A104" s="16"/>
      <c r="B104" s="67">
        <v>45243</v>
      </c>
      <c r="C104" s="16"/>
      <c r="D104" s="25" t="s">
        <v>271</v>
      </c>
      <c r="E104" s="22"/>
      <c r="F104" s="22"/>
      <c r="G104" s="25"/>
      <c r="H104" s="91">
        <v>60000</v>
      </c>
      <c r="I104" s="22"/>
      <c r="J104" s="24"/>
      <c r="K104" s="22"/>
    </row>
    <row r="105" spans="1:11">
      <c r="A105" s="16"/>
      <c r="B105" s="67">
        <v>45243</v>
      </c>
      <c r="C105" s="16"/>
      <c r="D105" s="25" t="s">
        <v>271</v>
      </c>
      <c r="E105" s="22"/>
      <c r="F105" s="22"/>
      <c r="G105" s="25"/>
      <c r="H105" s="91">
        <v>152000</v>
      </c>
      <c r="I105" s="22"/>
      <c r="J105" s="24"/>
      <c r="K105" s="22"/>
    </row>
    <row r="106" spans="1:11">
      <c r="A106" s="16"/>
      <c r="B106" s="67">
        <v>45243</v>
      </c>
      <c r="C106" s="16"/>
      <c r="D106" s="25" t="s">
        <v>271</v>
      </c>
      <c r="E106" s="22"/>
      <c r="F106" s="22"/>
      <c r="G106" s="25"/>
      <c r="H106" s="91">
        <v>30000</v>
      </c>
      <c r="I106" s="22"/>
      <c r="J106" s="24"/>
      <c r="K106" s="22"/>
    </row>
    <row r="107" spans="1:11">
      <c r="A107" s="16"/>
      <c r="B107" s="67">
        <v>45261</v>
      </c>
      <c r="C107" s="16"/>
      <c r="D107" s="25" t="s">
        <v>271</v>
      </c>
      <c r="E107" s="22"/>
      <c r="F107" s="22"/>
      <c r="G107" s="25"/>
      <c r="H107" s="91">
        <v>63694.06</v>
      </c>
      <c r="I107" s="22"/>
      <c r="J107" s="24"/>
      <c r="K107" s="22"/>
    </row>
    <row r="108" spans="1:11">
      <c r="A108" s="16"/>
      <c r="B108" s="67">
        <v>45261</v>
      </c>
      <c r="C108" s="16"/>
      <c r="D108" s="25" t="s">
        <v>271</v>
      </c>
      <c r="E108" s="22"/>
      <c r="F108" s="22"/>
      <c r="G108" s="25"/>
      <c r="H108" s="91">
        <v>53612.07</v>
      </c>
      <c r="I108" s="22"/>
      <c r="J108" s="24"/>
      <c r="K108" s="22"/>
    </row>
    <row r="109" spans="1:11">
      <c r="A109" s="16"/>
      <c r="B109" s="67">
        <v>45261</v>
      </c>
      <c r="C109" s="16"/>
      <c r="D109" s="25" t="s">
        <v>271</v>
      </c>
      <c r="E109" s="22"/>
      <c r="F109" s="22"/>
      <c r="G109" s="25"/>
      <c r="H109" s="91">
        <v>97090.67</v>
      </c>
      <c r="I109" s="22"/>
      <c r="J109" s="24"/>
      <c r="K109" s="22"/>
    </row>
    <row r="110" spans="1:11">
      <c r="A110" s="16"/>
      <c r="B110" s="67">
        <v>45261</v>
      </c>
      <c r="C110" s="16"/>
      <c r="D110" s="25" t="s">
        <v>271</v>
      </c>
      <c r="E110" s="22"/>
      <c r="F110" s="22"/>
      <c r="G110" s="25"/>
      <c r="H110" s="91">
        <v>130867.38</v>
      </c>
      <c r="I110" s="22"/>
      <c r="J110" s="24"/>
      <c r="K110" s="22"/>
    </row>
    <row r="111" spans="1:11">
      <c r="A111" s="16"/>
      <c r="B111" s="67">
        <v>45261</v>
      </c>
      <c r="C111" s="16"/>
      <c r="D111" s="25" t="s">
        <v>271</v>
      </c>
      <c r="E111" s="22"/>
      <c r="F111" s="22"/>
      <c r="G111" s="25"/>
      <c r="H111" s="91">
        <v>99378.23</v>
      </c>
      <c r="I111" s="22"/>
      <c r="J111" s="24"/>
      <c r="K111" s="22"/>
    </row>
    <row r="112" spans="1:11">
      <c r="A112" s="16"/>
      <c r="B112" s="67">
        <v>45261</v>
      </c>
      <c r="C112" s="16"/>
      <c r="D112" s="25" t="s">
        <v>271</v>
      </c>
      <c r="E112" s="22"/>
      <c r="F112" s="22"/>
      <c r="G112" s="25"/>
      <c r="H112" s="91">
        <v>30000</v>
      </c>
      <c r="I112" s="22"/>
      <c r="J112" s="24"/>
      <c r="K112" s="22"/>
    </row>
    <row r="113" spans="1:11">
      <c r="A113" s="16"/>
      <c r="B113" s="67">
        <v>45261</v>
      </c>
      <c r="C113" s="16"/>
      <c r="D113" s="25" t="s">
        <v>271</v>
      </c>
      <c r="E113" s="22"/>
      <c r="F113" s="22"/>
      <c r="G113" s="25"/>
      <c r="H113" s="91">
        <v>152000</v>
      </c>
      <c r="I113" s="22"/>
      <c r="J113" s="24"/>
      <c r="K113" s="22"/>
    </row>
    <row r="114" spans="1:11">
      <c r="A114" s="16"/>
      <c r="B114" s="67">
        <v>45261</v>
      </c>
      <c r="C114" s="16"/>
      <c r="D114" s="25" t="s">
        <v>271</v>
      </c>
      <c r="E114" s="22"/>
      <c r="F114" s="22"/>
      <c r="G114" s="25"/>
      <c r="H114" s="91">
        <v>49502.91</v>
      </c>
      <c r="I114" s="22"/>
      <c r="J114" s="24"/>
      <c r="K114" s="22"/>
    </row>
    <row r="115" spans="1:11">
      <c r="A115" s="16"/>
      <c r="B115" s="67">
        <v>45261</v>
      </c>
      <c r="C115" s="16"/>
      <c r="D115" s="25" t="s">
        <v>271</v>
      </c>
      <c r="E115" s="22"/>
      <c r="F115" s="22"/>
      <c r="G115" s="25"/>
      <c r="H115" s="91">
        <v>168523.14</v>
      </c>
      <c r="I115" s="22"/>
      <c r="J115" s="24"/>
      <c r="K115" s="22"/>
    </row>
    <row r="116" spans="1:11">
      <c r="A116" s="16"/>
      <c r="B116" s="67">
        <v>45261</v>
      </c>
      <c r="C116" s="16"/>
      <c r="D116" s="25" t="s">
        <v>271</v>
      </c>
      <c r="E116" s="22"/>
      <c r="F116" s="22"/>
      <c r="G116" s="25"/>
      <c r="H116" s="91">
        <v>45134.15</v>
      </c>
      <c r="I116" s="22"/>
      <c r="J116" s="24"/>
      <c r="K116" s="22"/>
    </row>
    <row r="117" spans="1:11">
      <c r="A117" s="16"/>
      <c r="B117" s="67">
        <v>45261</v>
      </c>
      <c r="C117" s="16"/>
      <c r="D117" s="25" t="s">
        <v>271</v>
      </c>
      <c r="E117" s="22"/>
      <c r="F117" s="22"/>
      <c r="G117" s="25"/>
      <c r="H117" s="91">
        <v>159963.42000000001</v>
      </c>
      <c r="I117" s="22"/>
      <c r="J117" s="24"/>
      <c r="K117" s="22"/>
    </row>
    <row r="118" spans="1:11">
      <c r="A118" s="16"/>
      <c r="B118" s="67">
        <v>45261</v>
      </c>
      <c r="C118" s="16"/>
      <c r="D118" s="25" t="s">
        <v>271</v>
      </c>
      <c r="E118" s="22"/>
      <c r="F118" s="22"/>
      <c r="G118" s="25"/>
      <c r="H118" s="91">
        <v>249561.58</v>
      </c>
      <c r="I118" s="22"/>
      <c r="J118" s="24"/>
      <c r="K118" s="22"/>
    </row>
    <row r="119" spans="1:11">
      <c r="A119" s="16"/>
      <c r="B119" s="67">
        <v>45261</v>
      </c>
      <c r="C119" s="16"/>
      <c r="D119" s="25" t="s">
        <v>271</v>
      </c>
      <c r="E119" s="22"/>
      <c r="F119" s="22"/>
      <c r="G119" s="25"/>
      <c r="H119" s="91">
        <v>60000</v>
      </c>
      <c r="I119" s="22"/>
      <c r="J119" s="24"/>
      <c r="K119" s="22"/>
    </row>
    <row r="120" spans="1:11">
      <c r="A120" s="16"/>
      <c r="B120" s="67">
        <v>45284</v>
      </c>
      <c r="C120" s="16"/>
      <c r="D120" s="25" t="s">
        <v>271</v>
      </c>
      <c r="E120" s="22"/>
      <c r="F120" s="22"/>
      <c r="G120" s="25"/>
      <c r="H120" s="91">
        <v>249561.58</v>
      </c>
      <c r="I120" s="22"/>
      <c r="J120" s="24"/>
      <c r="K120" s="22"/>
    </row>
    <row r="121" spans="1:11">
      <c r="A121" s="16"/>
      <c r="B121" s="67">
        <v>45284</v>
      </c>
      <c r="C121" s="16"/>
      <c r="D121" s="25" t="s">
        <v>271</v>
      </c>
      <c r="E121" s="22"/>
      <c r="F121" s="22"/>
      <c r="G121" s="25"/>
      <c r="H121" s="91">
        <v>159963.42000000001</v>
      </c>
      <c r="I121" s="22"/>
      <c r="J121" s="24"/>
      <c r="K121" s="22"/>
    </row>
    <row r="122" spans="1:11">
      <c r="A122" s="16"/>
      <c r="B122" s="67">
        <v>45284</v>
      </c>
      <c r="C122" s="16"/>
      <c r="D122" s="25" t="s">
        <v>271</v>
      </c>
      <c r="E122" s="22"/>
      <c r="F122" s="22"/>
      <c r="G122" s="25"/>
      <c r="H122" s="91">
        <v>118451.56</v>
      </c>
      <c r="I122" s="22"/>
      <c r="J122" s="24"/>
      <c r="K122" s="22"/>
    </row>
    <row r="123" spans="1:11">
      <c r="A123" s="16"/>
      <c r="B123" s="67">
        <v>45284</v>
      </c>
      <c r="C123" s="16"/>
      <c r="D123" s="25" t="s">
        <v>271</v>
      </c>
      <c r="E123" s="22"/>
      <c r="F123" s="22"/>
      <c r="G123" s="25"/>
      <c r="H123" s="91">
        <v>168523.14</v>
      </c>
      <c r="I123" s="22"/>
      <c r="J123" s="24"/>
      <c r="K123" s="22"/>
    </row>
    <row r="124" spans="1:11">
      <c r="A124" s="16"/>
      <c r="B124" s="67">
        <v>45284</v>
      </c>
      <c r="C124" s="16"/>
      <c r="D124" s="25" t="s">
        <v>271</v>
      </c>
      <c r="E124" s="22"/>
      <c r="F124" s="22"/>
      <c r="G124" s="25"/>
      <c r="H124" s="91">
        <v>83961.83</v>
      </c>
      <c r="I124" s="22"/>
      <c r="J124" s="24"/>
      <c r="K124" s="22"/>
    </row>
    <row r="125" spans="1:11">
      <c r="A125" s="16"/>
      <c r="B125" s="67">
        <v>45284</v>
      </c>
      <c r="C125" s="16"/>
      <c r="D125" s="25" t="s">
        <v>271</v>
      </c>
      <c r="F125" s="22"/>
      <c r="G125" s="25"/>
      <c r="H125" s="91">
        <v>98090.67</v>
      </c>
      <c r="I125" s="22"/>
      <c r="J125" s="24">
        <f>SUM(J85:J88)</f>
        <v>0</v>
      </c>
      <c r="K125" s="22"/>
    </row>
    <row r="126" spans="1:11">
      <c r="A126" s="16"/>
      <c r="B126" s="67">
        <v>45284</v>
      </c>
      <c r="C126" s="16"/>
      <c r="D126" s="25" t="s">
        <v>271</v>
      </c>
      <c r="E126" s="22"/>
      <c r="F126" s="22"/>
      <c r="G126" s="25"/>
      <c r="H126" s="91">
        <v>99378.23</v>
      </c>
      <c r="I126" s="22"/>
      <c r="J126" s="24"/>
      <c r="K126" s="22"/>
    </row>
    <row r="127" spans="1:11">
      <c r="A127" s="16"/>
      <c r="B127" s="67">
        <v>45284</v>
      </c>
      <c r="C127" s="16"/>
      <c r="D127" s="25" t="s">
        <v>271</v>
      </c>
      <c r="E127" s="22"/>
      <c r="F127" s="22"/>
      <c r="G127" s="25"/>
      <c r="H127" s="91">
        <v>100090.67</v>
      </c>
      <c r="I127" s="22"/>
      <c r="J127" s="24"/>
      <c r="K127" s="22"/>
    </row>
    <row r="128" spans="1:11">
      <c r="A128" s="16"/>
      <c r="B128" s="67">
        <v>45284</v>
      </c>
      <c r="C128" s="16"/>
      <c r="D128" s="25" t="s">
        <v>271</v>
      </c>
      <c r="E128" s="22"/>
      <c r="F128" s="22"/>
      <c r="G128" s="25"/>
      <c r="H128" s="91">
        <v>20000</v>
      </c>
      <c r="I128" s="22"/>
      <c r="J128" s="24"/>
      <c r="K128" s="22"/>
    </row>
    <row r="129" spans="1:11">
      <c r="A129" s="16"/>
      <c r="B129" s="67">
        <v>45284</v>
      </c>
      <c r="C129" s="16"/>
      <c r="D129" s="25" t="s">
        <v>271</v>
      </c>
      <c r="E129" s="22"/>
      <c r="F129" s="22"/>
      <c r="G129" s="25"/>
      <c r="H129" s="91">
        <v>20000</v>
      </c>
      <c r="I129" s="22"/>
      <c r="J129" s="24"/>
      <c r="K129" s="22"/>
    </row>
    <row r="130" spans="1:11">
      <c r="A130" s="16"/>
      <c r="B130" s="67">
        <v>45284</v>
      </c>
      <c r="C130" s="16"/>
      <c r="D130" s="25" t="s">
        <v>271</v>
      </c>
      <c r="E130" s="22"/>
      <c r="F130" s="22"/>
      <c r="G130" s="25"/>
      <c r="H130" s="91">
        <v>20000</v>
      </c>
      <c r="I130" s="22"/>
      <c r="J130" s="24"/>
      <c r="K130" s="22"/>
    </row>
    <row r="131" spans="1:11">
      <c r="A131" s="16"/>
      <c r="B131" s="67">
        <v>45284</v>
      </c>
      <c r="C131" s="16"/>
      <c r="D131" s="25" t="s">
        <v>271</v>
      </c>
      <c r="E131" s="22"/>
      <c r="F131" s="22"/>
      <c r="G131" s="25"/>
      <c r="H131" s="91">
        <v>20000</v>
      </c>
      <c r="I131" s="22"/>
      <c r="J131" s="24"/>
      <c r="K131" s="22"/>
    </row>
    <row r="132" spans="1:11">
      <c r="A132" s="16"/>
      <c r="B132" s="67">
        <v>45284</v>
      </c>
      <c r="C132" s="16"/>
      <c r="D132" s="25" t="s">
        <v>271</v>
      </c>
      <c r="E132" s="22"/>
      <c r="F132" s="22"/>
      <c r="G132" s="25"/>
      <c r="H132" s="91">
        <v>20000</v>
      </c>
      <c r="I132" s="22"/>
      <c r="J132" s="24"/>
      <c r="K132" s="22"/>
    </row>
    <row r="133" spans="1:11">
      <c r="A133" s="16"/>
      <c r="B133" s="67">
        <v>45284</v>
      </c>
      <c r="C133" s="16"/>
      <c r="D133" s="25" t="s">
        <v>271</v>
      </c>
      <c r="E133" s="22"/>
      <c r="F133" s="22"/>
      <c r="G133" s="25"/>
      <c r="H133" s="91">
        <v>30000</v>
      </c>
      <c r="I133" s="22"/>
      <c r="J133" s="24"/>
      <c r="K133" s="22"/>
    </row>
    <row r="134" spans="1:11">
      <c r="A134" s="16"/>
      <c r="B134" s="67">
        <v>45284</v>
      </c>
      <c r="C134" s="16"/>
      <c r="D134" s="25" t="s">
        <v>271</v>
      </c>
      <c r="E134" s="22"/>
      <c r="F134" s="22"/>
      <c r="G134" s="25"/>
      <c r="H134" s="91">
        <v>60000</v>
      </c>
      <c r="I134" s="22"/>
      <c r="J134" s="24"/>
      <c r="K134" s="22"/>
    </row>
    <row r="135" spans="1:11">
      <c r="A135" s="16"/>
      <c r="B135" s="67">
        <v>45284</v>
      </c>
      <c r="C135" s="16"/>
      <c r="D135" s="25" t="s">
        <v>271</v>
      </c>
      <c r="E135" s="22"/>
      <c r="F135" s="22"/>
      <c r="G135" s="25"/>
      <c r="H135" s="91">
        <v>152000</v>
      </c>
      <c r="I135" s="22"/>
      <c r="J135" s="24"/>
      <c r="K135" s="22"/>
    </row>
    <row r="136" spans="1:11">
      <c r="A136" s="114"/>
      <c r="B136" s="115"/>
      <c r="C136" s="114"/>
      <c r="D136" s="116"/>
      <c r="E136" s="22" t="s">
        <v>57</v>
      </c>
      <c r="F136" s="117"/>
      <c r="G136" s="116"/>
      <c r="H136" s="118">
        <f>SUM(H4:H135)</f>
        <v>46900191.079999939</v>
      </c>
      <c r="I136" s="117"/>
      <c r="J136" s="119"/>
      <c r="K136" s="117"/>
    </row>
    <row r="137" spans="1:11">
      <c r="A137" s="16"/>
      <c r="B137" s="21"/>
      <c r="C137" s="16"/>
      <c r="D137" s="25"/>
      <c r="E137" s="22"/>
      <c r="F137" s="22"/>
      <c r="G137" s="25"/>
      <c r="H137" s="92"/>
      <c r="I137" s="22"/>
      <c r="J137" s="24"/>
      <c r="K137" s="22"/>
    </row>
    <row r="138" spans="1:11">
      <c r="A138" s="16"/>
      <c r="B138" s="21"/>
      <c r="C138" s="16"/>
      <c r="D138" s="25"/>
      <c r="E138" s="22"/>
      <c r="F138" s="22"/>
      <c r="G138" s="25"/>
      <c r="H138" s="92"/>
      <c r="I138" s="22"/>
      <c r="J138" s="24"/>
      <c r="K138" s="22"/>
    </row>
    <row r="139" spans="1:11">
      <c r="A139" s="16"/>
      <c r="B139" s="21"/>
      <c r="C139" s="16"/>
      <c r="D139" s="25"/>
      <c r="E139" s="22"/>
      <c r="F139" s="22"/>
      <c r="G139" s="25"/>
      <c r="H139" s="92"/>
      <c r="I139" s="22"/>
      <c r="J139" s="24"/>
      <c r="K139" s="22"/>
    </row>
    <row r="140" spans="1:11">
      <c r="A140" s="16"/>
      <c r="B140" s="21"/>
      <c r="C140" s="16"/>
      <c r="D140" s="25"/>
      <c r="E140" s="22"/>
      <c r="F140" s="22"/>
      <c r="G140" s="25"/>
      <c r="H140" s="92"/>
      <c r="I140" s="22"/>
      <c r="J140" s="24"/>
      <c r="K140" s="22"/>
    </row>
    <row r="141" spans="1:11">
      <c r="A141" s="16"/>
      <c r="B141" s="21"/>
      <c r="C141" s="16"/>
      <c r="D141" s="25"/>
      <c r="E141" s="22"/>
      <c r="F141" s="22"/>
      <c r="G141" s="25"/>
      <c r="H141" s="92"/>
      <c r="I141" s="22"/>
      <c r="J141" s="24"/>
      <c r="K141" s="22"/>
    </row>
    <row r="142" spans="1:11">
      <c r="A142" s="16"/>
      <c r="B142" s="21"/>
      <c r="C142" s="16"/>
      <c r="D142" s="25"/>
      <c r="E142" s="22"/>
      <c r="F142" s="22"/>
      <c r="G142" s="25"/>
      <c r="H142" s="92"/>
      <c r="I142" s="22"/>
      <c r="J142" s="24"/>
      <c r="K142" s="22"/>
    </row>
    <row r="143" spans="1:11">
      <c r="A143" s="16"/>
      <c r="B143" s="21"/>
      <c r="C143" s="16"/>
      <c r="D143" s="25"/>
      <c r="E143" s="22"/>
      <c r="F143" s="22"/>
      <c r="G143" s="25"/>
      <c r="H143" s="92"/>
      <c r="I143" s="22"/>
      <c r="J143" s="24"/>
      <c r="K143" s="22"/>
    </row>
    <row r="144" spans="1:11">
      <c r="A144" s="16"/>
      <c r="B144" s="21"/>
      <c r="C144" s="16"/>
      <c r="D144" s="25"/>
      <c r="E144" s="22"/>
      <c r="F144" s="22"/>
      <c r="G144" s="25"/>
      <c r="H144" s="92"/>
      <c r="I144" s="22"/>
      <c r="J144" s="24"/>
      <c r="K144" s="22"/>
    </row>
    <row r="145" spans="1:11">
      <c r="A145" s="16"/>
      <c r="B145" s="21"/>
      <c r="C145" s="16"/>
      <c r="D145" s="25"/>
      <c r="E145" s="22"/>
      <c r="F145" s="22"/>
      <c r="G145" s="25"/>
      <c r="H145" s="92"/>
      <c r="I145" s="22"/>
      <c r="J145" s="24"/>
      <c r="K145" s="22"/>
    </row>
    <row r="146" spans="1:11">
      <c r="A146" s="16"/>
      <c r="B146" s="21"/>
      <c r="C146" s="16"/>
      <c r="D146" s="25"/>
      <c r="E146" s="22"/>
      <c r="F146" s="22"/>
      <c r="G146" s="25"/>
      <c r="H146" s="92"/>
      <c r="I146" s="22"/>
      <c r="J146" s="24"/>
      <c r="K146" s="22"/>
    </row>
    <row r="147" spans="1:11">
      <c r="A147" s="16"/>
      <c r="B147" s="21"/>
      <c r="C147" s="16"/>
      <c r="D147" s="25"/>
      <c r="E147" s="22"/>
      <c r="F147" s="22"/>
      <c r="G147" s="25"/>
      <c r="H147" s="92"/>
      <c r="I147" s="22"/>
      <c r="J147" s="24"/>
      <c r="K147" s="22"/>
    </row>
    <row r="148" spans="1:11">
      <c r="A148" s="16"/>
      <c r="B148" s="21"/>
      <c r="C148" s="16"/>
      <c r="D148" s="25"/>
      <c r="E148" s="22"/>
      <c r="F148" s="22"/>
      <c r="G148" s="25"/>
      <c r="H148" s="92"/>
      <c r="I148" s="22"/>
      <c r="J148" s="24"/>
      <c r="K148" s="22"/>
    </row>
    <row r="149" spans="1:11">
      <c r="A149" s="16"/>
      <c r="B149" s="21"/>
      <c r="C149" s="16"/>
      <c r="D149" s="25"/>
      <c r="E149" s="22"/>
      <c r="F149" s="22"/>
      <c r="G149" s="25"/>
      <c r="H149" s="92"/>
      <c r="I149" s="22"/>
      <c r="J149" s="24"/>
      <c r="K149" s="22"/>
    </row>
    <row r="150" spans="1:11">
      <c r="A150" s="16"/>
      <c r="B150" s="21"/>
      <c r="C150" s="16"/>
      <c r="D150" s="25"/>
      <c r="E150" s="22"/>
      <c r="F150" s="22"/>
      <c r="G150" s="25"/>
      <c r="H150" s="92"/>
      <c r="I150" s="22"/>
      <c r="J150" s="24"/>
      <c r="K150" s="22"/>
    </row>
    <row r="151" spans="1:11">
      <c r="A151" s="16"/>
      <c r="B151" s="21"/>
      <c r="C151" s="16"/>
      <c r="D151" s="25"/>
      <c r="E151" s="22"/>
      <c r="F151" s="22"/>
      <c r="G151" s="25"/>
      <c r="H151" s="92"/>
      <c r="I151" s="22"/>
      <c r="J151" s="24"/>
      <c r="K151" s="22"/>
    </row>
    <row r="152" spans="1:11">
      <c r="A152" s="16"/>
      <c r="B152" s="21"/>
      <c r="C152" s="16"/>
      <c r="D152" s="25"/>
      <c r="E152" s="22"/>
      <c r="F152" s="22"/>
      <c r="G152" s="25"/>
      <c r="H152" s="92"/>
      <c r="I152" s="22"/>
      <c r="J152" s="24"/>
      <c r="K152" s="22"/>
    </row>
    <row r="153" spans="1:11">
      <c r="A153" s="16"/>
      <c r="B153" s="21"/>
      <c r="C153" s="16"/>
      <c r="D153" s="25"/>
      <c r="E153" s="22"/>
      <c r="F153" s="22"/>
      <c r="G153" s="25"/>
      <c r="H153" s="92"/>
      <c r="I153" s="22"/>
      <c r="J153" s="24"/>
      <c r="K153" s="22"/>
    </row>
    <row r="154" spans="1:11">
      <c r="A154" s="16"/>
      <c r="B154" s="21"/>
      <c r="C154" s="16"/>
      <c r="D154" s="25"/>
      <c r="E154" s="22"/>
      <c r="F154" s="22"/>
      <c r="G154" s="25"/>
      <c r="H154" s="92"/>
      <c r="I154" s="22"/>
      <c r="J154" s="24"/>
      <c r="K154" s="22"/>
    </row>
    <row r="155" spans="1:11">
      <c r="A155" s="16"/>
      <c r="B155" s="21"/>
      <c r="C155" s="16"/>
      <c r="D155" s="25"/>
      <c r="E155" s="22"/>
      <c r="F155" s="22"/>
      <c r="G155" s="25"/>
      <c r="H155" s="92"/>
      <c r="I155" s="22"/>
      <c r="J155" s="24"/>
      <c r="K155" s="22"/>
    </row>
    <row r="156" spans="1:11">
      <c r="A156" s="16"/>
      <c r="B156" s="21"/>
      <c r="C156" s="16"/>
      <c r="D156" s="25"/>
      <c r="E156" s="22"/>
      <c r="F156" s="22"/>
      <c r="G156" s="25"/>
      <c r="H156" s="92"/>
      <c r="I156" s="22"/>
      <c r="J156" s="24"/>
      <c r="K156" s="22"/>
    </row>
    <row r="157" spans="1:11">
      <c r="A157" s="16"/>
      <c r="B157" s="21"/>
      <c r="C157" s="16"/>
      <c r="D157" s="25"/>
      <c r="E157" s="22"/>
      <c r="F157" s="22"/>
      <c r="G157" s="25"/>
      <c r="H157" s="92"/>
      <c r="I157" s="22"/>
      <c r="J157" s="24"/>
      <c r="K157" s="22"/>
    </row>
    <row r="158" spans="1:11">
      <c r="A158" s="16"/>
      <c r="B158" s="21"/>
      <c r="C158" s="16"/>
      <c r="D158" s="25"/>
      <c r="E158" s="22"/>
      <c r="F158" s="22"/>
      <c r="G158" s="25"/>
      <c r="H158" s="92"/>
      <c r="I158" s="22"/>
      <c r="J158" s="24"/>
      <c r="K158" s="22"/>
    </row>
    <row r="159" spans="1:11">
      <c r="A159" s="16"/>
      <c r="B159" s="21"/>
      <c r="C159" s="16"/>
      <c r="D159" s="25"/>
      <c r="E159" s="22"/>
      <c r="F159" s="22"/>
      <c r="G159" s="25"/>
      <c r="H159" s="92"/>
      <c r="I159" s="22"/>
      <c r="J159" s="24"/>
      <c r="K159" s="22"/>
    </row>
    <row r="160" spans="1:11">
      <c r="A160" s="16"/>
      <c r="B160" s="21"/>
      <c r="C160" s="16"/>
      <c r="D160" s="25"/>
      <c r="E160" s="22"/>
      <c r="F160" s="22"/>
      <c r="G160" s="25"/>
      <c r="H160" s="92"/>
      <c r="I160" s="22"/>
      <c r="J160" s="24"/>
      <c r="K160" s="22"/>
    </row>
    <row r="161" spans="1:11">
      <c r="A161" s="16"/>
      <c r="B161" s="21"/>
      <c r="C161" s="16"/>
      <c r="D161" s="25"/>
      <c r="E161" s="22"/>
      <c r="F161" s="22"/>
      <c r="G161" s="25"/>
      <c r="H161" s="92"/>
      <c r="I161" s="22"/>
      <c r="J161" s="24"/>
      <c r="K161" s="22"/>
    </row>
    <row r="162" spans="1:11">
      <c r="A162" s="16"/>
      <c r="B162" s="21"/>
      <c r="C162" s="16"/>
      <c r="D162" s="25"/>
      <c r="E162" s="22"/>
      <c r="F162" s="22"/>
      <c r="G162" s="25"/>
      <c r="H162" s="92"/>
      <c r="I162" s="22"/>
      <c r="J162" s="24"/>
      <c r="K162" s="22"/>
    </row>
    <row r="163" spans="1:11">
      <c r="A163" s="16"/>
      <c r="B163" s="21"/>
      <c r="C163" s="16"/>
      <c r="D163" s="25"/>
      <c r="E163" s="22"/>
      <c r="F163" s="22"/>
      <c r="G163" s="25"/>
      <c r="H163" s="92"/>
      <c r="I163" s="22"/>
      <c r="J163" s="24"/>
      <c r="K163" s="22"/>
    </row>
    <row r="164" spans="1:11">
      <c r="A164" s="16"/>
      <c r="B164" s="21"/>
      <c r="C164" s="16"/>
      <c r="D164" s="25"/>
      <c r="E164" s="22"/>
      <c r="F164" s="22"/>
      <c r="G164" s="25"/>
      <c r="H164" s="92"/>
      <c r="I164" s="22"/>
      <c r="J164" s="24"/>
      <c r="K164" s="22"/>
    </row>
    <row r="165" spans="1:11">
      <c r="A165" s="16"/>
      <c r="B165" s="21"/>
      <c r="C165" s="16"/>
      <c r="D165" s="25"/>
      <c r="E165" s="22"/>
      <c r="F165" s="22"/>
      <c r="G165" s="25"/>
      <c r="H165" s="92"/>
      <c r="I165" s="22"/>
      <c r="J165" s="24"/>
      <c r="K165" s="22"/>
    </row>
    <row r="166" spans="1:11">
      <c r="A166" s="16"/>
      <c r="B166" s="21"/>
      <c r="C166" s="16"/>
      <c r="D166" s="25"/>
      <c r="E166" s="22"/>
      <c r="F166" s="22"/>
      <c r="G166" s="25"/>
      <c r="H166" s="92"/>
      <c r="I166" s="22"/>
      <c r="J166" s="24"/>
      <c r="K166" s="22"/>
    </row>
    <row r="167" spans="1:11">
      <c r="A167" s="16"/>
      <c r="B167" s="21"/>
      <c r="C167" s="16"/>
      <c r="D167" s="25"/>
      <c r="E167" s="22"/>
      <c r="F167" s="22"/>
      <c r="G167" s="25"/>
      <c r="H167" s="92"/>
      <c r="I167" s="22"/>
      <c r="J167" s="24"/>
      <c r="K167" s="22"/>
    </row>
    <row r="168" spans="1:11">
      <c r="A168" s="16"/>
      <c r="B168" s="21"/>
      <c r="C168" s="16"/>
      <c r="D168" s="25"/>
      <c r="E168" s="22"/>
      <c r="F168" s="22"/>
      <c r="G168" s="25"/>
      <c r="H168" s="92"/>
      <c r="I168" s="22"/>
      <c r="J168" s="24"/>
      <c r="K168" s="22"/>
    </row>
    <row r="169" spans="1:11">
      <c r="A169" s="16"/>
      <c r="B169" s="21"/>
      <c r="C169" s="16"/>
      <c r="D169" s="25"/>
      <c r="E169" s="22"/>
      <c r="F169" s="22"/>
      <c r="G169" s="25"/>
      <c r="H169" s="92"/>
      <c r="I169" s="22"/>
      <c r="J169" s="24"/>
      <c r="K169" s="22"/>
    </row>
    <row r="170" spans="1:11">
      <c r="A170" s="16"/>
      <c r="B170" s="21"/>
      <c r="C170" s="16"/>
      <c r="D170" s="25"/>
      <c r="E170" s="22"/>
      <c r="F170" s="22"/>
      <c r="G170" s="25"/>
      <c r="H170" s="92"/>
      <c r="I170" s="22"/>
      <c r="J170" s="24"/>
      <c r="K170" s="22"/>
    </row>
    <row r="171" spans="1:11">
      <c r="A171" s="16"/>
      <c r="B171" s="21"/>
      <c r="C171" s="16"/>
      <c r="D171" s="25"/>
      <c r="E171" s="22"/>
      <c r="F171" s="22"/>
      <c r="G171" s="25"/>
      <c r="H171" s="92"/>
      <c r="I171" s="22"/>
      <c r="J171" s="24"/>
      <c r="K171" s="22"/>
    </row>
    <row r="172" spans="1:11">
      <c r="A172" s="16"/>
      <c r="B172" s="21"/>
      <c r="C172" s="16"/>
      <c r="D172" s="25"/>
      <c r="E172" s="22"/>
      <c r="F172" s="22"/>
      <c r="G172" s="25"/>
      <c r="H172" s="92"/>
      <c r="I172" s="22"/>
      <c r="J172" s="24"/>
      <c r="K172" s="22"/>
    </row>
    <row r="173" spans="1:11">
      <c r="A173" s="16"/>
      <c r="B173" s="21"/>
      <c r="C173" s="16"/>
      <c r="D173" s="25"/>
      <c r="E173" s="22"/>
      <c r="F173" s="22"/>
      <c r="G173" s="25"/>
      <c r="H173" s="92"/>
      <c r="I173" s="22"/>
      <c r="J173" s="24"/>
      <c r="K173" s="22"/>
    </row>
    <row r="174" spans="1:11">
      <c r="A174" s="16"/>
      <c r="B174" s="21"/>
      <c r="C174" s="16"/>
      <c r="D174" s="25"/>
      <c r="E174" s="22"/>
      <c r="F174" s="22"/>
      <c r="G174" s="25"/>
      <c r="H174" s="92"/>
      <c r="I174" s="22"/>
      <c r="J174" s="24"/>
      <c r="K174" s="22"/>
    </row>
    <row r="175" spans="1:11">
      <c r="A175" s="16"/>
      <c r="B175" s="21"/>
      <c r="C175" s="16"/>
      <c r="D175" s="25"/>
      <c r="E175" s="22"/>
      <c r="F175" s="22"/>
      <c r="G175" s="25"/>
      <c r="H175" s="92"/>
      <c r="I175" s="22"/>
      <c r="J175" s="24"/>
      <c r="K175" s="22"/>
    </row>
    <row r="176" spans="1:11">
      <c r="A176" s="16"/>
      <c r="B176" s="21"/>
      <c r="C176" s="16"/>
      <c r="D176" s="25"/>
      <c r="E176" s="22"/>
      <c r="F176" s="22"/>
      <c r="G176" s="25"/>
      <c r="H176" s="92"/>
      <c r="I176" s="22"/>
      <c r="J176" s="24"/>
      <c r="K176" s="22"/>
    </row>
    <row r="177" spans="1:11">
      <c r="A177" s="16"/>
      <c r="B177" s="21"/>
      <c r="C177" s="16"/>
      <c r="D177" s="25"/>
      <c r="E177" s="22"/>
      <c r="F177" s="22"/>
      <c r="G177" s="25"/>
      <c r="H177" s="92"/>
      <c r="I177" s="22"/>
      <c r="J177" s="24"/>
      <c r="K177" s="22"/>
    </row>
    <row r="178" spans="1:11">
      <c r="A178" s="16"/>
      <c r="B178" s="21"/>
      <c r="C178" s="16"/>
      <c r="D178" s="25"/>
      <c r="E178" s="22"/>
      <c r="F178" s="22"/>
      <c r="G178" s="25"/>
      <c r="H178" s="92"/>
      <c r="I178" s="22"/>
      <c r="J178" s="24"/>
      <c r="K178" s="22"/>
    </row>
    <row r="179" spans="1:11">
      <c r="A179" s="16"/>
      <c r="B179" s="21"/>
      <c r="C179" s="16"/>
      <c r="D179" s="25"/>
      <c r="E179" s="22"/>
      <c r="F179" s="22"/>
      <c r="G179" s="25"/>
      <c r="H179" s="92"/>
      <c r="I179" s="22"/>
      <c r="J179" s="24"/>
      <c r="K179" s="22"/>
    </row>
    <row r="180" spans="1:11">
      <c r="A180" s="16"/>
      <c r="B180" s="21"/>
      <c r="C180" s="16"/>
      <c r="D180" s="25"/>
      <c r="E180" s="22"/>
      <c r="F180" s="22"/>
      <c r="G180" s="25"/>
      <c r="H180" s="92"/>
      <c r="I180" s="22"/>
      <c r="J180" s="24"/>
      <c r="K180" s="22"/>
    </row>
    <row r="181" spans="1:11">
      <c r="A181" s="16"/>
      <c r="B181" s="21"/>
      <c r="C181" s="16"/>
      <c r="D181" s="25"/>
      <c r="E181" s="22"/>
      <c r="F181" s="22"/>
      <c r="G181" s="25"/>
      <c r="H181" s="92"/>
      <c r="I181" s="22"/>
      <c r="J181" s="24"/>
      <c r="K181" s="22"/>
    </row>
    <row r="182" spans="1:11">
      <c r="A182" s="16"/>
      <c r="B182" s="21"/>
      <c r="C182" s="16"/>
      <c r="D182" s="25"/>
      <c r="E182" s="22"/>
      <c r="F182" s="22"/>
      <c r="G182" s="25"/>
      <c r="H182" s="92"/>
      <c r="I182" s="22"/>
      <c r="J182" s="24"/>
      <c r="K182" s="22"/>
    </row>
    <row r="183" spans="1:11">
      <c r="A183" s="16"/>
      <c r="B183" s="21"/>
      <c r="C183" s="16"/>
      <c r="D183" s="25"/>
      <c r="E183" s="22"/>
      <c r="F183" s="22"/>
      <c r="G183" s="25"/>
      <c r="H183" s="92"/>
      <c r="I183" s="22"/>
      <c r="J183" s="24"/>
      <c r="K183" s="22"/>
    </row>
    <row r="184" spans="1:11">
      <c r="A184" s="16"/>
      <c r="B184" s="21"/>
      <c r="C184" s="16"/>
      <c r="D184" s="25"/>
      <c r="E184" s="22"/>
      <c r="F184" s="22"/>
      <c r="G184" s="25"/>
      <c r="H184" s="92"/>
      <c r="I184" s="22"/>
      <c r="J184" s="24"/>
      <c r="K184" s="22"/>
    </row>
    <row r="185" spans="1:11">
      <c r="A185" s="16"/>
      <c r="B185" s="21"/>
      <c r="C185" s="16"/>
      <c r="D185" s="25"/>
      <c r="E185" s="22"/>
      <c r="F185" s="22"/>
      <c r="G185" s="25"/>
      <c r="H185" s="92"/>
      <c r="I185" s="22"/>
      <c r="J185" s="24"/>
      <c r="K185" s="22"/>
    </row>
    <row r="186" spans="1:11">
      <c r="A186" s="16"/>
      <c r="B186" s="21"/>
      <c r="C186" s="16"/>
      <c r="D186" s="25"/>
      <c r="E186" s="22"/>
      <c r="F186" s="22"/>
      <c r="G186" s="25"/>
      <c r="H186" s="92"/>
      <c r="I186" s="22"/>
      <c r="J186" s="24"/>
      <c r="K186" s="22"/>
    </row>
    <row r="187" spans="1:11">
      <c r="A187" s="16"/>
      <c r="B187" s="21"/>
      <c r="C187" s="16"/>
      <c r="D187" s="25"/>
      <c r="E187" s="22"/>
      <c r="F187" s="22"/>
      <c r="G187" s="25"/>
      <c r="H187" s="92"/>
      <c r="I187" s="22"/>
      <c r="J187" s="24"/>
      <c r="K187" s="22"/>
    </row>
    <row r="188" spans="1:11">
      <c r="A188" s="16"/>
      <c r="B188" s="21"/>
      <c r="C188" s="16"/>
      <c r="D188" s="25"/>
      <c r="E188" s="22"/>
      <c r="F188" s="22"/>
      <c r="G188" s="25"/>
      <c r="H188" s="92"/>
      <c r="I188" s="22"/>
      <c r="J188" s="24"/>
      <c r="K188" s="22"/>
    </row>
    <row r="189" spans="1:11">
      <c r="A189" s="16"/>
      <c r="B189" s="21"/>
      <c r="C189" s="16"/>
      <c r="D189" s="25"/>
      <c r="E189" s="22"/>
      <c r="F189" s="22"/>
      <c r="G189" s="25"/>
      <c r="H189" s="92"/>
      <c r="I189" s="22"/>
      <c r="J189" s="24"/>
      <c r="K189" s="22"/>
    </row>
    <row r="190" spans="1:11">
      <c r="A190" s="16"/>
      <c r="B190" s="21"/>
      <c r="C190" s="16"/>
      <c r="D190" s="25"/>
      <c r="E190" s="22"/>
      <c r="F190" s="22"/>
      <c r="G190" s="25"/>
      <c r="H190" s="92"/>
      <c r="I190" s="22"/>
      <c r="J190" s="24"/>
      <c r="K190" s="22"/>
    </row>
    <row r="191" spans="1:11">
      <c r="A191" s="16"/>
      <c r="B191" s="21"/>
      <c r="C191" s="16"/>
      <c r="D191" s="25"/>
      <c r="E191" s="22"/>
      <c r="F191" s="22"/>
      <c r="G191" s="25"/>
      <c r="H191" s="92"/>
      <c r="I191" s="22"/>
      <c r="J191" s="24"/>
      <c r="K191" s="22"/>
    </row>
    <row r="192" spans="1:11">
      <c r="A192" s="16"/>
      <c r="B192" s="21"/>
      <c r="C192" s="16"/>
      <c r="D192" s="25"/>
      <c r="E192" s="22"/>
      <c r="F192" s="22"/>
      <c r="G192" s="25"/>
      <c r="H192" s="92"/>
      <c r="I192" s="22"/>
      <c r="J192" s="24"/>
      <c r="K192" s="22"/>
    </row>
    <row r="193" spans="1:11">
      <c r="A193" s="16"/>
      <c r="B193" s="21"/>
      <c r="C193" s="16"/>
      <c r="D193" s="25"/>
      <c r="E193" s="22"/>
      <c r="F193" s="22"/>
      <c r="G193" s="25"/>
      <c r="H193" s="92"/>
      <c r="I193" s="22"/>
      <c r="J193" s="24"/>
      <c r="K193" s="22"/>
    </row>
    <row r="194" spans="1:11">
      <c r="A194" s="16"/>
      <c r="B194" s="21"/>
      <c r="C194" s="16"/>
      <c r="D194" s="25"/>
      <c r="E194" s="22"/>
      <c r="F194" s="22"/>
      <c r="G194" s="25"/>
      <c r="H194" s="92"/>
      <c r="I194" s="22"/>
      <c r="J194" s="24"/>
      <c r="K194" s="22"/>
    </row>
    <row r="195" spans="1:11">
      <c r="A195" s="16"/>
      <c r="B195" s="21"/>
      <c r="C195" s="16"/>
      <c r="D195" s="25"/>
      <c r="E195" s="22"/>
      <c r="F195" s="22"/>
      <c r="G195" s="25"/>
      <c r="H195" s="92"/>
      <c r="I195" s="22"/>
      <c r="J195" s="24"/>
      <c r="K195" s="22"/>
    </row>
    <row r="196" spans="1:11">
      <c r="A196" s="16"/>
      <c r="B196" s="21"/>
      <c r="C196" s="16"/>
      <c r="D196" s="25"/>
      <c r="E196" s="22"/>
      <c r="F196" s="22"/>
      <c r="G196" s="25"/>
      <c r="H196" s="92"/>
      <c r="I196" s="22"/>
      <c r="J196" s="24"/>
      <c r="K196" s="22"/>
    </row>
    <row r="197" spans="1:11">
      <c r="A197" s="16"/>
      <c r="B197" s="21"/>
      <c r="C197" s="16"/>
      <c r="D197" s="25"/>
      <c r="E197" s="22"/>
      <c r="F197" s="22"/>
      <c r="G197" s="25"/>
      <c r="H197" s="92"/>
      <c r="I197" s="22"/>
      <c r="J197" s="24"/>
      <c r="K197" s="22"/>
    </row>
    <row r="198" spans="1:11">
      <c r="A198" s="16"/>
      <c r="B198" s="21"/>
      <c r="C198" s="16"/>
      <c r="D198" s="25"/>
      <c r="E198" s="22"/>
      <c r="F198" s="22"/>
      <c r="G198" s="25"/>
      <c r="H198" s="92"/>
      <c r="I198" s="22"/>
      <c r="J198" s="24"/>
      <c r="K198" s="22"/>
    </row>
    <row r="199" spans="1:11">
      <c r="A199" s="16"/>
      <c r="B199" s="21"/>
      <c r="C199" s="16"/>
      <c r="D199" s="25"/>
      <c r="E199" s="22"/>
      <c r="F199" s="22"/>
      <c r="G199" s="25"/>
      <c r="H199" s="92"/>
      <c r="I199" s="22"/>
      <c r="J199" s="24"/>
      <c r="K199" s="22"/>
    </row>
    <row r="200" spans="1:11">
      <c r="A200" s="16"/>
      <c r="B200" s="21"/>
      <c r="C200" s="16"/>
      <c r="D200" s="25"/>
      <c r="E200" s="22"/>
      <c r="F200" s="22"/>
      <c r="G200" s="25"/>
      <c r="H200" s="92"/>
      <c r="I200" s="22"/>
      <c r="J200" s="24"/>
      <c r="K200" s="22"/>
    </row>
    <row r="201" spans="1:11">
      <c r="A201" s="16"/>
      <c r="B201" s="21"/>
      <c r="C201" s="16"/>
      <c r="D201" s="25"/>
      <c r="E201" s="22"/>
      <c r="F201" s="22"/>
      <c r="G201" s="25"/>
      <c r="H201" s="92"/>
      <c r="I201" s="22"/>
      <c r="J201" s="24"/>
      <c r="K201" s="22"/>
    </row>
    <row r="202" spans="1:11">
      <c r="A202" s="16"/>
      <c r="B202" s="21"/>
      <c r="C202" s="16"/>
      <c r="D202" s="25"/>
      <c r="E202" s="22"/>
      <c r="F202" s="22"/>
      <c r="G202" s="25"/>
      <c r="H202" s="92"/>
      <c r="I202" s="22"/>
      <c r="J202" s="24"/>
      <c r="K202" s="22"/>
    </row>
    <row r="203" spans="1:11">
      <c r="A203" s="16"/>
      <c r="B203" s="21"/>
      <c r="C203" s="16"/>
      <c r="D203" s="25"/>
      <c r="E203" s="22"/>
      <c r="F203" s="22"/>
      <c r="G203" s="25"/>
      <c r="H203" s="92"/>
      <c r="I203" s="22"/>
      <c r="J203" s="24"/>
      <c r="K203" s="22"/>
    </row>
    <row r="204" spans="1:11">
      <c r="A204" s="16"/>
      <c r="B204" s="21"/>
      <c r="C204" s="16"/>
      <c r="D204" s="25"/>
      <c r="E204" s="22"/>
      <c r="F204" s="22"/>
      <c r="G204" s="25"/>
      <c r="H204" s="92"/>
      <c r="I204" s="22"/>
      <c r="J204" s="24"/>
      <c r="K204" s="22"/>
    </row>
    <row r="205" spans="1:11">
      <c r="A205" s="16"/>
      <c r="B205" s="21"/>
      <c r="C205" s="16"/>
      <c r="D205" s="25"/>
      <c r="E205" s="22"/>
      <c r="F205" s="22"/>
      <c r="G205" s="25"/>
      <c r="H205" s="92"/>
      <c r="I205" s="22"/>
      <c r="J205" s="24"/>
      <c r="K205" s="22"/>
    </row>
    <row r="206" spans="1:11">
      <c r="A206" s="16"/>
      <c r="B206" s="21"/>
      <c r="C206" s="16"/>
      <c r="D206" s="25"/>
      <c r="E206" s="22"/>
      <c r="F206" s="22"/>
      <c r="G206" s="25"/>
      <c r="H206" s="92"/>
      <c r="I206" s="22"/>
      <c r="J206" s="24"/>
      <c r="K206" s="22"/>
    </row>
    <row r="207" spans="1:11">
      <c r="A207" s="16"/>
      <c r="B207" s="21"/>
      <c r="C207" s="16"/>
      <c r="D207" s="25"/>
      <c r="E207" s="22"/>
      <c r="F207" s="22"/>
      <c r="G207" s="25"/>
      <c r="H207" s="92"/>
      <c r="I207" s="22"/>
      <c r="J207" s="24"/>
      <c r="K207" s="22"/>
    </row>
    <row r="208" spans="1:11">
      <c r="A208" s="16"/>
      <c r="B208" s="21"/>
      <c r="C208" s="16"/>
      <c r="D208" s="25"/>
      <c r="E208" s="22"/>
      <c r="F208" s="22"/>
      <c r="G208" s="25"/>
      <c r="H208" s="92"/>
      <c r="I208" s="22"/>
      <c r="J208" s="24"/>
      <c r="K208" s="22"/>
    </row>
    <row r="209" spans="1:11">
      <c r="A209" s="16"/>
      <c r="B209" s="21"/>
      <c r="C209" s="16"/>
      <c r="D209" s="25"/>
      <c r="E209" s="22"/>
      <c r="F209" s="22"/>
      <c r="G209" s="25"/>
      <c r="H209" s="92"/>
      <c r="I209" s="22"/>
      <c r="J209" s="24"/>
      <c r="K209" s="22"/>
    </row>
    <row r="210" spans="1:11">
      <c r="A210" s="16"/>
      <c r="B210" s="21"/>
      <c r="C210" s="16"/>
      <c r="D210" s="25"/>
      <c r="E210" s="22"/>
      <c r="F210" s="22"/>
      <c r="G210" s="25"/>
      <c r="H210" s="92"/>
      <c r="I210" s="22"/>
      <c r="J210" s="24"/>
      <c r="K210" s="22"/>
    </row>
    <row r="211" spans="1:11">
      <c r="A211" s="16"/>
      <c r="B211" s="21"/>
      <c r="C211" s="16"/>
      <c r="D211" s="25"/>
      <c r="E211" s="22"/>
      <c r="F211" s="22"/>
      <c r="G211" s="25"/>
      <c r="H211" s="92"/>
      <c r="I211" s="22"/>
      <c r="J211" s="24"/>
      <c r="K211" s="22"/>
    </row>
    <row r="212" spans="1:11">
      <c r="A212" s="16"/>
      <c r="B212" s="21"/>
      <c r="C212" s="16"/>
      <c r="D212" s="25"/>
      <c r="E212" s="22"/>
      <c r="F212" s="22"/>
      <c r="G212" s="25"/>
      <c r="H212" s="92"/>
      <c r="I212" s="22"/>
      <c r="J212" s="24"/>
      <c r="K212" s="22"/>
    </row>
    <row r="213" spans="1:11">
      <c r="A213" s="16"/>
      <c r="B213" s="21"/>
      <c r="C213" s="16"/>
      <c r="D213" s="25"/>
      <c r="E213" s="22"/>
      <c r="F213" s="22"/>
      <c r="G213" s="25"/>
      <c r="H213" s="92"/>
      <c r="I213" s="22"/>
      <c r="J213" s="24"/>
      <c r="K213" s="22"/>
    </row>
    <row r="214" spans="1:11">
      <c r="A214" s="16"/>
      <c r="B214" s="21"/>
      <c r="C214" s="16"/>
      <c r="D214" s="25"/>
      <c r="E214" s="22"/>
      <c r="F214" s="22"/>
      <c r="G214" s="25"/>
      <c r="H214" s="92"/>
      <c r="I214" s="22"/>
      <c r="J214" s="24"/>
      <c r="K214" s="22"/>
    </row>
    <row r="215" spans="1:11">
      <c r="A215" s="16"/>
      <c r="B215" s="21"/>
      <c r="C215" s="16"/>
      <c r="D215" s="25"/>
      <c r="E215" s="22"/>
      <c r="F215" s="22"/>
      <c r="G215" s="25"/>
      <c r="H215" s="92"/>
      <c r="I215" s="22"/>
      <c r="J215" s="24"/>
      <c r="K215" s="22"/>
    </row>
    <row r="216" spans="1:11">
      <c r="A216" s="16"/>
      <c r="B216" s="21"/>
      <c r="C216" s="16"/>
      <c r="D216" s="25"/>
      <c r="E216" s="22"/>
      <c r="F216" s="22"/>
      <c r="G216" s="25"/>
      <c r="H216" s="92"/>
      <c r="I216" s="22"/>
      <c r="J216" s="24"/>
      <c r="K216" s="22"/>
    </row>
    <row r="217" spans="1:11">
      <c r="A217" s="16"/>
      <c r="B217" s="21"/>
      <c r="C217" s="16"/>
      <c r="D217" s="25"/>
      <c r="E217" s="22"/>
      <c r="F217" s="22"/>
      <c r="G217" s="25"/>
      <c r="H217" s="92"/>
      <c r="I217" s="22"/>
      <c r="J217" s="24"/>
      <c r="K217" s="22"/>
    </row>
    <row r="218" spans="1:11">
      <c r="A218" s="16"/>
      <c r="B218" s="21"/>
      <c r="C218" s="16"/>
      <c r="D218" s="25"/>
      <c r="E218" s="22"/>
      <c r="F218" s="22"/>
      <c r="G218" s="25"/>
      <c r="H218" s="92"/>
      <c r="I218" s="22"/>
      <c r="J218" s="24"/>
      <c r="K218" s="22"/>
    </row>
    <row r="219" spans="1:11">
      <c r="A219" s="16"/>
      <c r="B219" s="21"/>
      <c r="C219" s="16"/>
      <c r="D219" s="25"/>
      <c r="E219" s="22"/>
      <c r="F219" s="22"/>
      <c r="G219" s="25"/>
      <c r="H219" s="92"/>
      <c r="I219" s="22"/>
      <c r="J219" s="24"/>
      <c r="K219" s="22"/>
    </row>
    <row r="220" spans="1:11">
      <c r="A220" s="16"/>
      <c r="B220" s="21"/>
      <c r="C220" s="16"/>
      <c r="D220" s="25"/>
      <c r="E220" s="22"/>
      <c r="F220" s="22"/>
      <c r="G220" s="25"/>
      <c r="H220" s="92"/>
      <c r="I220" s="22"/>
      <c r="J220" s="24"/>
      <c r="K220" s="22"/>
    </row>
    <row r="221" spans="1:11">
      <c r="A221" s="16"/>
      <c r="B221" s="21"/>
      <c r="C221" s="16"/>
      <c r="D221" s="25"/>
      <c r="E221" s="22"/>
      <c r="F221" s="22"/>
      <c r="G221" s="25"/>
      <c r="H221" s="92"/>
      <c r="I221" s="22"/>
      <c r="J221" s="24"/>
      <c r="K221" s="22"/>
    </row>
    <row r="222" spans="1:11">
      <c r="A222" s="16"/>
      <c r="B222" s="21"/>
      <c r="C222" s="16"/>
      <c r="D222" s="25"/>
      <c r="E222" s="22"/>
      <c r="F222" s="22"/>
      <c r="G222" s="25"/>
      <c r="H222" s="92"/>
      <c r="I222" s="22"/>
      <c r="J222" s="24"/>
      <c r="K222" s="22"/>
    </row>
    <row r="223" spans="1:11">
      <c r="A223" s="16"/>
      <c r="B223" s="21"/>
      <c r="C223" s="16"/>
      <c r="D223" s="25"/>
      <c r="E223" s="22"/>
      <c r="F223" s="22"/>
      <c r="G223" s="25"/>
      <c r="H223" s="92"/>
      <c r="I223" s="22"/>
      <c r="J223" s="24"/>
      <c r="K223" s="22"/>
    </row>
    <row r="224" spans="1:11">
      <c r="A224" s="16"/>
      <c r="B224" s="21"/>
      <c r="C224" s="16"/>
      <c r="D224" s="25"/>
      <c r="E224" s="22"/>
      <c r="F224" s="22"/>
      <c r="G224" s="25"/>
      <c r="H224" s="92"/>
      <c r="I224" s="22"/>
      <c r="J224" s="24"/>
      <c r="K224" s="22"/>
    </row>
    <row r="225" spans="1:11">
      <c r="A225" s="16"/>
      <c r="B225" s="21"/>
      <c r="C225" s="16"/>
      <c r="D225" s="25"/>
      <c r="E225" s="22"/>
      <c r="F225" s="22"/>
      <c r="G225" s="25"/>
      <c r="H225" s="92"/>
      <c r="I225" s="22"/>
      <c r="J225" s="24"/>
      <c r="K225" s="22"/>
    </row>
    <row r="226" spans="1:11">
      <c r="A226" s="16"/>
      <c r="B226" s="21"/>
      <c r="C226" s="16"/>
      <c r="D226" s="25"/>
      <c r="E226" s="22"/>
      <c r="F226" s="22"/>
      <c r="G226" s="25"/>
      <c r="H226" s="92"/>
      <c r="I226" s="22"/>
      <c r="J226" s="24"/>
      <c r="K226" s="22"/>
    </row>
    <row r="227" spans="1:11">
      <c r="A227" s="16"/>
      <c r="B227" s="21"/>
      <c r="C227" s="16"/>
      <c r="D227" s="25"/>
      <c r="E227" s="22"/>
      <c r="F227" s="22"/>
      <c r="G227" s="25"/>
      <c r="H227" s="92"/>
      <c r="I227" s="22"/>
      <c r="J227" s="24"/>
      <c r="K227" s="22"/>
    </row>
    <row r="228" spans="1:11">
      <c r="A228" s="16"/>
      <c r="B228" s="21"/>
      <c r="C228" s="16"/>
      <c r="D228" s="25"/>
      <c r="E228" s="22"/>
      <c r="F228" s="22"/>
      <c r="G228" s="25"/>
      <c r="H228" s="92"/>
      <c r="I228" s="22"/>
      <c r="J228" s="24"/>
      <c r="K228" s="22"/>
    </row>
    <row r="229" spans="1:11">
      <c r="A229" s="16"/>
      <c r="B229" s="21"/>
      <c r="C229" s="16"/>
      <c r="D229" s="25"/>
      <c r="E229" s="22"/>
      <c r="F229" s="22"/>
      <c r="G229" s="25"/>
      <c r="H229" s="92"/>
      <c r="I229" s="22"/>
      <c r="J229" s="24"/>
      <c r="K229" s="22"/>
    </row>
    <row r="230" spans="1:11">
      <c r="A230" s="16"/>
      <c r="B230" s="21"/>
      <c r="C230" s="16"/>
      <c r="D230" s="25"/>
      <c r="E230" s="22"/>
      <c r="F230" s="22"/>
      <c r="G230" s="25"/>
      <c r="H230" s="92"/>
      <c r="I230" s="22"/>
      <c r="J230" s="24"/>
      <c r="K230" s="22"/>
    </row>
    <row r="231" spans="1:11">
      <c r="A231" s="16"/>
      <c r="B231" s="21"/>
      <c r="C231" s="16"/>
      <c r="D231" s="25"/>
      <c r="E231" s="22"/>
      <c r="F231" s="22"/>
      <c r="G231" s="25"/>
      <c r="H231" s="92"/>
      <c r="I231" s="22"/>
      <c r="J231" s="24"/>
      <c r="K231" s="22"/>
    </row>
    <row r="232" spans="1:11">
      <c r="A232" s="16"/>
      <c r="B232" s="21"/>
      <c r="C232" s="16"/>
      <c r="D232" s="25"/>
      <c r="E232" s="22"/>
      <c r="F232" s="22"/>
      <c r="G232" s="25"/>
      <c r="H232" s="92"/>
      <c r="I232" s="22"/>
      <c r="J232" s="24"/>
      <c r="K232" s="22"/>
    </row>
    <row r="233" spans="1:11">
      <c r="A233" s="16"/>
      <c r="B233" s="21"/>
      <c r="C233" s="16"/>
      <c r="D233" s="25"/>
      <c r="E233" s="22"/>
      <c r="F233" s="22"/>
      <c r="G233" s="25"/>
      <c r="H233" s="92"/>
      <c r="I233" s="22"/>
      <c r="J233" s="24"/>
      <c r="K233" s="22"/>
    </row>
    <row r="234" spans="1:11">
      <c r="A234" s="16"/>
      <c r="B234" s="21"/>
      <c r="C234" s="16"/>
      <c r="D234" s="25"/>
      <c r="E234" s="22"/>
      <c r="F234" s="22"/>
      <c r="G234" s="25"/>
      <c r="H234" s="92"/>
      <c r="I234" s="22"/>
      <c r="J234" s="24"/>
      <c r="K234" s="22"/>
    </row>
    <row r="235" spans="1:11">
      <c r="A235" s="16"/>
      <c r="B235" s="21"/>
      <c r="C235" s="16"/>
      <c r="D235" s="25"/>
      <c r="E235" s="22"/>
      <c r="F235" s="22"/>
      <c r="G235" s="25"/>
      <c r="H235" s="92"/>
      <c r="I235" s="22"/>
      <c r="J235" s="24"/>
      <c r="K235" s="22"/>
    </row>
    <row r="236" spans="1:11">
      <c r="A236" s="16"/>
      <c r="B236" s="21"/>
      <c r="C236" s="16"/>
      <c r="D236" s="25"/>
      <c r="E236" s="22"/>
      <c r="F236" s="22"/>
      <c r="G236" s="25"/>
      <c r="H236" s="92"/>
      <c r="I236" s="22"/>
      <c r="J236" s="24"/>
      <c r="K236" s="22"/>
    </row>
    <row r="237" spans="1:11">
      <c r="A237" s="16"/>
      <c r="B237" s="21"/>
      <c r="C237" s="16"/>
      <c r="D237" s="25"/>
      <c r="E237" s="22"/>
      <c r="F237" s="22"/>
      <c r="G237" s="25"/>
      <c r="H237" s="92"/>
      <c r="I237" s="22"/>
      <c r="J237" s="24"/>
      <c r="K237" s="22"/>
    </row>
    <row r="238" spans="1:11">
      <c r="A238" s="16"/>
      <c r="B238" s="21"/>
      <c r="C238" s="16"/>
      <c r="D238" s="25"/>
      <c r="E238" s="22"/>
      <c r="F238" s="22"/>
      <c r="G238" s="25"/>
      <c r="H238" s="92"/>
      <c r="I238" s="22"/>
      <c r="J238" s="24"/>
      <c r="K238" s="22"/>
    </row>
    <row r="239" spans="1:11">
      <c r="A239" s="16"/>
      <c r="B239" s="21"/>
      <c r="C239" s="16"/>
      <c r="D239" s="25"/>
      <c r="E239" s="22"/>
      <c r="F239" s="22"/>
      <c r="G239" s="25"/>
      <c r="H239" s="92"/>
      <c r="I239" s="22"/>
      <c r="J239" s="24"/>
      <c r="K239" s="22"/>
    </row>
    <row r="240" spans="1:11">
      <c r="A240" s="16"/>
      <c r="B240" s="21"/>
      <c r="C240" s="16"/>
      <c r="D240" s="25"/>
      <c r="E240" s="22"/>
      <c r="F240" s="22"/>
      <c r="G240" s="25"/>
      <c r="H240" s="92"/>
      <c r="I240" s="22"/>
      <c r="J240" s="24"/>
      <c r="K240" s="22"/>
    </row>
    <row r="241" spans="1:11">
      <c r="A241" s="16"/>
      <c r="B241" s="21"/>
      <c r="C241" s="16"/>
      <c r="D241" s="25"/>
      <c r="E241" s="22"/>
      <c r="F241" s="22"/>
      <c r="G241" s="25"/>
      <c r="H241" s="92"/>
      <c r="I241" s="22"/>
      <c r="J241" s="24"/>
      <c r="K241" s="22"/>
    </row>
    <row r="242" spans="1:11">
      <c r="A242" s="16"/>
      <c r="B242" s="21"/>
      <c r="C242" s="16"/>
      <c r="D242" s="25"/>
      <c r="E242" s="22"/>
      <c r="F242" s="22"/>
      <c r="G242" s="25"/>
      <c r="H242" s="92"/>
      <c r="I242" s="22"/>
      <c r="J242" s="24"/>
      <c r="K242" s="22"/>
    </row>
    <row r="243" spans="1:11">
      <c r="A243" s="16"/>
      <c r="B243" s="21"/>
      <c r="C243" s="16"/>
      <c r="D243" s="25"/>
      <c r="E243" s="22"/>
      <c r="F243" s="22"/>
      <c r="G243" s="25"/>
      <c r="H243" s="92"/>
      <c r="I243" s="22"/>
      <c r="J243" s="24"/>
      <c r="K243" s="22"/>
    </row>
    <row r="244" spans="1:11">
      <c r="A244" s="16"/>
      <c r="B244" s="21"/>
      <c r="C244" s="16"/>
      <c r="D244" s="25"/>
      <c r="E244" s="22"/>
      <c r="F244" s="22"/>
      <c r="G244" s="25"/>
      <c r="H244" s="92"/>
      <c r="I244" s="22"/>
      <c r="J244" s="24"/>
      <c r="K244" s="22"/>
    </row>
    <row r="245" spans="1:11">
      <c r="A245" s="16"/>
      <c r="B245" s="21"/>
      <c r="C245" s="16"/>
      <c r="D245" s="25"/>
      <c r="E245" s="22"/>
      <c r="F245" s="22"/>
      <c r="G245" s="25"/>
      <c r="H245" s="92"/>
      <c r="I245" s="22"/>
      <c r="J245" s="24"/>
      <c r="K245" s="22"/>
    </row>
    <row r="246" spans="1:11">
      <c r="A246" s="16"/>
      <c r="B246" s="21"/>
      <c r="C246" s="16"/>
      <c r="D246" s="25"/>
      <c r="E246" s="22"/>
      <c r="F246" s="22"/>
      <c r="G246" s="25"/>
      <c r="H246" s="92"/>
      <c r="I246" s="22"/>
      <c r="J246" s="24"/>
      <c r="K246" s="22"/>
    </row>
    <row r="247" spans="1:11">
      <c r="A247" s="16"/>
      <c r="B247" s="21"/>
      <c r="C247" s="16"/>
      <c r="D247" s="25"/>
      <c r="E247" s="22"/>
      <c r="F247" s="22"/>
      <c r="G247" s="25"/>
      <c r="H247" s="92"/>
      <c r="I247" s="22"/>
      <c r="J247" s="24"/>
      <c r="K247" s="22"/>
    </row>
    <row r="248" spans="1:11">
      <c r="A248" s="16"/>
      <c r="B248" s="21"/>
      <c r="C248" s="16"/>
      <c r="D248" s="25"/>
      <c r="E248" s="22"/>
      <c r="F248" s="22"/>
      <c r="G248" s="25"/>
      <c r="H248" s="92"/>
      <c r="I248" s="22"/>
      <c r="J248" s="24"/>
      <c r="K248" s="22"/>
    </row>
    <row r="249" spans="1:11">
      <c r="A249" s="16"/>
      <c r="B249" s="21"/>
      <c r="C249" s="16"/>
      <c r="D249" s="25"/>
      <c r="E249" s="22"/>
      <c r="F249" s="22"/>
      <c r="G249" s="25"/>
      <c r="H249" s="92"/>
      <c r="I249" s="22"/>
      <c r="J249" s="24"/>
      <c r="K249" s="22"/>
    </row>
    <row r="250" spans="1:11">
      <c r="A250" s="16"/>
      <c r="B250" s="21"/>
      <c r="C250" s="16"/>
      <c r="D250" s="25"/>
      <c r="E250" s="22"/>
      <c r="F250" s="22"/>
      <c r="G250" s="25"/>
      <c r="H250" s="92"/>
      <c r="I250" s="22"/>
      <c r="J250" s="24"/>
      <c r="K250" s="22"/>
    </row>
    <row r="251" spans="1:11">
      <c r="A251" s="16"/>
      <c r="B251" s="21"/>
      <c r="C251" s="16"/>
      <c r="D251" s="25"/>
      <c r="E251" s="22"/>
      <c r="F251" s="22"/>
      <c r="G251" s="25"/>
      <c r="H251" s="92"/>
      <c r="I251" s="22"/>
      <c r="J251" s="24"/>
      <c r="K251" s="22"/>
    </row>
    <row r="252" spans="1:11">
      <c r="A252" s="16"/>
      <c r="B252" s="21"/>
      <c r="C252" s="16"/>
      <c r="D252" s="25"/>
      <c r="E252" s="22"/>
      <c r="F252" s="22"/>
      <c r="G252" s="25"/>
      <c r="H252" s="92"/>
      <c r="I252" s="22"/>
      <c r="J252" s="24"/>
      <c r="K252" s="22"/>
    </row>
    <row r="253" spans="1:11">
      <c r="A253" s="16"/>
      <c r="B253" s="21"/>
      <c r="C253" s="16"/>
      <c r="D253" s="25"/>
      <c r="E253" s="22"/>
      <c r="F253" s="22"/>
      <c r="G253" s="25"/>
      <c r="H253" s="92"/>
      <c r="I253" s="22"/>
      <c r="J253" s="24"/>
      <c r="K253" s="22"/>
    </row>
    <row r="254" spans="1:11">
      <c r="A254" s="16"/>
      <c r="B254" s="21"/>
      <c r="C254" s="16"/>
      <c r="D254" s="25"/>
      <c r="E254" s="22"/>
      <c r="F254" s="22"/>
      <c r="G254" s="25"/>
      <c r="H254" s="92"/>
      <c r="I254" s="22"/>
      <c r="J254" s="24"/>
      <c r="K254" s="22"/>
    </row>
    <row r="255" spans="1:11">
      <c r="A255" s="16"/>
      <c r="B255" s="21"/>
      <c r="C255" s="16"/>
      <c r="D255" s="25"/>
      <c r="E255" s="22"/>
      <c r="F255" s="22"/>
      <c r="G255" s="25"/>
      <c r="H255" s="92"/>
      <c r="I255" s="22"/>
      <c r="J255" s="24"/>
      <c r="K255" s="22"/>
    </row>
    <row r="256" spans="1:11">
      <c r="A256" s="16"/>
      <c r="B256" s="21"/>
      <c r="C256" s="16"/>
      <c r="D256" s="25"/>
      <c r="E256" s="22"/>
      <c r="F256" s="22"/>
      <c r="G256" s="25"/>
      <c r="H256" s="92"/>
      <c r="I256" s="22"/>
      <c r="J256" s="24"/>
      <c r="K256" s="22"/>
    </row>
    <row r="257" spans="1:11">
      <c r="A257" s="16"/>
      <c r="B257" s="21"/>
      <c r="C257" s="16"/>
      <c r="D257" s="25"/>
      <c r="E257" s="22"/>
      <c r="F257" s="22"/>
      <c r="G257" s="25"/>
      <c r="H257" s="92"/>
      <c r="I257" s="22"/>
      <c r="J257" s="24"/>
      <c r="K257" s="22"/>
    </row>
    <row r="258" spans="1:11">
      <c r="A258" s="16"/>
      <c r="B258" s="21"/>
      <c r="C258" s="16"/>
      <c r="D258" s="25"/>
      <c r="E258" s="22"/>
      <c r="F258" s="22"/>
      <c r="G258" s="25"/>
      <c r="H258" s="92"/>
      <c r="I258" s="22"/>
      <c r="J258" s="24"/>
      <c r="K258" s="22"/>
    </row>
    <row r="259" spans="1:11">
      <c r="A259" s="16"/>
      <c r="B259" s="21"/>
      <c r="C259" s="16"/>
      <c r="D259" s="25"/>
      <c r="E259" s="22"/>
      <c r="F259" s="22"/>
      <c r="G259" s="25"/>
      <c r="H259" s="92"/>
      <c r="I259" s="22"/>
      <c r="J259" s="24"/>
      <c r="K259" s="22"/>
    </row>
    <row r="260" spans="1:11">
      <c r="A260" s="16"/>
      <c r="B260" s="21"/>
      <c r="C260" s="16"/>
      <c r="D260" s="25"/>
      <c r="E260" s="22"/>
      <c r="F260" s="22"/>
      <c r="G260" s="25"/>
      <c r="H260" s="92"/>
      <c r="I260" s="22"/>
      <c r="J260" s="24"/>
      <c r="K260" s="22"/>
    </row>
    <row r="261" spans="1:11">
      <c r="A261" s="16"/>
      <c r="B261" s="21"/>
      <c r="C261" s="16"/>
      <c r="D261" s="25"/>
      <c r="E261" s="22"/>
      <c r="F261" s="22"/>
      <c r="G261" s="25"/>
      <c r="H261" s="92"/>
      <c r="I261" s="22"/>
      <c r="J261" s="24"/>
      <c r="K261" s="22"/>
    </row>
    <row r="262" spans="1:11">
      <c r="A262" s="16"/>
      <c r="B262" s="21"/>
      <c r="C262" s="16"/>
      <c r="D262" s="25"/>
      <c r="E262" s="22"/>
      <c r="F262" s="22"/>
      <c r="G262" s="25"/>
      <c r="H262" s="92"/>
      <c r="I262" s="22"/>
      <c r="J262" s="24"/>
      <c r="K262" s="22"/>
    </row>
    <row r="263" spans="1:11">
      <c r="A263" s="16"/>
      <c r="B263" s="21"/>
      <c r="C263" s="16"/>
      <c r="D263" s="25"/>
      <c r="E263" s="22"/>
      <c r="F263" s="22"/>
      <c r="G263" s="25"/>
      <c r="H263" s="92"/>
      <c r="I263" s="22"/>
      <c r="J263" s="24"/>
      <c r="K263" s="22"/>
    </row>
    <row r="264" spans="1:11">
      <c r="A264" s="16"/>
      <c r="B264" s="21"/>
      <c r="C264" s="16"/>
      <c r="D264" s="25"/>
      <c r="E264" s="22"/>
      <c r="F264" s="22"/>
      <c r="G264" s="25"/>
      <c r="H264" s="92"/>
      <c r="I264" s="22"/>
      <c r="J264" s="24"/>
      <c r="K264" s="22"/>
    </row>
    <row r="265" spans="1:11">
      <c r="A265" s="16"/>
      <c r="B265" s="21"/>
      <c r="C265" s="16"/>
      <c r="D265" s="25"/>
      <c r="E265" s="22"/>
      <c r="F265" s="22"/>
      <c r="G265" s="25"/>
      <c r="H265" s="92"/>
      <c r="I265" s="22"/>
      <c r="J265" s="24"/>
      <c r="K265" s="22"/>
    </row>
    <row r="266" spans="1:11">
      <c r="A266" s="16"/>
      <c r="B266" s="21"/>
      <c r="C266" s="16"/>
      <c r="D266" s="25"/>
      <c r="E266" s="22"/>
      <c r="F266" s="22"/>
      <c r="G266" s="25"/>
      <c r="H266" s="92"/>
      <c r="I266" s="22"/>
      <c r="J266" s="24"/>
      <c r="K266" s="22"/>
    </row>
    <row r="267" spans="1:11">
      <c r="A267" s="16"/>
      <c r="B267" s="21"/>
      <c r="C267" s="16"/>
      <c r="D267" s="25"/>
      <c r="E267" s="22"/>
      <c r="F267" s="22"/>
      <c r="G267" s="25"/>
      <c r="H267" s="92"/>
      <c r="I267" s="22"/>
      <c r="J267" s="24"/>
      <c r="K267" s="22"/>
    </row>
    <row r="268" spans="1:11">
      <c r="A268" s="16"/>
      <c r="B268" s="21"/>
      <c r="C268" s="16"/>
      <c r="D268" s="25"/>
      <c r="E268" s="22"/>
      <c r="F268" s="22"/>
      <c r="G268" s="25"/>
      <c r="H268" s="92"/>
      <c r="I268" s="22"/>
      <c r="J268" s="24"/>
      <c r="K268" s="22"/>
    </row>
    <row r="269" spans="1:11">
      <c r="A269" s="16"/>
      <c r="B269" s="21"/>
      <c r="C269" s="16"/>
      <c r="D269" s="25"/>
      <c r="E269" s="22"/>
      <c r="F269" s="22"/>
      <c r="G269" s="25"/>
      <c r="H269" s="92"/>
      <c r="I269" s="22"/>
      <c r="J269" s="24"/>
      <c r="K269" s="22"/>
    </row>
    <row r="270" spans="1:11">
      <c r="A270" s="16"/>
      <c r="B270" s="21"/>
      <c r="C270" s="16"/>
      <c r="D270" s="25"/>
      <c r="E270" s="22"/>
      <c r="F270" s="22"/>
      <c r="G270" s="25"/>
      <c r="H270" s="92"/>
      <c r="I270" s="22"/>
      <c r="J270" s="24"/>
      <c r="K270" s="22"/>
    </row>
    <row r="271" spans="1:11">
      <c r="A271" s="16"/>
      <c r="B271" s="21"/>
      <c r="C271" s="16"/>
      <c r="D271" s="25"/>
      <c r="E271" s="22"/>
      <c r="F271" s="22"/>
      <c r="G271" s="25"/>
      <c r="H271" s="92"/>
      <c r="I271" s="22"/>
      <c r="J271" s="24"/>
      <c r="K271" s="22"/>
    </row>
    <row r="272" spans="1:11">
      <c r="A272" s="16"/>
      <c r="B272" s="21"/>
      <c r="C272" s="16"/>
      <c r="D272" s="25"/>
      <c r="E272" s="22"/>
      <c r="F272" s="22"/>
      <c r="G272" s="25"/>
      <c r="H272" s="92"/>
      <c r="I272" s="22"/>
      <c r="J272" s="24"/>
      <c r="K272" s="22"/>
    </row>
    <row r="273" spans="1:11">
      <c r="A273" s="16"/>
      <c r="B273" s="21"/>
      <c r="C273" s="16"/>
      <c r="D273" s="25"/>
      <c r="E273" s="22"/>
      <c r="F273" s="22"/>
      <c r="G273" s="25"/>
      <c r="H273" s="92"/>
      <c r="I273" s="22"/>
      <c r="J273" s="24"/>
      <c r="K273" s="22"/>
    </row>
    <row r="274" spans="1:11">
      <c r="A274" s="16"/>
      <c r="B274" s="21"/>
      <c r="C274" s="16"/>
      <c r="D274" s="25"/>
      <c r="E274" s="22"/>
      <c r="F274" s="22"/>
      <c r="G274" s="25"/>
      <c r="H274" s="92"/>
      <c r="I274" s="22"/>
      <c r="J274" s="24"/>
      <c r="K274" s="22"/>
    </row>
    <row r="275" spans="1:11">
      <c r="A275" s="16"/>
      <c r="B275" s="21"/>
      <c r="C275" s="16"/>
      <c r="D275" s="25"/>
      <c r="E275" s="22"/>
      <c r="F275" s="22"/>
      <c r="G275" s="25"/>
      <c r="H275" s="92"/>
      <c r="I275" s="22"/>
      <c r="J275" s="24"/>
      <c r="K275" s="22"/>
    </row>
    <row r="276" spans="1:11">
      <c r="A276" s="16"/>
      <c r="B276" s="21"/>
      <c r="C276" s="16"/>
      <c r="D276" s="25"/>
      <c r="E276" s="22"/>
      <c r="F276" s="22"/>
      <c r="G276" s="25"/>
      <c r="H276" s="92"/>
      <c r="I276" s="22"/>
      <c r="J276" s="24"/>
      <c r="K276" s="22"/>
    </row>
    <row r="277" spans="1:11">
      <c r="A277" s="16"/>
      <c r="B277" s="21"/>
      <c r="C277" s="16"/>
      <c r="D277" s="25"/>
      <c r="E277" s="22"/>
      <c r="F277" s="22"/>
      <c r="G277" s="25"/>
      <c r="H277" s="92"/>
      <c r="I277" s="22"/>
      <c r="J277" s="24"/>
      <c r="K277" s="22"/>
    </row>
    <row r="278" spans="1:11">
      <c r="A278" s="16"/>
      <c r="B278" s="21"/>
      <c r="C278" s="16"/>
      <c r="D278" s="25"/>
      <c r="E278" s="22"/>
      <c r="F278" s="22"/>
      <c r="G278" s="25"/>
      <c r="H278" s="92"/>
      <c r="I278" s="22"/>
      <c r="J278" s="24"/>
      <c r="K278" s="22"/>
    </row>
    <row r="279" spans="1:11">
      <c r="A279" s="16"/>
      <c r="B279" s="21"/>
      <c r="C279" s="16"/>
      <c r="D279" s="25"/>
      <c r="E279" s="22"/>
      <c r="F279" s="22"/>
      <c r="G279" s="25"/>
      <c r="H279" s="92"/>
      <c r="I279" s="22"/>
      <c r="J279" s="24"/>
      <c r="K279" s="22"/>
    </row>
    <row r="280" spans="1:11">
      <c r="A280" s="16"/>
      <c r="B280" s="21"/>
      <c r="C280" s="16"/>
      <c r="D280" s="25"/>
      <c r="E280" s="22"/>
      <c r="F280" s="22"/>
      <c r="G280" s="25"/>
      <c r="H280" s="92"/>
      <c r="I280" s="22"/>
      <c r="J280" s="24"/>
      <c r="K280" s="22"/>
    </row>
    <row r="281" spans="1:11">
      <c r="A281" s="16"/>
      <c r="B281" s="21"/>
      <c r="C281" s="16"/>
      <c r="D281" s="25"/>
      <c r="E281" s="22"/>
      <c r="F281" s="22"/>
      <c r="G281" s="25"/>
      <c r="H281" s="92"/>
      <c r="I281" s="22"/>
      <c r="J281" s="24"/>
      <c r="K281" s="22"/>
    </row>
    <row r="282" spans="1:11">
      <c r="A282" s="16"/>
      <c r="B282" s="21"/>
      <c r="C282" s="16"/>
      <c r="D282" s="25"/>
      <c r="E282" s="22"/>
      <c r="F282" s="22"/>
      <c r="G282" s="25"/>
      <c r="H282" s="92"/>
      <c r="I282" s="22"/>
      <c r="J282" s="24"/>
      <c r="K282" s="22"/>
    </row>
    <row r="283" spans="1:11">
      <c r="A283" s="16"/>
      <c r="B283" s="21"/>
      <c r="C283" s="16"/>
      <c r="D283" s="25"/>
      <c r="E283" s="22"/>
      <c r="F283" s="22"/>
      <c r="G283" s="25"/>
      <c r="H283" s="92"/>
      <c r="I283" s="22"/>
      <c r="J283" s="24"/>
      <c r="K283" s="22"/>
    </row>
    <row r="284" spans="1:11">
      <c r="A284" s="16"/>
      <c r="B284" s="21"/>
      <c r="C284" s="16"/>
      <c r="D284" s="25"/>
      <c r="E284" s="22"/>
      <c r="F284" s="22"/>
      <c r="G284" s="25"/>
      <c r="H284" s="92"/>
      <c r="I284" s="22"/>
      <c r="J284" s="24"/>
      <c r="K284" s="22"/>
    </row>
    <row r="285" spans="1:11">
      <c r="A285" s="16"/>
      <c r="B285" s="21"/>
      <c r="C285" s="16"/>
      <c r="D285" s="25"/>
      <c r="E285" s="22"/>
      <c r="F285" s="22"/>
      <c r="G285" s="25"/>
      <c r="H285" s="92"/>
      <c r="I285" s="22"/>
      <c r="J285" s="24"/>
      <c r="K285" s="22"/>
    </row>
    <row r="286" spans="1:11">
      <c r="A286" s="16"/>
      <c r="B286" s="21"/>
      <c r="C286" s="16"/>
      <c r="D286" s="25"/>
      <c r="E286" s="22"/>
      <c r="F286" s="22"/>
      <c r="G286" s="25"/>
      <c r="H286" s="92"/>
      <c r="I286" s="22"/>
      <c r="J286" s="24"/>
      <c r="K286" s="22"/>
    </row>
    <row r="287" spans="1:11">
      <c r="A287" s="16"/>
      <c r="B287" s="21"/>
      <c r="C287" s="16"/>
      <c r="D287" s="25"/>
      <c r="E287" s="22"/>
      <c r="F287" s="22"/>
      <c r="G287" s="25"/>
      <c r="H287" s="92"/>
      <c r="I287" s="22"/>
      <c r="J287" s="24"/>
      <c r="K287" s="22"/>
    </row>
    <row r="288" spans="1:11">
      <c r="A288" s="16"/>
      <c r="B288" s="21"/>
      <c r="C288" s="16"/>
      <c r="D288" s="25"/>
      <c r="E288" s="22"/>
      <c r="F288" s="22"/>
      <c r="G288" s="25"/>
      <c r="H288" s="92"/>
      <c r="I288" s="22"/>
      <c r="J288" s="24"/>
      <c r="K288" s="22"/>
    </row>
    <row r="289" spans="1:11">
      <c r="A289" s="16"/>
      <c r="B289" s="21"/>
      <c r="C289" s="16"/>
      <c r="D289" s="25"/>
      <c r="E289" s="22"/>
      <c r="F289" s="22"/>
      <c r="G289" s="25"/>
      <c r="H289" s="92"/>
      <c r="I289" s="22"/>
      <c r="J289" s="24"/>
      <c r="K289" s="22"/>
    </row>
    <row r="290" spans="1:11">
      <c r="A290" s="16"/>
      <c r="B290" s="21"/>
      <c r="C290" s="16"/>
      <c r="D290" s="25"/>
      <c r="E290" s="22"/>
      <c r="F290" s="22"/>
      <c r="G290" s="25"/>
      <c r="H290" s="92"/>
      <c r="I290" s="22"/>
      <c r="J290" s="24"/>
      <c r="K290" s="22"/>
    </row>
    <row r="291" spans="1:11">
      <c r="A291" s="16"/>
      <c r="B291" s="21"/>
      <c r="C291" s="16"/>
      <c r="D291" s="25"/>
      <c r="E291" s="22"/>
      <c r="F291" s="22"/>
      <c r="G291" s="25"/>
      <c r="H291" s="92"/>
      <c r="I291" s="22"/>
      <c r="J291" s="24"/>
      <c r="K291" s="22"/>
    </row>
    <row r="292" spans="1:11">
      <c r="A292" s="16"/>
      <c r="B292" s="21"/>
      <c r="C292" s="16"/>
      <c r="D292" s="25"/>
      <c r="E292" s="22"/>
      <c r="F292" s="22"/>
      <c r="G292" s="25"/>
      <c r="H292" s="92"/>
      <c r="I292" s="22"/>
      <c r="J292" s="24"/>
      <c r="K292" s="22"/>
    </row>
    <row r="293" spans="1:11">
      <c r="A293" s="16"/>
      <c r="B293" s="21"/>
      <c r="C293" s="16"/>
      <c r="D293" s="25"/>
      <c r="E293" s="22"/>
      <c r="F293" s="22"/>
      <c r="G293" s="25"/>
      <c r="H293" s="92"/>
      <c r="I293" s="22"/>
      <c r="J293" s="24"/>
      <c r="K293" s="22"/>
    </row>
    <row r="294" spans="1:11">
      <c r="A294" s="16"/>
      <c r="B294" s="21"/>
      <c r="C294" s="16"/>
      <c r="D294" s="25"/>
      <c r="E294" s="22"/>
      <c r="F294" s="22"/>
      <c r="G294" s="25"/>
      <c r="H294" s="92"/>
      <c r="I294" s="22"/>
      <c r="J294" s="24"/>
      <c r="K294" s="22"/>
    </row>
    <row r="295" spans="1:11">
      <c r="A295" s="16"/>
      <c r="B295" s="21"/>
      <c r="C295" s="16"/>
      <c r="D295" s="25"/>
      <c r="E295" s="22"/>
      <c r="F295" s="22"/>
      <c r="G295" s="25"/>
      <c r="H295" s="92"/>
      <c r="I295" s="22"/>
      <c r="J295" s="24"/>
      <c r="K295" s="22"/>
    </row>
    <row r="296" spans="1:11">
      <c r="A296" s="16"/>
      <c r="B296" s="21"/>
      <c r="C296" s="16"/>
      <c r="D296" s="25"/>
      <c r="E296" s="22"/>
      <c r="F296" s="22"/>
      <c r="G296" s="25"/>
      <c r="H296" s="92"/>
      <c r="I296" s="22"/>
      <c r="J296" s="24"/>
      <c r="K296" s="22"/>
    </row>
    <row r="297" spans="1:11">
      <c r="A297" s="16"/>
      <c r="B297" s="21"/>
      <c r="C297" s="16"/>
      <c r="D297" s="25"/>
      <c r="E297" s="22"/>
      <c r="F297" s="22"/>
      <c r="G297" s="25"/>
      <c r="H297" s="92"/>
      <c r="I297" s="22"/>
      <c r="J297" s="24"/>
      <c r="K297" s="22"/>
    </row>
    <row r="298" spans="1:11">
      <c r="A298" s="16"/>
      <c r="B298" s="21"/>
      <c r="C298" s="16"/>
      <c r="D298" s="25"/>
      <c r="E298" s="22"/>
      <c r="F298" s="22"/>
      <c r="G298" s="25"/>
      <c r="H298" s="92"/>
      <c r="I298" s="22"/>
      <c r="J298" s="24"/>
      <c r="K298" s="22"/>
    </row>
    <row r="299" spans="1:11">
      <c r="A299" s="16"/>
      <c r="B299" s="21"/>
      <c r="C299" s="16"/>
      <c r="D299" s="25"/>
      <c r="E299" s="22"/>
      <c r="F299" s="22"/>
      <c r="G299" s="25"/>
      <c r="H299" s="92"/>
      <c r="I299" s="22"/>
      <c r="J299" s="24"/>
      <c r="K299" s="22"/>
    </row>
    <row r="300" spans="1:11">
      <c r="A300" s="16"/>
      <c r="B300" s="21"/>
      <c r="C300" s="16"/>
      <c r="D300" s="25"/>
      <c r="E300" s="22"/>
      <c r="F300" s="22"/>
      <c r="G300" s="25"/>
      <c r="H300" s="92"/>
      <c r="I300" s="22"/>
      <c r="J300" s="24"/>
      <c r="K300" s="22"/>
    </row>
    <row r="301" spans="1:11">
      <c r="A301" s="16"/>
      <c r="B301" s="21"/>
      <c r="C301" s="16"/>
      <c r="D301" s="25"/>
      <c r="E301" s="22"/>
      <c r="F301" s="22"/>
      <c r="G301" s="25"/>
      <c r="H301" s="92"/>
      <c r="I301" s="22"/>
      <c r="J301" s="24"/>
      <c r="K301" s="22"/>
    </row>
    <row r="302" spans="1:11">
      <c r="A302" s="16"/>
      <c r="B302" s="21"/>
      <c r="C302" s="16"/>
      <c r="D302" s="25"/>
      <c r="E302" s="22"/>
      <c r="F302" s="22"/>
      <c r="G302" s="25"/>
      <c r="H302" s="92"/>
      <c r="I302" s="22"/>
      <c r="J302" s="24"/>
      <c r="K302" s="22"/>
    </row>
    <row r="303" spans="1:11">
      <c r="A303" s="16"/>
      <c r="B303" s="21"/>
      <c r="C303" s="16"/>
      <c r="D303" s="25"/>
      <c r="E303" s="22"/>
      <c r="F303" s="22"/>
      <c r="G303" s="25"/>
      <c r="H303" s="92"/>
      <c r="I303" s="22"/>
      <c r="J303" s="24"/>
      <c r="K303" s="22"/>
    </row>
    <row r="304" spans="1:11">
      <c r="A304" s="16"/>
      <c r="B304" s="21"/>
      <c r="C304" s="16"/>
      <c r="D304" s="25"/>
      <c r="E304" s="22"/>
      <c r="F304" s="22"/>
      <c r="G304" s="25"/>
      <c r="H304" s="92"/>
      <c r="I304" s="22"/>
      <c r="J304" s="24"/>
      <c r="K304" s="22"/>
    </row>
    <row r="305" spans="1:11">
      <c r="A305" s="16"/>
      <c r="B305" s="21"/>
      <c r="C305" s="16"/>
      <c r="D305" s="25"/>
      <c r="E305" s="22"/>
      <c r="F305" s="22"/>
      <c r="G305" s="25"/>
      <c r="H305" s="92"/>
      <c r="I305" s="22"/>
      <c r="J305" s="24"/>
      <c r="K305" s="22"/>
    </row>
    <row r="306" spans="1:11">
      <c r="A306" s="16"/>
      <c r="B306" s="21"/>
      <c r="C306" s="16"/>
      <c r="D306" s="25"/>
      <c r="E306" s="22"/>
      <c r="F306" s="22"/>
      <c r="G306" s="25"/>
      <c r="H306" s="92"/>
      <c r="I306" s="22"/>
      <c r="J306" s="24"/>
      <c r="K306" s="22"/>
    </row>
    <row r="307" spans="1:11">
      <c r="A307" s="16"/>
      <c r="B307" s="21"/>
      <c r="C307" s="16"/>
      <c r="D307" s="25"/>
      <c r="E307" s="22"/>
      <c r="F307" s="22"/>
      <c r="G307" s="25"/>
      <c r="H307" s="92"/>
      <c r="I307" s="22"/>
      <c r="J307" s="24"/>
      <c r="K307" s="22"/>
    </row>
    <row r="308" spans="1:11">
      <c r="A308" s="16"/>
      <c r="B308" s="21"/>
      <c r="C308" s="16"/>
      <c r="D308" s="25"/>
      <c r="E308" s="22"/>
      <c r="F308" s="22"/>
      <c r="G308" s="25"/>
      <c r="H308" s="92"/>
      <c r="I308" s="22"/>
      <c r="J308" s="24"/>
      <c r="K308" s="22"/>
    </row>
    <row r="309" spans="1:11">
      <c r="A309" s="16"/>
      <c r="B309" s="21"/>
      <c r="C309" s="16"/>
      <c r="D309" s="25"/>
      <c r="E309" s="22"/>
      <c r="F309" s="22"/>
      <c r="G309" s="25"/>
      <c r="H309" s="92"/>
      <c r="I309" s="22"/>
      <c r="J309" s="24"/>
      <c r="K309" s="22"/>
    </row>
    <row r="310" spans="1:11">
      <c r="A310" s="16"/>
      <c r="B310" s="21"/>
      <c r="C310" s="16"/>
      <c r="D310" s="25"/>
      <c r="E310" s="22"/>
      <c r="F310" s="22"/>
      <c r="G310" s="25"/>
      <c r="H310" s="92"/>
      <c r="I310" s="22"/>
      <c r="J310" s="24"/>
      <c r="K310" s="22"/>
    </row>
    <row r="311" spans="1:11">
      <c r="A311" s="16"/>
      <c r="B311" s="21"/>
      <c r="C311" s="16"/>
      <c r="D311" s="25"/>
      <c r="E311" s="22"/>
      <c r="F311" s="22"/>
      <c r="G311" s="25"/>
      <c r="H311" s="92"/>
      <c r="I311" s="22"/>
      <c r="J311" s="24"/>
      <c r="K311" s="22"/>
    </row>
    <row r="312" spans="1:11">
      <c r="A312" s="16"/>
      <c r="B312" s="21"/>
      <c r="C312" s="16"/>
      <c r="D312" s="25"/>
      <c r="E312" s="22"/>
      <c r="F312" s="22"/>
      <c r="G312" s="25"/>
      <c r="H312" s="92"/>
      <c r="I312" s="22"/>
      <c r="J312" s="24"/>
      <c r="K312" s="22"/>
    </row>
    <row r="313" spans="1:11">
      <c r="A313" s="16"/>
      <c r="B313" s="21"/>
      <c r="C313" s="16"/>
      <c r="D313" s="25"/>
      <c r="E313" s="22"/>
      <c r="F313" s="22"/>
      <c r="G313" s="25"/>
      <c r="H313" s="92"/>
      <c r="I313" s="22"/>
      <c r="J313" s="24"/>
      <c r="K313" s="22"/>
    </row>
    <row r="314" spans="1:11">
      <c r="A314" s="16"/>
      <c r="B314" s="21"/>
      <c r="C314" s="16"/>
      <c r="D314" s="25"/>
      <c r="E314" s="22"/>
      <c r="F314" s="22"/>
      <c r="G314" s="25"/>
      <c r="H314" s="92"/>
      <c r="I314" s="22"/>
      <c r="J314" s="24"/>
      <c r="K314" s="22"/>
    </row>
    <row r="315" spans="1:11">
      <c r="A315" s="16"/>
      <c r="B315" s="21"/>
      <c r="C315" s="16"/>
      <c r="D315" s="25"/>
      <c r="E315" s="22"/>
      <c r="F315" s="22"/>
      <c r="G315" s="25"/>
      <c r="H315" s="92"/>
      <c r="I315" s="22"/>
      <c r="J315" s="24"/>
      <c r="K315" s="22"/>
    </row>
    <row r="316" spans="1:11">
      <c r="A316" s="16"/>
      <c r="B316" s="21"/>
      <c r="C316" s="16"/>
      <c r="D316" s="25"/>
      <c r="E316" s="22"/>
      <c r="F316" s="22"/>
      <c r="G316" s="25"/>
      <c r="H316" s="92"/>
      <c r="I316" s="22"/>
      <c r="J316" s="24"/>
      <c r="K316" s="22"/>
    </row>
    <row r="317" spans="1:11">
      <c r="A317" s="16"/>
      <c r="B317" s="21"/>
      <c r="C317" s="16"/>
      <c r="D317" s="25"/>
      <c r="E317" s="22"/>
      <c r="F317" s="22"/>
      <c r="G317" s="25"/>
      <c r="H317" s="92"/>
      <c r="I317" s="22"/>
      <c r="J317" s="24"/>
      <c r="K317" s="22"/>
    </row>
    <row r="318" spans="1:11">
      <c r="A318" s="16"/>
      <c r="B318" s="21"/>
      <c r="C318" s="16"/>
      <c r="D318" s="25"/>
      <c r="E318" s="22"/>
      <c r="F318" s="22"/>
      <c r="G318" s="25"/>
      <c r="H318" s="92"/>
      <c r="I318" s="22"/>
      <c r="J318" s="24"/>
      <c r="K318" s="22"/>
    </row>
    <row r="319" spans="1:11">
      <c r="A319" s="16"/>
      <c r="B319" s="21"/>
      <c r="C319" s="16"/>
      <c r="D319" s="25"/>
      <c r="E319" s="22"/>
      <c r="F319" s="22"/>
      <c r="G319" s="25"/>
      <c r="H319" s="92"/>
      <c r="I319" s="22"/>
      <c r="J319" s="24"/>
      <c r="K319" s="22"/>
    </row>
    <row r="320" spans="1:11">
      <c r="A320" s="16"/>
      <c r="B320" s="21"/>
      <c r="C320" s="16"/>
      <c r="D320" s="25"/>
      <c r="E320" s="22"/>
      <c r="F320" s="22"/>
      <c r="G320" s="25"/>
      <c r="H320" s="92"/>
      <c r="I320" s="22"/>
      <c r="J320" s="24"/>
      <c r="K320" s="22"/>
    </row>
    <row r="321" spans="1:11">
      <c r="A321" s="16"/>
      <c r="B321" s="21"/>
      <c r="C321" s="16"/>
      <c r="D321" s="25"/>
      <c r="E321" s="22"/>
      <c r="F321" s="22"/>
      <c r="G321" s="25"/>
      <c r="H321" s="92"/>
      <c r="I321" s="22"/>
      <c r="J321" s="24"/>
      <c r="K321" s="22"/>
    </row>
    <row r="322" spans="1:11">
      <c r="A322" s="16"/>
      <c r="B322" s="21"/>
      <c r="C322" s="16"/>
      <c r="D322" s="25"/>
      <c r="E322" s="22"/>
      <c r="F322" s="22"/>
      <c r="G322" s="25"/>
      <c r="H322" s="92"/>
      <c r="I322" s="22"/>
      <c r="J322" s="24"/>
      <c r="K322" s="22"/>
    </row>
    <row r="323" spans="1:11">
      <c r="A323" s="16"/>
      <c r="B323" s="21"/>
      <c r="C323" s="16"/>
      <c r="D323" s="25"/>
      <c r="E323" s="22"/>
      <c r="F323" s="22"/>
      <c r="G323" s="25"/>
      <c r="H323" s="92"/>
      <c r="I323" s="22"/>
      <c r="J323" s="24"/>
      <c r="K323" s="22"/>
    </row>
    <row r="324" spans="1:11">
      <c r="A324" s="16"/>
      <c r="B324" s="21"/>
      <c r="C324" s="16"/>
      <c r="D324" s="25"/>
      <c r="E324" s="22"/>
      <c r="F324" s="22"/>
      <c r="G324" s="25"/>
      <c r="H324" s="92"/>
      <c r="I324" s="22"/>
      <c r="J324" s="24"/>
      <c r="K324" s="22"/>
    </row>
    <row r="325" spans="1:11">
      <c r="A325" s="16"/>
      <c r="B325" s="21"/>
      <c r="C325" s="16"/>
      <c r="D325" s="25"/>
      <c r="E325" s="22"/>
      <c r="F325" s="22"/>
      <c r="G325" s="25"/>
      <c r="H325" s="92"/>
      <c r="I325" s="22"/>
      <c r="J325" s="24"/>
      <c r="K325" s="22"/>
    </row>
    <row r="326" spans="1:11">
      <c r="A326" s="16"/>
      <c r="B326" s="21"/>
      <c r="C326" s="16"/>
      <c r="D326" s="25"/>
      <c r="E326" s="22"/>
      <c r="F326" s="22"/>
      <c r="G326" s="25"/>
      <c r="H326" s="92"/>
      <c r="I326" s="22"/>
      <c r="J326" s="24"/>
      <c r="K326" s="22"/>
    </row>
    <row r="327" spans="1:11">
      <c r="A327" s="16"/>
      <c r="B327" s="21"/>
      <c r="C327" s="16"/>
      <c r="D327" s="25"/>
      <c r="E327" s="22"/>
      <c r="F327" s="22"/>
      <c r="G327" s="25"/>
      <c r="H327" s="92"/>
      <c r="I327" s="22"/>
      <c r="J327" s="24"/>
      <c r="K327" s="22"/>
    </row>
    <row r="328" spans="1:11">
      <c r="A328" s="16"/>
      <c r="B328" s="21"/>
      <c r="C328" s="16"/>
      <c r="D328" s="25"/>
      <c r="E328" s="22"/>
      <c r="F328" s="22"/>
      <c r="G328" s="25"/>
      <c r="H328" s="92"/>
      <c r="I328" s="22"/>
      <c r="J328" s="24"/>
      <c r="K328" s="22"/>
    </row>
    <row r="329" spans="1:11">
      <c r="A329" s="16"/>
      <c r="B329" s="21"/>
      <c r="C329" s="16"/>
      <c r="D329" s="25"/>
      <c r="E329" s="22"/>
      <c r="F329" s="22"/>
      <c r="G329" s="25"/>
      <c r="H329" s="92"/>
      <c r="I329" s="22"/>
      <c r="J329" s="24"/>
      <c r="K329" s="22"/>
    </row>
    <row r="330" spans="1:11">
      <c r="A330" s="16"/>
      <c r="B330" s="21"/>
      <c r="C330" s="16"/>
      <c r="D330" s="25"/>
      <c r="E330" s="22"/>
      <c r="F330" s="22"/>
      <c r="G330" s="25"/>
      <c r="H330" s="92"/>
      <c r="I330" s="22"/>
      <c r="J330" s="24"/>
      <c r="K330" s="22"/>
    </row>
    <row r="331" spans="1:11">
      <c r="A331" s="16"/>
      <c r="B331" s="21"/>
      <c r="C331" s="16"/>
      <c r="D331" s="25"/>
      <c r="E331" s="22"/>
      <c r="F331" s="22"/>
      <c r="G331" s="25"/>
      <c r="H331" s="92"/>
      <c r="I331" s="22"/>
      <c r="J331" s="24"/>
      <c r="K331" s="22"/>
    </row>
    <row r="332" spans="1:11">
      <c r="A332" s="16"/>
      <c r="B332" s="21"/>
      <c r="C332" s="16"/>
      <c r="D332" s="25"/>
      <c r="E332" s="22"/>
      <c r="F332" s="22"/>
      <c r="G332" s="25"/>
      <c r="H332" s="92"/>
      <c r="I332" s="22"/>
      <c r="J332" s="24"/>
      <c r="K332" s="22"/>
    </row>
    <row r="333" spans="1:11">
      <c r="A333" s="16"/>
      <c r="B333" s="21"/>
      <c r="C333" s="16"/>
      <c r="D333" s="25"/>
      <c r="E333" s="22"/>
      <c r="F333" s="22"/>
      <c r="G333" s="25"/>
      <c r="H333" s="92"/>
      <c r="I333" s="22"/>
      <c r="J333" s="24"/>
      <c r="K333" s="22"/>
    </row>
    <row r="334" spans="1:11">
      <c r="A334" s="16"/>
      <c r="B334" s="21"/>
      <c r="C334" s="16"/>
      <c r="D334" s="25"/>
      <c r="E334" s="22"/>
      <c r="F334" s="22"/>
      <c r="G334" s="25"/>
      <c r="H334" s="92"/>
      <c r="I334" s="22"/>
      <c r="J334" s="24"/>
      <c r="K334" s="22"/>
    </row>
    <row r="335" spans="1:11">
      <c r="A335" s="16"/>
      <c r="B335" s="21"/>
      <c r="C335" s="16"/>
      <c r="D335" s="25"/>
      <c r="E335" s="22"/>
      <c r="F335" s="22"/>
      <c r="G335" s="25"/>
      <c r="H335" s="92"/>
      <c r="I335" s="22"/>
      <c r="J335" s="24"/>
      <c r="K335" s="22"/>
    </row>
    <row r="336" spans="1:11">
      <c r="A336" s="16"/>
      <c r="B336" s="21"/>
      <c r="C336" s="16"/>
      <c r="D336" s="25"/>
      <c r="E336" s="22"/>
      <c r="F336" s="22"/>
      <c r="G336" s="25"/>
      <c r="H336" s="92"/>
      <c r="I336" s="22"/>
      <c r="J336" s="24"/>
      <c r="K336" s="22"/>
    </row>
    <row r="337" spans="1:11">
      <c r="A337" s="16"/>
      <c r="B337" s="21"/>
      <c r="C337" s="16"/>
      <c r="D337" s="25"/>
      <c r="E337" s="22"/>
      <c r="F337" s="22"/>
      <c r="G337" s="25"/>
      <c r="H337" s="92"/>
      <c r="I337" s="22"/>
      <c r="J337" s="24"/>
      <c r="K337" s="22"/>
    </row>
    <row r="338" spans="1:11">
      <c r="A338" s="16"/>
      <c r="B338" s="21"/>
      <c r="C338" s="16"/>
      <c r="D338" s="25"/>
      <c r="E338" s="22"/>
      <c r="F338" s="22"/>
      <c r="G338" s="25"/>
      <c r="H338" s="92"/>
      <c r="I338" s="22"/>
      <c r="J338" s="24"/>
      <c r="K338" s="22"/>
    </row>
    <row r="339" spans="1:11">
      <c r="A339" s="16"/>
      <c r="B339" s="21"/>
      <c r="C339" s="16"/>
      <c r="D339" s="25"/>
      <c r="E339" s="22"/>
      <c r="F339" s="22"/>
      <c r="G339" s="25"/>
      <c r="H339" s="92"/>
      <c r="I339" s="22"/>
      <c r="J339" s="24"/>
      <c r="K339" s="22"/>
    </row>
    <row r="340" spans="1:11">
      <c r="A340" s="16"/>
      <c r="B340" s="21"/>
      <c r="C340" s="16"/>
      <c r="D340" s="25"/>
      <c r="E340" s="22"/>
      <c r="F340" s="22"/>
      <c r="G340" s="25"/>
      <c r="H340" s="92"/>
      <c r="I340" s="22"/>
      <c r="J340" s="24"/>
      <c r="K340" s="22"/>
    </row>
    <row r="341" spans="1:11">
      <c r="A341" s="16"/>
      <c r="B341" s="21"/>
      <c r="C341" s="16"/>
      <c r="D341" s="25"/>
      <c r="E341" s="22"/>
      <c r="F341" s="22"/>
      <c r="G341" s="25"/>
      <c r="H341" s="92"/>
      <c r="I341" s="22"/>
      <c r="J341" s="24"/>
      <c r="K341" s="22"/>
    </row>
    <row r="342" spans="1:11">
      <c r="A342" s="16"/>
      <c r="B342" s="21"/>
      <c r="C342" s="16"/>
      <c r="D342" s="25"/>
      <c r="E342" s="22"/>
      <c r="F342" s="22"/>
      <c r="G342" s="25"/>
      <c r="H342" s="92"/>
      <c r="I342" s="22"/>
      <c r="J342" s="24"/>
      <c r="K342" s="22"/>
    </row>
    <row r="343" spans="1:11">
      <c r="A343" s="16"/>
      <c r="B343" s="21"/>
      <c r="C343" s="16"/>
      <c r="D343" s="25"/>
      <c r="E343" s="22"/>
      <c r="F343" s="22"/>
      <c r="G343" s="25"/>
      <c r="H343" s="92"/>
      <c r="I343" s="22"/>
      <c r="J343" s="24"/>
      <c r="K343" s="22"/>
    </row>
    <row r="344" spans="1:11">
      <c r="A344" s="16"/>
      <c r="B344" s="21"/>
      <c r="C344" s="16"/>
      <c r="D344" s="25"/>
      <c r="E344" s="22"/>
      <c r="F344" s="22"/>
      <c r="G344" s="25"/>
      <c r="H344" s="92"/>
      <c r="I344" s="22"/>
      <c r="J344" s="24"/>
      <c r="K344" s="22"/>
    </row>
    <row r="345" spans="1:11">
      <c r="A345" s="16"/>
      <c r="B345" s="21"/>
      <c r="C345" s="16"/>
      <c r="D345" s="25"/>
      <c r="E345" s="22"/>
      <c r="F345" s="22"/>
      <c r="G345" s="25"/>
      <c r="H345" s="92"/>
      <c r="I345" s="22"/>
      <c r="J345" s="24"/>
      <c r="K345" s="22"/>
    </row>
    <row r="346" spans="1:11">
      <c r="A346" s="16"/>
      <c r="B346" s="21"/>
      <c r="C346" s="16"/>
      <c r="D346" s="25"/>
      <c r="E346" s="22"/>
      <c r="F346" s="22"/>
      <c r="G346" s="25"/>
      <c r="H346" s="92"/>
      <c r="I346" s="22"/>
      <c r="J346" s="24"/>
      <c r="K346" s="22"/>
    </row>
    <row r="347" spans="1:11">
      <c r="A347" s="16"/>
      <c r="B347" s="21"/>
      <c r="C347" s="16"/>
      <c r="D347" s="25"/>
      <c r="E347" s="22"/>
      <c r="F347" s="22"/>
      <c r="G347" s="25"/>
      <c r="H347" s="92"/>
      <c r="I347" s="22"/>
      <c r="J347" s="24"/>
      <c r="K347" s="22"/>
    </row>
    <row r="348" spans="1:11">
      <c r="A348" s="16"/>
      <c r="B348" s="21"/>
      <c r="C348" s="16"/>
      <c r="D348" s="25"/>
      <c r="E348" s="22"/>
      <c r="F348" s="22"/>
      <c r="G348" s="25"/>
      <c r="H348" s="92"/>
      <c r="I348" s="22"/>
      <c r="J348" s="24"/>
      <c r="K348" s="22"/>
    </row>
    <row r="349" spans="1:11">
      <c r="A349" s="16"/>
      <c r="B349" s="21"/>
      <c r="C349" s="16"/>
      <c r="D349" s="25"/>
      <c r="E349" s="22"/>
      <c r="F349" s="22"/>
      <c r="G349" s="25"/>
      <c r="H349" s="92"/>
      <c r="I349" s="22"/>
      <c r="J349" s="24"/>
      <c r="K349" s="22"/>
    </row>
    <row r="350" spans="1:11">
      <c r="A350" s="16"/>
      <c r="B350" s="21"/>
      <c r="C350" s="16"/>
      <c r="D350" s="25"/>
      <c r="E350" s="22"/>
      <c r="F350" s="22"/>
      <c r="G350" s="25"/>
      <c r="H350" s="92"/>
      <c r="I350" s="22"/>
      <c r="J350" s="24"/>
      <c r="K350" s="22"/>
    </row>
    <row r="351" spans="1:11">
      <c r="A351" s="16"/>
      <c r="B351" s="21"/>
      <c r="C351" s="16"/>
      <c r="D351" s="25"/>
      <c r="E351" s="22"/>
      <c r="F351" s="22"/>
      <c r="G351" s="25"/>
      <c r="H351" s="92"/>
      <c r="I351" s="22"/>
      <c r="J351" s="24"/>
      <c r="K351" s="22"/>
    </row>
    <row r="352" spans="1:11">
      <c r="A352" s="16"/>
      <c r="B352" s="21"/>
      <c r="C352" s="16"/>
      <c r="D352" s="25"/>
      <c r="E352" s="22"/>
      <c r="F352" s="22"/>
      <c r="G352" s="25"/>
      <c r="H352" s="92"/>
      <c r="I352" s="22"/>
      <c r="J352" s="24"/>
      <c r="K352" s="22"/>
    </row>
    <row r="353" spans="1:11">
      <c r="A353" s="16"/>
      <c r="B353" s="21"/>
      <c r="C353" s="16"/>
      <c r="D353" s="25"/>
      <c r="E353" s="22"/>
      <c r="F353" s="22"/>
      <c r="G353" s="25"/>
      <c r="H353" s="92"/>
      <c r="I353" s="22"/>
      <c r="J353" s="24"/>
      <c r="K353" s="22"/>
    </row>
    <row r="354" spans="1:11">
      <c r="A354" s="16"/>
      <c r="B354" s="21"/>
      <c r="C354" s="16"/>
      <c r="D354" s="25"/>
      <c r="E354" s="22"/>
      <c r="F354" s="22"/>
      <c r="G354" s="25"/>
      <c r="H354" s="92"/>
      <c r="I354" s="22"/>
      <c r="J354" s="24"/>
      <c r="K354" s="22"/>
    </row>
    <row r="355" spans="1:11">
      <c r="A355" s="16"/>
      <c r="B355" s="21"/>
      <c r="C355" s="16"/>
      <c r="D355" s="25"/>
      <c r="E355" s="22"/>
      <c r="F355" s="22"/>
      <c r="G355" s="25"/>
      <c r="H355" s="92"/>
      <c r="I355" s="22"/>
      <c r="J355" s="24"/>
      <c r="K355" s="22"/>
    </row>
    <row r="356" spans="1:11">
      <c r="A356" s="16"/>
      <c r="B356" s="21"/>
      <c r="C356" s="16"/>
      <c r="D356" s="25"/>
      <c r="E356" s="22"/>
      <c r="F356" s="22"/>
      <c r="G356" s="25"/>
      <c r="H356" s="92"/>
      <c r="I356" s="22"/>
      <c r="J356" s="24"/>
      <c r="K356" s="22"/>
    </row>
    <row r="357" spans="1:11">
      <c r="A357" s="16"/>
      <c r="B357" s="21"/>
      <c r="C357" s="16"/>
      <c r="D357" s="25"/>
      <c r="E357" s="22"/>
      <c r="F357" s="22"/>
      <c r="G357" s="25"/>
      <c r="H357" s="92"/>
      <c r="I357" s="22"/>
      <c r="J357" s="24"/>
      <c r="K357" s="22"/>
    </row>
    <row r="358" spans="1:11">
      <c r="A358" s="16"/>
      <c r="B358" s="21"/>
      <c r="C358" s="16"/>
      <c r="D358" s="25"/>
      <c r="E358" s="22"/>
      <c r="F358" s="22"/>
      <c r="G358" s="25"/>
      <c r="H358" s="92"/>
      <c r="I358" s="22"/>
      <c r="J358" s="24"/>
      <c r="K358" s="22"/>
    </row>
    <row r="359" spans="1:11">
      <c r="A359" s="16"/>
      <c r="B359" s="21"/>
      <c r="C359" s="16"/>
      <c r="D359" s="25"/>
      <c r="E359" s="22"/>
      <c r="F359" s="22"/>
      <c r="G359" s="25"/>
      <c r="H359" s="92"/>
      <c r="I359" s="22"/>
      <c r="J359" s="24"/>
      <c r="K359" s="22"/>
    </row>
    <row r="360" spans="1:11">
      <c r="A360" s="16"/>
      <c r="B360" s="21"/>
      <c r="C360" s="16"/>
      <c r="D360" s="25"/>
      <c r="E360" s="22"/>
      <c r="F360" s="22"/>
      <c r="G360" s="25"/>
      <c r="H360" s="92"/>
      <c r="I360" s="22"/>
      <c r="J360" s="24"/>
      <c r="K360" s="22"/>
    </row>
    <row r="361" spans="1:11">
      <c r="A361" s="16"/>
      <c r="B361" s="21"/>
      <c r="C361" s="16"/>
      <c r="D361" s="25"/>
      <c r="E361" s="22"/>
      <c r="F361" s="22"/>
      <c r="G361" s="25"/>
      <c r="H361" s="92"/>
      <c r="I361" s="22"/>
      <c r="J361" s="24"/>
      <c r="K361" s="22"/>
    </row>
    <row r="362" spans="1:11">
      <c r="A362" s="16"/>
      <c r="B362" s="21"/>
      <c r="C362" s="16"/>
      <c r="D362" s="25"/>
      <c r="E362" s="22"/>
      <c r="F362" s="22"/>
      <c r="G362" s="25"/>
      <c r="H362" s="92"/>
      <c r="I362" s="22"/>
      <c r="J362" s="24"/>
      <c r="K362" s="22"/>
    </row>
    <row r="363" spans="1:11">
      <c r="A363" s="16"/>
      <c r="B363" s="21"/>
      <c r="C363" s="16"/>
      <c r="D363" s="25"/>
      <c r="E363" s="22"/>
      <c r="F363" s="22"/>
      <c r="G363" s="25"/>
      <c r="H363" s="92"/>
      <c r="I363" s="22"/>
      <c r="J363" s="24"/>
      <c r="K363" s="22"/>
    </row>
    <row r="364" spans="1:11">
      <c r="A364" s="16"/>
      <c r="B364" s="21"/>
      <c r="C364" s="16"/>
      <c r="D364" s="25"/>
      <c r="E364" s="22"/>
      <c r="F364" s="22"/>
      <c r="G364" s="25"/>
      <c r="H364" s="92"/>
      <c r="I364" s="22"/>
      <c r="J364" s="24"/>
      <c r="K364" s="22"/>
    </row>
    <row r="365" spans="1:11">
      <c r="A365" s="16"/>
      <c r="B365" s="21"/>
      <c r="C365" s="16"/>
      <c r="D365" s="25"/>
      <c r="E365" s="22"/>
      <c r="F365" s="22"/>
      <c r="G365" s="25"/>
      <c r="H365" s="92"/>
      <c r="I365" s="22"/>
      <c r="J365" s="24"/>
      <c r="K365" s="22"/>
    </row>
    <row r="366" spans="1:11">
      <c r="A366" s="16"/>
      <c r="B366" s="21"/>
      <c r="C366" s="16"/>
      <c r="D366" s="25"/>
      <c r="E366" s="22"/>
      <c r="F366" s="22"/>
      <c r="G366" s="25"/>
      <c r="H366" s="92"/>
      <c r="I366" s="22"/>
      <c r="J366" s="24"/>
      <c r="K366" s="22"/>
    </row>
    <row r="367" spans="1:11">
      <c r="A367" s="16"/>
      <c r="B367" s="21"/>
      <c r="C367" s="16"/>
      <c r="D367" s="25"/>
      <c r="E367" s="22"/>
      <c r="F367" s="22"/>
      <c r="G367" s="25"/>
      <c r="H367" s="92"/>
      <c r="I367" s="22"/>
      <c r="J367" s="24"/>
      <c r="K367" s="22"/>
    </row>
    <row r="368" spans="1:11">
      <c r="A368" s="16"/>
      <c r="B368" s="21"/>
      <c r="C368" s="16"/>
      <c r="D368" s="25"/>
      <c r="E368" s="22"/>
      <c r="F368" s="22"/>
      <c r="G368" s="25"/>
      <c r="H368" s="92"/>
      <c r="I368" s="22"/>
      <c r="J368" s="24"/>
      <c r="K368" s="22"/>
    </row>
    <row r="369" spans="1:11">
      <c r="A369" s="16"/>
      <c r="B369" s="21"/>
      <c r="C369" s="16"/>
      <c r="D369" s="25"/>
      <c r="E369" s="22"/>
      <c r="F369" s="22"/>
      <c r="G369" s="25"/>
      <c r="H369" s="92"/>
      <c r="I369" s="22"/>
      <c r="J369" s="24"/>
      <c r="K369" s="22"/>
    </row>
    <row r="370" spans="1:11">
      <c r="A370" s="16"/>
      <c r="B370" s="21"/>
      <c r="C370" s="16"/>
      <c r="D370" s="25"/>
      <c r="E370" s="22"/>
      <c r="F370" s="22"/>
      <c r="G370" s="25"/>
      <c r="H370" s="92"/>
      <c r="I370" s="22"/>
      <c r="J370" s="24"/>
      <c r="K370" s="22"/>
    </row>
    <row r="371" spans="1:11">
      <c r="A371" s="16"/>
      <c r="B371" s="21"/>
      <c r="C371" s="16"/>
      <c r="D371" s="25"/>
      <c r="E371" s="22"/>
      <c r="F371" s="22"/>
      <c r="G371" s="25"/>
      <c r="H371" s="92"/>
      <c r="I371" s="22"/>
      <c r="J371" s="24"/>
      <c r="K371" s="22"/>
    </row>
    <row r="372" spans="1:11">
      <c r="A372" s="16"/>
      <c r="B372" s="21"/>
      <c r="C372" s="16"/>
      <c r="D372" s="25"/>
      <c r="E372" s="22"/>
      <c r="F372" s="22"/>
      <c r="G372" s="25"/>
      <c r="H372" s="92"/>
      <c r="I372" s="22"/>
      <c r="J372" s="24"/>
      <c r="K372" s="22"/>
    </row>
    <row r="373" spans="1:11">
      <c r="A373" s="16"/>
      <c r="B373" s="21"/>
      <c r="C373" s="16"/>
      <c r="D373" s="25"/>
      <c r="E373" s="22"/>
      <c r="F373" s="22"/>
      <c r="G373" s="25"/>
      <c r="H373" s="92"/>
      <c r="I373" s="22"/>
      <c r="J373" s="24"/>
      <c r="K373" s="22"/>
    </row>
    <row r="374" spans="1:11">
      <c r="A374" s="16"/>
      <c r="B374" s="21"/>
      <c r="C374" s="16"/>
      <c r="D374" s="25"/>
      <c r="E374" s="22"/>
      <c r="F374" s="22"/>
      <c r="G374" s="25"/>
      <c r="H374" s="92"/>
      <c r="I374" s="22"/>
      <c r="J374" s="24"/>
      <c r="K374" s="22"/>
    </row>
    <row r="375" spans="1:11">
      <c r="A375" s="16"/>
      <c r="B375" s="21"/>
      <c r="C375" s="16"/>
      <c r="D375" s="25"/>
      <c r="E375" s="22"/>
      <c r="F375" s="22"/>
      <c r="G375" s="25"/>
      <c r="H375" s="92"/>
      <c r="I375" s="22"/>
      <c r="J375" s="24"/>
      <c r="K375" s="22"/>
    </row>
    <row r="376" spans="1:11">
      <c r="A376" s="16"/>
      <c r="B376" s="21"/>
      <c r="C376" s="16"/>
      <c r="D376" s="25"/>
      <c r="E376" s="22"/>
      <c r="F376" s="22"/>
      <c r="G376" s="25"/>
      <c r="H376" s="92"/>
      <c r="I376" s="22"/>
      <c r="J376" s="24"/>
      <c r="K376" s="22"/>
    </row>
    <row r="377" spans="1:11">
      <c r="A377" s="16"/>
      <c r="B377" s="21"/>
      <c r="C377" s="16"/>
      <c r="D377" s="25"/>
      <c r="E377" s="22"/>
      <c r="F377" s="22"/>
      <c r="G377" s="25"/>
      <c r="H377" s="92"/>
      <c r="I377" s="22"/>
      <c r="J377" s="24"/>
      <c r="K377" s="22"/>
    </row>
    <row r="378" spans="1:11">
      <c r="A378" s="16"/>
      <c r="B378" s="21"/>
      <c r="C378" s="16"/>
      <c r="D378" s="25"/>
      <c r="E378" s="22"/>
      <c r="F378" s="22"/>
      <c r="G378" s="25"/>
      <c r="H378" s="92"/>
      <c r="I378" s="22"/>
      <c r="J378" s="24"/>
      <c r="K378" s="22"/>
    </row>
    <row r="379" spans="1:11">
      <c r="A379" s="16"/>
      <c r="B379" s="21"/>
      <c r="C379" s="16"/>
      <c r="D379" s="25"/>
      <c r="E379" s="22"/>
      <c r="F379" s="22"/>
      <c r="G379" s="25"/>
      <c r="H379" s="92"/>
      <c r="I379" s="22"/>
      <c r="J379" s="24"/>
      <c r="K379" s="22"/>
    </row>
    <row r="380" spans="1:11">
      <c r="A380" s="16"/>
      <c r="B380" s="21"/>
      <c r="C380" s="16"/>
      <c r="D380" s="25"/>
      <c r="E380" s="22"/>
      <c r="F380" s="22"/>
      <c r="G380" s="25"/>
      <c r="H380" s="92"/>
      <c r="I380" s="22"/>
      <c r="J380" s="24"/>
      <c r="K380" s="22"/>
    </row>
    <row r="381" spans="1:11">
      <c r="A381" s="16"/>
      <c r="B381" s="21"/>
      <c r="C381" s="16"/>
      <c r="D381" s="25"/>
      <c r="E381" s="22"/>
      <c r="F381" s="22"/>
      <c r="G381" s="25"/>
      <c r="H381" s="92"/>
      <c r="I381" s="22"/>
      <c r="J381" s="24"/>
      <c r="K381" s="22"/>
    </row>
    <row r="382" spans="1:11">
      <c r="A382" s="16"/>
      <c r="B382" s="21"/>
      <c r="C382" s="16"/>
      <c r="D382" s="25"/>
      <c r="E382" s="22"/>
      <c r="F382" s="22"/>
      <c r="G382" s="25"/>
      <c r="H382" s="92"/>
      <c r="I382" s="22"/>
      <c r="J382" s="24"/>
      <c r="K382" s="22"/>
    </row>
    <row r="383" spans="1:11">
      <c r="A383" s="16"/>
      <c r="B383" s="21"/>
      <c r="C383" s="16"/>
      <c r="D383" s="25"/>
      <c r="E383" s="22"/>
      <c r="F383" s="22"/>
      <c r="G383" s="25"/>
      <c r="H383" s="92"/>
      <c r="I383" s="22"/>
      <c r="J383" s="24"/>
      <c r="K383" s="22"/>
    </row>
    <row r="384" spans="1:11">
      <c r="A384" s="16"/>
      <c r="B384" s="21"/>
      <c r="C384" s="16"/>
      <c r="D384" s="25"/>
      <c r="E384" s="22"/>
      <c r="F384" s="22"/>
      <c r="G384" s="25"/>
      <c r="H384" s="92"/>
      <c r="I384" s="22"/>
      <c r="J384" s="24"/>
      <c r="K384" s="22"/>
    </row>
    <row r="385" spans="1:11">
      <c r="A385" s="16"/>
      <c r="B385" s="21"/>
      <c r="C385" s="16"/>
      <c r="D385" s="25"/>
      <c r="E385" s="22"/>
      <c r="F385" s="22"/>
      <c r="G385" s="25"/>
      <c r="H385" s="92"/>
      <c r="I385" s="22"/>
      <c r="J385" s="24"/>
      <c r="K385" s="22"/>
    </row>
    <row r="386" spans="1:11">
      <c r="A386" s="16"/>
      <c r="B386" s="21"/>
      <c r="C386" s="16"/>
      <c r="D386" s="25"/>
      <c r="E386" s="22"/>
      <c r="F386" s="22"/>
      <c r="G386" s="25"/>
      <c r="H386" s="92"/>
      <c r="I386" s="22"/>
      <c r="J386" s="24"/>
      <c r="K386" s="22"/>
    </row>
    <row r="387" spans="1:11">
      <c r="A387" s="16"/>
      <c r="B387" s="21"/>
      <c r="C387" s="16"/>
      <c r="D387" s="25"/>
      <c r="E387" s="22"/>
      <c r="F387" s="22"/>
      <c r="G387" s="25"/>
      <c r="H387" s="92"/>
      <c r="I387" s="22"/>
      <c r="J387" s="24"/>
      <c r="K387" s="22"/>
    </row>
    <row r="388" spans="1:11">
      <c r="A388" s="16"/>
      <c r="B388" s="21"/>
      <c r="C388" s="16"/>
      <c r="D388" s="25"/>
      <c r="E388" s="22"/>
      <c r="F388" s="22"/>
      <c r="G388" s="25"/>
      <c r="H388" s="92"/>
      <c r="I388" s="22"/>
      <c r="J388" s="24"/>
      <c r="K388" s="22"/>
    </row>
    <row r="389" spans="1:11">
      <c r="A389" s="16"/>
      <c r="B389" s="21"/>
      <c r="C389" s="16"/>
      <c r="D389" s="25"/>
      <c r="E389" s="22"/>
      <c r="F389" s="22"/>
      <c r="G389" s="25"/>
      <c r="H389" s="92"/>
      <c r="I389" s="22"/>
      <c r="J389" s="24"/>
      <c r="K389" s="22"/>
    </row>
    <row r="390" spans="1:11">
      <c r="A390" s="16"/>
      <c r="B390" s="21"/>
      <c r="C390" s="16"/>
      <c r="D390" s="25"/>
      <c r="E390" s="22"/>
      <c r="F390" s="22"/>
      <c r="G390" s="25"/>
      <c r="H390" s="92"/>
      <c r="I390" s="22"/>
      <c r="J390" s="24"/>
      <c r="K390" s="22"/>
    </row>
    <row r="391" spans="1:11">
      <c r="A391" s="16"/>
      <c r="B391" s="21"/>
      <c r="C391" s="16"/>
      <c r="D391" s="25"/>
      <c r="E391" s="22"/>
      <c r="F391" s="22"/>
      <c r="G391" s="25"/>
      <c r="H391" s="92"/>
      <c r="I391" s="22"/>
      <c r="J391" s="24"/>
      <c r="K391" s="22"/>
    </row>
    <row r="392" spans="1:11">
      <c r="A392" s="16"/>
      <c r="B392" s="21"/>
      <c r="C392" s="16"/>
      <c r="D392" s="25"/>
      <c r="E392" s="22"/>
      <c r="F392" s="22"/>
      <c r="G392" s="25"/>
      <c r="H392" s="92"/>
      <c r="I392" s="22"/>
      <c r="J392" s="24"/>
      <c r="K392" s="22"/>
    </row>
    <row r="393" spans="1:11">
      <c r="A393" s="16"/>
      <c r="B393" s="21"/>
      <c r="C393" s="16"/>
      <c r="D393" s="25"/>
      <c r="E393" s="22"/>
      <c r="F393" s="22"/>
      <c r="G393" s="25"/>
      <c r="H393" s="92"/>
      <c r="I393" s="22"/>
      <c r="J393" s="24"/>
      <c r="K393" s="22"/>
    </row>
    <row r="394" spans="1:11">
      <c r="A394" s="16"/>
      <c r="B394" s="21"/>
      <c r="C394" s="16"/>
      <c r="D394" s="25"/>
      <c r="E394" s="22"/>
      <c r="F394" s="22"/>
      <c r="G394" s="25"/>
      <c r="H394" s="92"/>
      <c r="I394" s="22"/>
      <c r="J394" s="24"/>
      <c r="K394" s="22"/>
    </row>
    <row r="395" spans="1:11">
      <c r="A395" s="16"/>
      <c r="B395" s="21"/>
      <c r="C395" s="16"/>
      <c r="D395" s="25"/>
      <c r="E395" s="22"/>
      <c r="F395" s="22"/>
      <c r="G395" s="25"/>
      <c r="H395" s="92"/>
      <c r="I395" s="22"/>
      <c r="J395" s="24"/>
      <c r="K395" s="22"/>
    </row>
    <row r="396" spans="1:11">
      <c r="A396" s="16"/>
      <c r="B396" s="21"/>
      <c r="C396" s="16"/>
      <c r="D396" s="25"/>
      <c r="E396" s="22"/>
      <c r="F396" s="22"/>
      <c r="G396" s="25"/>
      <c r="H396" s="92"/>
      <c r="I396" s="22"/>
      <c r="J396" s="24"/>
      <c r="K396" s="22"/>
    </row>
    <row r="397" spans="1:11">
      <c r="A397" s="16"/>
      <c r="B397" s="21"/>
      <c r="C397" s="16"/>
      <c r="D397" s="25"/>
      <c r="E397" s="22"/>
      <c r="F397" s="22"/>
      <c r="G397" s="25"/>
      <c r="H397" s="92"/>
      <c r="I397" s="22"/>
      <c r="J397" s="24"/>
      <c r="K397" s="22"/>
    </row>
    <row r="398" spans="1:11">
      <c r="A398" s="16"/>
      <c r="B398" s="21"/>
      <c r="C398" s="16"/>
      <c r="D398" s="25"/>
      <c r="E398" s="22"/>
      <c r="F398" s="22"/>
      <c r="G398" s="25"/>
      <c r="H398" s="92"/>
      <c r="I398" s="22"/>
      <c r="J398" s="24"/>
      <c r="K398" s="22"/>
    </row>
    <row r="399" spans="1:11">
      <c r="A399" s="16"/>
      <c r="B399" s="21"/>
      <c r="C399" s="16"/>
      <c r="D399" s="25"/>
      <c r="E399" s="22"/>
      <c r="F399" s="22"/>
      <c r="G399" s="25"/>
      <c r="H399" s="92"/>
      <c r="I399" s="22"/>
      <c r="J399" s="24"/>
      <c r="K399" s="22"/>
    </row>
    <row r="400" spans="1:11">
      <c r="A400" s="16"/>
      <c r="B400" s="21"/>
      <c r="C400" s="16"/>
      <c r="D400" s="25"/>
      <c r="E400" s="22"/>
      <c r="F400" s="22"/>
      <c r="G400" s="25"/>
      <c r="H400" s="92"/>
      <c r="I400" s="22"/>
      <c r="J400" s="24"/>
      <c r="K400" s="22"/>
    </row>
    <row r="401" spans="1:11">
      <c r="A401" s="16"/>
      <c r="B401" s="21"/>
      <c r="C401" s="16"/>
      <c r="D401" s="25"/>
      <c r="E401" s="22"/>
      <c r="F401" s="22"/>
      <c r="G401" s="25"/>
      <c r="H401" s="92"/>
      <c r="I401" s="22"/>
      <c r="J401" s="24"/>
      <c r="K401" s="22"/>
    </row>
    <row r="402" spans="1:11">
      <c r="A402" s="16"/>
      <c r="B402" s="21"/>
      <c r="C402" s="16"/>
      <c r="D402" s="25"/>
      <c r="E402" s="22"/>
      <c r="F402" s="22"/>
      <c r="G402" s="25"/>
      <c r="H402" s="92"/>
      <c r="I402" s="22"/>
      <c r="J402" s="24"/>
      <c r="K402" s="22"/>
    </row>
    <row r="403" spans="1:11">
      <c r="A403" s="16"/>
      <c r="B403" s="21"/>
      <c r="C403" s="16"/>
      <c r="D403" s="25"/>
      <c r="E403" s="22"/>
      <c r="F403" s="22"/>
      <c r="G403" s="25"/>
      <c r="H403" s="92"/>
      <c r="I403" s="22"/>
      <c r="J403" s="24"/>
      <c r="K403" s="22"/>
    </row>
    <row r="404" spans="1:11">
      <c r="A404" s="16"/>
      <c r="B404" s="21"/>
      <c r="C404" s="16"/>
      <c r="D404" s="25"/>
      <c r="E404" s="22"/>
      <c r="F404" s="22"/>
      <c r="G404" s="25"/>
      <c r="H404" s="92"/>
      <c r="I404" s="22"/>
      <c r="J404" s="24"/>
      <c r="K404" s="22"/>
    </row>
    <row r="405" spans="1:11">
      <c r="A405" s="16"/>
      <c r="B405" s="21"/>
      <c r="C405" s="16"/>
      <c r="D405" s="25"/>
      <c r="E405" s="22"/>
      <c r="F405" s="22"/>
      <c r="G405" s="25"/>
      <c r="H405" s="92"/>
      <c r="I405" s="22"/>
      <c r="J405" s="24"/>
      <c r="K405" s="22"/>
    </row>
    <row r="406" spans="1:11">
      <c r="A406" s="16"/>
      <c r="B406" s="21"/>
      <c r="C406" s="16"/>
      <c r="D406" s="25"/>
      <c r="E406" s="22"/>
      <c r="F406" s="22"/>
      <c r="G406" s="25"/>
      <c r="H406" s="92"/>
      <c r="I406" s="22"/>
      <c r="J406" s="24"/>
      <c r="K406" s="22"/>
    </row>
    <row r="407" spans="1:11">
      <c r="A407" s="16"/>
      <c r="B407" s="21"/>
      <c r="C407" s="16"/>
      <c r="D407" s="25"/>
      <c r="E407" s="22"/>
      <c r="F407" s="22"/>
      <c r="G407" s="25"/>
      <c r="H407" s="92"/>
      <c r="I407" s="22"/>
      <c r="J407" s="24"/>
      <c r="K407" s="22"/>
    </row>
    <row r="408" spans="1:11">
      <c r="A408" s="16"/>
      <c r="B408" s="21"/>
      <c r="C408" s="16"/>
      <c r="D408" s="25"/>
      <c r="E408" s="22"/>
      <c r="F408" s="22"/>
      <c r="G408" s="25"/>
      <c r="H408" s="92"/>
      <c r="I408" s="22"/>
      <c r="J408" s="24"/>
      <c r="K408" s="22"/>
    </row>
    <row r="409" spans="1:11">
      <c r="A409" s="16"/>
      <c r="B409" s="21"/>
      <c r="C409" s="16"/>
      <c r="D409" s="25"/>
      <c r="E409" s="22"/>
      <c r="F409" s="22"/>
      <c r="G409" s="25"/>
      <c r="H409" s="92"/>
      <c r="I409" s="22"/>
      <c r="J409" s="24"/>
      <c r="K409" s="22"/>
    </row>
    <row r="410" spans="1:11">
      <c r="A410" s="16"/>
      <c r="B410" s="21"/>
      <c r="C410" s="16"/>
      <c r="D410" s="25"/>
      <c r="E410" s="22"/>
      <c r="F410" s="22"/>
      <c r="G410" s="25"/>
      <c r="H410" s="92"/>
      <c r="I410" s="22"/>
      <c r="J410" s="24"/>
      <c r="K410" s="22"/>
    </row>
    <row r="411" spans="1:11">
      <c r="A411" s="16"/>
      <c r="B411" s="21"/>
      <c r="C411" s="16"/>
      <c r="D411" s="25"/>
      <c r="E411" s="22"/>
      <c r="F411" s="22"/>
      <c r="G411" s="25"/>
      <c r="H411" s="92"/>
      <c r="I411" s="22"/>
      <c r="J411" s="24"/>
      <c r="K411" s="22"/>
    </row>
    <row r="412" spans="1:11">
      <c r="A412" s="16"/>
      <c r="B412" s="21"/>
      <c r="C412" s="16"/>
      <c r="D412" s="25"/>
      <c r="E412" s="22"/>
      <c r="F412" s="22"/>
      <c r="G412" s="25"/>
      <c r="H412" s="92"/>
      <c r="I412" s="22"/>
      <c r="J412" s="24"/>
      <c r="K412" s="22"/>
    </row>
    <row r="413" spans="1:11">
      <c r="A413" s="16"/>
      <c r="B413" s="21"/>
      <c r="C413" s="16"/>
      <c r="D413" s="25"/>
      <c r="E413" s="22"/>
      <c r="F413" s="22"/>
      <c r="G413" s="25"/>
      <c r="H413" s="92"/>
      <c r="I413" s="22"/>
      <c r="J413" s="24"/>
      <c r="K413" s="22"/>
    </row>
    <row r="414" spans="1:11">
      <c r="A414" s="16"/>
      <c r="B414" s="21"/>
      <c r="C414" s="16"/>
      <c r="D414" s="25"/>
      <c r="E414" s="22"/>
      <c r="F414" s="22"/>
      <c r="G414" s="25"/>
      <c r="H414" s="92"/>
      <c r="I414" s="22"/>
      <c r="J414" s="24"/>
      <c r="K414" s="22"/>
    </row>
    <row r="415" spans="1:11">
      <c r="A415" s="16"/>
      <c r="B415" s="21"/>
      <c r="C415" s="16"/>
      <c r="D415" s="25"/>
      <c r="E415" s="22"/>
      <c r="F415" s="22"/>
      <c r="G415" s="25"/>
      <c r="H415" s="92"/>
      <c r="I415" s="22"/>
      <c r="J415" s="24"/>
      <c r="K415" s="22"/>
    </row>
    <row r="416" spans="1:11">
      <c r="A416" s="16"/>
      <c r="B416" s="21"/>
      <c r="C416" s="16"/>
      <c r="D416" s="25"/>
      <c r="E416" s="22"/>
      <c r="F416" s="22"/>
      <c r="G416" s="25"/>
      <c r="H416" s="92"/>
      <c r="I416" s="22"/>
      <c r="J416" s="24"/>
      <c r="K416" s="22"/>
    </row>
    <row r="417" spans="1:11">
      <c r="A417" s="16"/>
      <c r="B417" s="21"/>
      <c r="C417" s="16"/>
      <c r="D417" s="25"/>
      <c r="E417" s="22"/>
      <c r="F417" s="22"/>
      <c r="G417" s="25"/>
      <c r="H417" s="92"/>
      <c r="I417" s="22"/>
      <c r="J417" s="24"/>
      <c r="K417" s="22"/>
    </row>
    <row r="418" spans="1:11">
      <c r="A418" s="16"/>
      <c r="B418" s="21"/>
      <c r="C418" s="16"/>
      <c r="D418" s="25"/>
      <c r="E418" s="22"/>
      <c r="F418" s="22"/>
      <c r="G418" s="25"/>
      <c r="H418" s="92"/>
      <c r="I418" s="22"/>
      <c r="J418" s="24"/>
      <c r="K418" s="22"/>
    </row>
    <row r="419" spans="1:11">
      <c r="A419" s="16"/>
      <c r="B419" s="21"/>
      <c r="C419" s="16"/>
      <c r="D419" s="25"/>
      <c r="E419" s="22"/>
      <c r="F419" s="22"/>
      <c r="G419" s="25"/>
      <c r="H419" s="92"/>
      <c r="I419" s="22"/>
      <c r="J419" s="24"/>
      <c r="K419" s="22"/>
    </row>
    <row r="420" spans="1:11">
      <c r="A420" s="16"/>
      <c r="B420" s="21"/>
      <c r="C420" s="16"/>
      <c r="D420" s="25"/>
      <c r="E420" s="22"/>
      <c r="F420" s="22"/>
      <c r="G420" s="25"/>
      <c r="H420" s="92"/>
      <c r="I420" s="22"/>
      <c r="J420" s="24"/>
      <c r="K420" s="22"/>
    </row>
    <row r="421" spans="1:11">
      <c r="A421" s="16"/>
      <c r="B421" s="21"/>
      <c r="C421" s="16"/>
      <c r="D421" s="25"/>
      <c r="E421" s="22"/>
      <c r="F421" s="22"/>
      <c r="G421" s="25"/>
      <c r="H421" s="92"/>
      <c r="I421" s="22"/>
      <c r="J421" s="24"/>
      <c r="K421" s="22"/>
    </row>
    <row r="422" spans="1:11">
      <c r="A422" s="16"/>
      <c r="B422" s="21"/>
      <c r="C422" s="16"/>
      <c r="D422" s="25"/>
      <c r="E422" s="22"/>
      <c r="F422" s="22"/>
      <c r="G422" s="25"/>
      <c r="H422" s="92"/>
      <c r="I422" s="22"/>
      <c r="J422" s="24"/>
      <c r="K422" s="22"/>
    </row>
    <row r="423" spans="1:11">
      <c r="A423" s="16"/>
      <c r="B423" s="21"/>
      <c r="C423" s="16"/>
      <c r="D423" s="25"/>
      <c r="E423" s="22"/>
      <c r="F423" s="22"/>
      <c r="G423" s="25"/>
      <c r="H423" s="92"/>
      <c r="I423" s="22"/>
      <c r="J423" s="24"/>
      <c r="K423" s="22"/>
    </row>
    <row r="424" spans="1:11">
      <c r="A424" s="16"/>
      <c r="B424" s="21"/>
      <c r="C424" s="16"/>
      <c r="D424" s="25"/>
      <c r="E424" s="22"/>
      <c r="F424" s="22"/>
      <c r="G424" s="25"/>
      <c r="H424" s="92"/>
      <c r="I424" s="22"/>
      <c r="J424" s="24"/>
      <c r="K424" s="22"/>
    </row>
    <row r="425" spans="1:11">
      <c r="A425" s="16"/>
      <c r="B425" s="21"/>
      <c r="C425" s="16"/>
      <c r="D425" s="25"/>
      <c r="E425" s="22"/>
      <c r="F425" s="22"/>
      <c r="G425" s="25"/>
      <c r="H425" s="92"/>
      <c r="I425" s="22"/>
      <c r="J425" s="24"/>
      <c r="K425" s="22"/>
    </row>
    <row r="426" spans="1:11">
      <c r="A426" s="16"/>
      <c r="B426" s="21"/>
      <c r="C426" s="16"/>
      <c r="D426" s="25"/>
      <c r="E426" s="22"/>
      <c r="F426" s="22"/>
      <c r="G426" s="25"/>
      <c r="H426" s="92"/>
      <c r="I426" s="22"/>
      <c r="J426" s="24"/>
      <c r="K426" s="22"/>
    </row>
    <row r="427" spans="1:11">
      <c r="A427" s="16"/>
      <c r="B427" s="21"/>
      <c r="C427" s="16"/>
      <c r="D427" s="25"/>
      <c r="E427" s="22"/>
      <c r="F427" s="22"/>
      <c r="G427" s="25"/>
      <c r="H427" s="92"/>
      <c r="I427" s="22"/>
      <c r="J427" s="24"/>
      <c r="K427" s="22"/>
    </row>
    <row r="428" spans="1:11">
      <c r="A428" s="16"/>
      <c r="B428" s="21"/>
      <c r="C428" s="16"/>
      <c r="D428" s="25"/>
      <c r="E428" s="22"/>
      <c r="F428" s="22"/>
      <c r="G428" s="25"/>
      <c r="H428" s="92"/>
      <c r="I428" s="22"/>
      <c r="J428" s="24"/>
      <c r="K428" s="22"/>
    </row>
    <row r="429" spans="1:11">
      <c r="A429" s="16"/>
      <c r="B429" s="21"/>
      <c r="C429" s="16"/>
      <c r="D429" s="25"/>
      <c r="E429" s="22"/>
      <c r="F429" s="22"/>
      <c r="G429" s="25"/>
      <c r="H429" s="92"/>
      <c r="I429" s="22"/>
      <c r="J429" s="24"/>
      <c r="K429" s="22"/>
    </row>
    <row r="430" spans="1:11">
      <c r="A430" s="16"/>
      <c r="B430" s="21"/>
      <c r="C430" s="16"/>
      <c r="D430" s="25"/>
      <c r="E430" s="22"/>
      <c r="F430" s="22"/>
      <c r="G430" s="25"/>
      <c r="H430" s="92"/>
      <c r="I430" s="22"/>
      <c r="J430" s="24"/>
      <c r="K430" s="22"/>
    </row>
    <row r="431" spans="1:11">
      <c r="A431" s="16"/>
      <c r="B431" s="21"/>
      <c r="C431" s="16"/>
      <c r="D431" s="25"/>
      <c r="E431" s="22"/>
      <c r="F431" s="22"/>
      <c r="G431" s="25"/>
      <c r="H431" s="92"/>
      <c r="I431" s="22"/>
      <c r="J431" s="24"/>
      <c r="K431" s="22"/>
    </row>
    <row r="432" spans="1:11">
      <c r="A432" s="16"/>
      <c r="B432" s="21"/>
      <c r="C432" s="16"/>
      <c r="D432" s="25"/>
      <c r="E432" s="22"/>
      <c r="F432" s="22"/>
      <c r="G432" s="25"/>
      <c r="H432" s="92"/>
      <c r="I432" s="22"/>
      <c r="J432" s="24"/>
      <c r="K432" s="22"/>
    </row>
    <row r="433" spans="1:11">
      <c r="A433" s="16"/>
      <c r="B433" s="21"/>
      <c r="C433" s="16"/>
      <c r="D433" s="25"/>
      <c r="E433" s="22"/>
      <c r="F433" s="22"/>
      <c r="G433" s="25"/>
      <c r="H433" s="92"/>
      <c r="I433" s="22"/>
      <c r="J433" s="24"/>
      <c r="K433" s="22"/>
    </row>
    <row r="434" spans="1:11">
      <c r="A434" s="16"/>
      <c r="B434" s="21"/>
      <c r="C434" s="16"/>
      <c r="D434" s="25"/>
      <c r="E434" s="22"/>
      <c r="F434" s="22"/>
      <c r="G434" s="25"/>
      <c r="H434" s="92"/>
      <c r="I434" s="22"/>
      <c r="J434" s="24"/>
      <c r="K434" s="22"/>
    </row>
    <row r="435" spans="1:11">
      <c r="A435" s="16"/>
      <c r="B435" s="21"/>
      <c r="C435" s="16"/>
      <c r="D435" s="25"/>
      <c r="E435" s="22"/>
      <c r="F435" s="22"/>
      <c r="G435" s="25"/>
      <c r="H435" s="92"/>
      <c r="I435" s="22"/>
      <c r="J435" s="24"/>
      <c r="K435" s="22"/>
    </row>
    <row r="436" spans="1:11">
      <c r="A436" s="16"/>
      <c r="B436" s="21"/>
      <c r="C436" s="16"/>
      <c r="D436" s="25"/>
      <c r="E436" s="22"/>
      <c r="F436" s="22"/>
      <c r="G436" s="25"/>
      <c r="H436" s="92"/>
      <c r="I436" s="22"/>
      <c r="J436" s="24"/>
      <c r="K436" s="22"/>
    </row>
    <row r="437" spans="1:11">
      <c r="A437" s="16"/>
      <c r="B437" s="21"/>
      <c r="C437" s="16"/>
      <c r="D437" s="25"/>
      <c r="E437" s="22"/>
      <c r="F437" s="22"/>
      <c r="G437" s="25"/>
      <c r="H437" s="92"/>
      <c r="I437" s="22"/>
      <c r="J437" s="24"/>
      <c r="K437" s="22"/>
    </row>
    <row r="438" spans="1:11">
      <c r="A438" s="16"/>
      <c r="B438" s="21"/>
      <c r="C438" s="16"/>
      <c r="D438" s="25"/>
      <c r="E438" s="22"/>
      <c r="F438" s="22"/>
      <c r="G438" s="25"/>
      <c r="H438" s="92"/>
      <c r="I438" s="22"/>
      <c r="J438" s="24"/>
      <c r="K438" s="22"/>
    </row>
    <row r="439" spans="1:11">
      <c r="A439" s="16"/>
      <c r="B439" s="21"/>
      <c r="C439" s="16"/>
      <c r="D439" s="25"/>
      <c r="E439" s="22"/>
      <c r="F439" s="22"/>
      <c r="G439" s="25"/>
      <c r="H439" s="92"/>
      <c r="I439" s="22"/>
      <c r="J439" s="24"/>
      <c r="K439" s="22"/>
    </row>
    <row r="440" spans="1:11">
      <c r="A440" s="16"/>
      <c r="B440" s="21"/>
      <c r="C440" s="16"/>
      <c r="D440" s="25"/>
      <c r="E440" s="22"/>
      <c r="F440" s="22"/>
      <c r="G440" s="25"/>
      <c r="H440" s="92"/>
      <c r="I440" s="22"/>
      <c r="J440" s="24"/>
      <c r="K440" s="22"/>
    </row>
    <row r="441" spans="1:11">
      <c r="A441" s="16"/>
      <c r="B441" s="21"/>
      <c r="C441" s="16"/>
      <c r="D441" s="25"/>
      <c r="E441" s="22"/>
      <c r="F441" s="22"/>
      <c r="G441" s="25"/>
      <c r="H441" s="92"/>
      <c r="I441" s="22"/>
      <c r="J441" s="24"/>
      <c r="K441" s="22"/>
    </row>
    <row r="442" spans="1:11">
      <c r="A442" s="16"/>
      <c r="B442" s="21"/>
      <c r="C442" s="16"/>
      <c r="D442" s="25"/>
      <c r="E442" s="22"/>
      <c r="F442" s="22"/>
      <c r="G442" s="25"/>
      <c r="H442" s="92"/>
      <c r="I442" s="22"/>
      <c r="J442" s="24"/>
      <c r="K442" s="22"/>
    </row>
    <row r="443" spans="1:11">
      <c r="A443" s="16"/>
      <c r="B443" s="21"/>
      <c r="C443" s="16"/>
      <c r="D443" s="25"/>
      <c r="E443" s="22"/>
      <c r="F443" s="22"/>
      <c r="G443" s="25"/>
      <c r="H443" s="92"/>
      <c r="I443" s="22"/>
      <c r="J443" s="24"/>
      <c r="K443" s="22"/>
    </row>
    <row r="444" spans="1:11">
      <c r="A444" s="16"/>
      <c r="B444" s="21"/>
      <c r="C444" s="16"/>
      <c r="D444" s="25"/>
      <c r="E444" s="22"/>
      <c r="F444" s="22"/>
      <c r="G444" s="25"/>
      <c r="H444" s="92"/>
      <c r="I444" s="22"/>
      <c r="J444" s="24"/>
      <c r="K444" s="22"/>
    </row>
    <row r="445" spans="1:11">
      <c r="A445" s="16"/>
      <c r="B445" s="21"/>
      <c r="C445" s="16"/>
      <c r="D445" s="25"/>
      <c r="E445" s="22"/>
      <c r="F445" s="22"/>
      <c r="G445" s="25"/>
      <c r="H445" s="92"/>
      <c r="I445" s="22"/>
      <c r="J445" s="24"/>
      <c r="K445" s="22"/>
    </row>
    <row r="446" spans="1:11">
      <c r="A446" s="16"/>
      <c r="B446" s="21"/>
      <c r="C446" s="16"/>
      <c r="D446" s="25"/>
      <c r="E446" s="22"/>
      <c r="F446" s="22"/>
      <c r="G446" s="25"/>
      <c r="H446" s="92"/>
      <c r="I446" s="22"/>
      <c r="J446" s="24"/>
      <c r="K446" s="22"/>
    </row>
    <row r="447" spans="1:11">
      <c r="A447" s="16"/>
      <c r="B447" s="21"/>
      <c r="C447" s="16"/>
      <c r="D447" s="25"/>
      <c r="E447" s="22"/>
      <c r="F447" s="22"/>
      <c r="G447" s="25"/>
      <c r="H447" s="92"/>
      <c r="I447" s="22"/>
      <c r="J447" s="24"/>
      <c r="K447" s="22"/>
    </row>
    <row r="448" spans="1:11">
      <c r="A448" s="16"/>
      <c r="B448" s="21"/>
      <c r="C448" s="16"/>
      <c r="D448" s="25"/>
      <c r="E448" s="22"/>
      <c r="F448" s="22"/>
      <c r="G448" s="25"/>
      <c r="H448" s="92"/>
      <c r="I448" s="22"/>
      <c r="J448" s="24"/>
      <c r="K448" s="22"/>
    </row>
    <row r="449" spans="1:11">
      <c r="A449" s="16"/>
      <c r="B449" s="21"/>
      <c r="C449" s="16"/>
      <c r="D449" s="25"/>
      <c r="E449" s="22"/>
      <c r="F449" s="22"/>
      <c r="G449" s="25"/>
      <c r="H449" s="92"/>
      <c r="I449" s="22"/>
      <c r="J449" s="24"/>
      <c r="K449" s="22"/>
    </row>
    <row r="450" spans="1:11">
      <c r="A450" s="16"/>
      <c r="B450" s="21"/>
      <c r="C450" s="16"/>
      <c r="D450" s="25"/>
      <c r="E450" s="22"/>
      <c r="F450" s="22"/>
      <c r="G450" s="25"/>
      <c r="H450" s="92"/>
      <c r="I450" s="22"/>
      <c r="J450" s="24"/>
      <c r="K450" s="22"/>
    </row>
    <row r="451" spans="1:11">
      <c r="A451" s="16"/>
      <c r="B451" s="21"/>
      <c r="C451" s="16"/>
      <c r="D451" s="25"/>
      <c r="E451" s="22"/>
      <c r="F451" s="22"/>
      <c r="G451" s="25"/>
      <c r="H451" s="92"/>
      <c r="I451" s="22"/>
      <c r="J451" s="24"/>
      <c r="K451" s="22"/>
    </row>
    <row r="452" spans="1:11">
      <c r="A452" s="16"/>
      <c r="B452" s="21"/>
      <c r="C452" s="16"/>
      <c r="D452" s="25"/>
      <c r="E452" s="22"/>
      <c r="F452" s="22"/>
      <c r="G452" s="25"/>
      <c r="H452" s="92"/>
      <c r="I452" s="22"/>
      <c r="J452" s="24"/>
      <c r="K452" s="22"/>
    </row>
    <row r="453" spans="1:11">
      <c r="A453" s="16"/>
      <c r="B453" s="21"/>
      <c r="C453" s="16"/>
      <c r="D453" s="25"/>
      <c r="E453" s="22"/>
      <c r="F453" s="22"/>
      <c r="G453" s="25"/>
      <c r="H453" s="92"/>
      <c r="I453" s="22"/>
      <c r="J453" s="24"/>
      <c r="K453" s="22"/>
    </row>
    <row r="454" spans="1:11">
      <c r="A454" s="16"/>
      <c r="B454" s="21"/>
      <c r="C454" s="16"/>
      <c r="D454" s="25"/>
      <c r="E454" s="22"/>
      <c r="F454" s="22"/>
      <c r="G454" s="25"/>
      <c r="H454" s="92"/>
      <c r="I454" s="22"/>
      <c r="J454" s="24"/>
      <c r="K454" s="22"/>
    </row>
    <row r="455" spans="1:11">
      <c r="A455" s="16"/>
      <c r="B455" s="21"/>
      <c r="C455" s="16"/>
      <c r="D455" s="25"/>
      <c r="E455" s="22"/>
      <c r="F455" s="22"/>
      <c r="G455" s="25"/>
      <c r="H455" s="92"/>
      <c r="I455" s="22"/>
      <c r="J455" s="24"/>
      <c r="K455" s="22"/>
    </row>
    <row r="456" spans="1:11">
      <c r="A456" s="16"/>
      <c r="B456" s="21"/>
      <c r="C456" s="16"/>
      <c r="D456" s="25"/>
      <c r="E456" s="22"/>
      <c r="F456" s="22"/>
      <c r="G456" s="25"/>
      <c r="H456" s="92"/>
      <c r="I456" s="22"/>
      <c r="J456" s="24"/>
      <c r="K456" s="22"/>
    </row>
    <row r="457" spans="1:11">
      <c r="A457" s="16"/>
      <c r="B457" s="21"/>
      <c r="C457" s="16"/>
      <c r="D457" s="25"/>
      <c r="E457" s="22"/>
      <c r="F457" s="22"/>
      <c r="G457" s="25"/>
      <c r="H457" s="92"/>
      <c r="I457" s="22"/>
      <c r="J457" s="24"/>
      <c r="K457" s="22"/>
    </row>
    <row r="458" spans="1:11">
      <c r="A458" s="16"/>
      <c r="B458" s="21"/>
      <c r="C458" s="16"/>
      <c r="D458" s="25"/>
      <c r="E458" s="22"/>
      <c r="F458" s="22"/>
      <c r="G458" s="25"/>
      <c r="H458" s="92"/>
      <c r="I458" s="22"/>
      <c r="J458" s="24"/>
      <c r="K458" s="22"/>
    </row>
    <row r="459" spans="1:11">
      <c r="A459" s="16"/>
      <c r="B459" s="21"/>
      <c r="C459" s="16"/>
      <c r="D459" s="25"/>
      <c r="E459" s="22"/>
      <c r="F459" s="22"/>
      <c r="G459" s="25"/>
      <c r="H459" s="92"/>
      <c r="I459" s="22"/>
      <c r="J459" s="24"/>
      <c r="K459" s="22"/>
    </row>
    <row r="460" spans="1:11">
      <c r="A460" s="16"/>
      <c r="B460" s="21"/>
      <c r="C460" s="16"/>
      <c r="D460" s="25"/>
      <c r="E460" s="22"/>
      <c r="F460" s="22"/>
      <c r="G460" s="25"/>
      <c r="H460" s="92"/>
      <c r="I460" s="22"/>
      <c r="J460" s="24"/>
      <c r="K460" s="22"/>
    </row>
    <row r="461" spans="1:11">
      <c r="A461" s="16"/>
      <c r="B461" s="21"/>
      <c r="C461" s="16"/>
      <c r="D461" s="25"/>
      <c r="E461" s="22"/>
      <c r="F461" s="22"/>
      <c r="G461" s="25"/>
      <c r="H461" s="92"/>
      <c r="I461" s="22"/>
      <c r="J461" s="24"/>
      <c r="K461" s="22"/>
    </row>
    <row r="462" spans="1:11">
      <c r="A462" s="16"/>
      <c r="B462" s="21"/>
      <c r="C462" s="16"/>
      <c r="D462" s="25"/>
      <c r="E462" s="22"/>
      <c r="F462" s="22"/>
      <c r="G462" s="25"/>
      <c r="H462" s="92"/>
      <c r="I462" s="22"/>
      <c r="J462" s="24"/>
      <c r="K462" s="22"/>
    </row>
    <row r="463" spans="1:11">
      <c r="A463" s="16"/>
      <c r="B463" s="21"/>
      <c r="C463" s="16"/>
      <c r="D463" s="25"/>
      <c r="E463" s="22"/>
      <c r="F463" s="22"/>
      <c r="G463" s="25"/>
      <c r="H463" s="92"/>
      <c r="I463" s="22"/>
      <c r="J463" s="24"/>
      <c r="K463" s="22"/>
    </row>
    <row r="464" spans="1:11">
      <c r="A464" s="16"/>
      <c r="B464" s="21"/>
      <c r="C464" s="16"/>
      <c r="D464" s="25"/>
      <c r="E464" s="22"/>
      <c r="F464" s="22"/>
      <c r="G464" s="25"/>
      <c r="H464" s="92"/>
      <c r="I464" s="22"/>
      <c r="J464" s="24"/>
      <c r="K464" s="22"/>
    </row>
    <row r="465" spans="1:11">
      <c r="A465" s="16"/>
      <c r="B465" s="21"/>
      <c r="C465" s="16"/>
      <c r="D465" s="25"/>
      <c r="E465" s="22"/>
      <c r="F465" s="22"/>
      <c r="G465" s="25"/>
      <c r="H465" s="92"/>
      <c r="I465" s="22"/>
      <c r="J465" s="24"/>
      <c r="K465" s="22"/>
    </row>
    <row r="466" spans="1:11">
      <c r="A466" s="16"/>
      <c r="B466" s="21"/>
      <c r="C466" s="16"/>
      <c r="D466" s="25"/>
      <c r="E466" s="22"/>
      <c r="F466" s="22"/>
      <c r="G466" s="25"/>
      <c r="H466" s="92"/>
      <c r="I466" s="22"/>
      <c r="J466" s="24"/>
      <c r="K466" s="22"/>
    </row>
    <row r="467" spans="1:11">
      <c r="A467" s="16"/>
      <c r="B467" s="21"/>
      <c r="C467" s="16"/>
      <c r="D467" s="25"/>
      <c r="E467" s="22"/>
      <c r="F467" s="22"/>
      <c r="G467" s="25"/>
      <c r="H467" s="92"/>
      <c r="I467" s="22"/>
      <c r="J467" s="24"/>
      <c r="K467" s="22"/>
    </row>
    <row r="468" spans="1:11">
      <c r="A468" s="16"/>
      <c r="B468" s="21"/>
      <c r="C468" s="16"/>
      <c r="D468" s="25"/>
      <c r="E468" s="22"/>
      <c r="F468" s="22"/>
      <c r="G468" s="25"/>
      <c r="H468" s="92"/>
      <c r="I468" s="22"/>
      <c r="J468" s="24"/>
      <c r="K468" s="22"/>
    </row>
    <row r="469" spans="1:11">
      <c r="A469" s="16"/>
      <c r="B469" s="21"/>
      <c r="C469" s="16"/>
      <c r="D469" s="25"/>
      <c r="E469" s="22"/>
      <c r="F469" s="22"/>
      <c r="G469" s="25"/>
      <c r="H469" s="92"/>
      <c r="I469" s="22"/>
      <c r="J469" s="24"/>
      <c r="K469" s="22"/>
    </row>
    <row r="470" spans="1:11">
      <c r="A470" s="16"/>
      <c r="B470" s="21"/>
      <c r="C470" s="16"/>
      <c r="D470" s="25"/>
      <c r="E470" s="22"/>
      <c r="F470" s="22"/>
      <c r="G470" s="25"/>
      <c r="H470" s="92"/>
      <c r="I470" s="22"/>
      <c r="J470" s="24"/>
      <c r="K470" s="22"/>
    </row>
    <row r="471" spans="1:11">
      <c r="A471" s="16"/>
      <c r="B471" s="21"/>
      <c r="C471" s="16"/>
      <c r="D471" s="25"/>
      <c r="E471" s="22"/>
      <c r="F471" s="22"/>
      <c r="G471" s="25"/>
      <c r="H471" s="92"/>
      <c r="I471" s="22"/>
      <c r="J471" s="24"/>
      <c r="K471" s="22"/>
    </row>
    <row r="472" spans="1:11">
      <c r="A472" s="16"/>
      <c r="B472" s="21"/>
      <c r="C472" s="16"/>
      <c r="D472" s="25"/>
      <c r="E472" s="22"/>
      <c r="F472" s="22"/>
      <c r="G472" s="25"/>
      <c r="H472" s="92"/>
      <c r="I472" s="22"/>
      <c r="J472" s="24"/>
      <c r="K472" s="22"/>
    </row>
    <row r="473" spans="1:11">
      <c r="A473" s="16"/>
      <c r="B473" s="21"/>
      <c r="C473" s="16"/>
      <c r="D473" s="25"/>
      <c r="E473" s="22"/>
      <c r="F473" s="22"/>
      <c r="G473" s="25"/>
      <c r="H473" s="92"/>
      <c r="I473" s="22"/>
      <c r="J473" s="24"/>
      <c r="K473" s="22"/>
    </row>
    <row r="474" spans="1:11">
      <c r="A474" s="16"/>
      <c r="B474" s="21"/>
      <c r="C474" s="16"/>
      <c r="D474" s="25"/>
      <c r="E474" s="22"/>
      <c r="F474" s="22"/>
      <c r="G474" s="25"/>
      <c r="H474" s="92"/>
      <c r="I474" s="22"/>
      <c r="J474" s="24"/>
      <c r="K474" s="22"/>
    </row>
    <row r="475" spans="1:11">
      <c r="A475" s="16"/>
      <c r="B475" s="21"/>
      <c r="C475" s="16"/>
      <c r="D475" s="25"/>
      <c r="E475" s="22"/>
      <c r="F475" s="22"/>
      <c r="G475" s="25"/>
      <c r="H475" s="92"/>
      <c r="I475" s="22"/>
      <c r="J475" s="24"/>
      <c r="K475" s="22"/>
    </row>
    <row r="476" spans="1:11">
      <c r="A476" s="16"/>
      <c r="B476" s="21"/>
      <c r="C476" s="16"/>
      <c r="D476" s="25"/>
      <c r="E476" s="22"/>
      <c r="F476" s="22"/>
      <c r="G476" s="25"/>
      <c r="H476" s="92"/>
      <c r="I476" s="22"/>
      <c r="J476" s="24"/>
      <c r="K476" s="22"/>
    </row>
    <row r="477" spans="1:11">
      <c r="A477" s="16"/>
      <c r="B477" s="21"/>
      <c r="C477" s="16"/>
      <c r="D477" s="25"/>
      <c r="E477" s="22"/>
      <c r="F477" s="22"/>
      <c r="G477" s="25"/>
      <c r="H477" s="92"/>
      <c r="I477" s="22"/>
      <c r="J477" s="24"/>
      <c r="K477" s="22"/>
    </row>
    <row r="478" spans="1:11">
      <c r="A478" s="16"/>
      <c r="B478" s="21"/>
      <c r="C478" s="16"/>
      <c r="D478" s="25"/>
      <c r="E478" s="22"/>
      <c r="F478" s="22"/>
      <c r="G478" s="25"/>
      <c r="H478" s="92"/>
      <c r="I478" s="22"/>
      <c r="J478" s="24"/>
      <c r="K478" s="22"/>
    </row>
    <row r="479" spans="1:11">
      <c r="A479" s="16"/>
      <c r="B479" s="21"/>
      <c r="C479" s="16"/>
      <c r="D479" s="25"/>
      <c r="E479" s="22"/>
      <c r="F479" s="22"/>
      <c r="G479" s="25"/>
      <c r="H479" s="92"/>
      <c r="I479" s="22"/>
      <c r="J479" s="24"/>
      <c r="K479" s="22"/>
    </row>
    <row r="480" spans="1:11">
      <c r="A480" s="16"/>
      <c r="B480" s="21"/>
      <c r="C480" s="16"/>
      <c r="D480" s="25"/>
      <c r="E480" s="22"/>
      <c r="F480" s="22"/>
      <c r="G480" s="25"/>
      <c r="H480" s="92"/>
      <c r="I480" s="22"/>
      <c r="J480" s="24"/>
      <c r="K480" s="22"/>
    </row>
    <row r="481" spans="1:11">
      <c r="A481" s="16"/>
      <c r="B481" s="21"/>
      <c r="C481" s="16"/>
      <c r="D481" s="25"/>
      <c r="E481" s="22"/>
      <c r="F481" s="22"/>
      <c r="G481" s="25"/>
      <c r="H481" s="92"/>
      <c r="I481" s="22"/>
      <c r="J481" s="24"/>
      <c r="K481" s="22"/>
    </row>
    <row r="482" spans="1:11">
      <c r="A482" s="16"/>
      <c r="B482" s="21"/>
      <c r="C482" s="16"/>
      <c r="D482" s="25"/>
      <c r="E482" s="22"/>
      <c r="F482" s="22"/>
      <c r="G482" s="25"/>
      <c r="H482" s="92"/>
      <c r="I482" s="22"/>
      <c r="J482" s="24"/>
      <c r="K482" s="22"/>
    </row>
    <row r="483" spans="1:11">
      <c r="A483" s="16"/>
      <c r="B483" s="21"/>
      <c r="C483" s="16"/>
      <c r="D483" s="25"/>
      <c r="E483" s="22"/>
      <c r="F483" s="22"/>
      <c r="G483" s="25"/>
      <c r="H483" s="92"/>
      <c r="I483" s="22"/>
      <c r="J483" s="24"/>
      <c r="K483" s="22"/>
    </row>
    <row r="484" spans="1:11">
      <c r="A484" s="16"/>
      <c r="B484" s="21"/>
      <c r="C484" s="16"/>
      <c r="D484" s="25"/>
      <c r="E484" s="22"/>
      <c r="F484" s="22"/>
      <c r="G484" s="25"/>
      <c r="H484" s="92"/>
      <c r="I484" s="22"/>
      <c r="J484" s="24"/>
      <c r="K484" s="22"/>
    </row>
    <row r="485" spans="1:11">
      <c r="A485" s="16"/>
      <c r="B485" s="21"/>
      <c r="C485" s="16"/>
      <c r="D485" s="25"/>
      <c r="E485" s="22"/>
      <c r="F485" s="22"/>
      <c r="G485" s="25"/>
      <c r="H485" s="92"/>
      <c r="I485" s="22"/>
      <c r="J485" s="24"/>
      <c r="K485" s="22"/>
    </row>
    <row r="486" spans="1:11">
      <c r="A486" s="16"/>
      <c r="B486" s="21"/>
      <c r="C486" s="16"/>
      <c r="D486" s="25"/>
      <c r="E486" s="22"/>
      <c r="F486" s="22"/>
      <c r="G486" s="25"/>
      <c r="H486" s="92"/>
      <c r="I486" s="22"/>
      <c r="J486" s="24"/>
      <c r="K486" s="22"/>
    </row>
    <row r="487" spans="1:11">
      <c r="A487" s="16"/>
      <c r="B487" s="21"/>
      <c r="C487" s="16"/>
      <c r="D487" s="25"/>
      <c r="E487" s="22"/>
      <c r="F487" s="22"/>
      <c r="G487" s="25"/>
      <c r="H487" s="92"/>
      <c r="I487" s="22"/>
      <c r="J487" s="24"/>
      <c r="K487" s="22"/>
    </row>
    <row r="488" spans="1:11">
      <c r="A488" s="16"/>
      <c r="B488" s="21"/>
      <c r="C488" s="16"/>
      <c r="D488" s="25"/>
      <c r="E488" s="22"/>
      <c r="F488" s="22"/>
      <c r="G488" s="25"/>
      <c r="H488" s="92"/>
      <c r="I488" s="22"/>
      <c r="J488" s="24"/>
      <c r="K488" s="22"/>
    </row>
    <row r="489" spans="1:11">
      <c r="A489" s="16"/>
      <c r="B489" s="21"/>
      <c r="C489" s="16"/>
      <c r="D489" s="25"/>
      <c r="E489" s="22"/>
      <c r="F489" s="22"/>
      <c r="G489" s="25"/>
      <c r="H489" s="92"/>
      <c r="I489" s="22"/>
      <c r="J489" s="24"/>
      <c r="K489" s="22"/>
    </row>
    <row r="490" spans="1:11">
      <c r="A490" s="16"/>
      <c r="B490" s="21"/>
      <c r="C490" s="16"/>
      <c r="D490" s="25"/>
      <c r="E490" s="22"/>
      <c r="F490" s="22"/>
      <c r="G490" s="25"/>
      <c r="H490" s="92"/>
      <c r="I490" s="22"/>
      <c r="J490" s="24"/>
      <c r="K490" s="22"/>
    </row>
    <row r="491" spans="1:11">
      <c r="A491" s="16"/>
      <c r="B491" s="21"/>
      <c r="C491" s="16"/>
      <c r="D491" s="25"/>
      <c r="E491" s="22"/>
      <c r="F491" s="22"/>
      <c r="G491" s="25"/>
      <c r="H491" s="92"/>
      <c r="I491" s="22"/>
      <c r="J491" s="24"/>
      <c r="K491" s="22"/>
    </row>
    <row r="492" spans="1:11">
      <c r="A492" s="16"/>
      <c r="B492" s="21"/>
      <c r="C492" s="16"/>
      <c r="D492" s="25"/>
      <c r="E492" s="22"/>
      <c r="F492" s="22"/>
      <c r="G492" s="25"/>
      <c r="H492" s="92"/>
      <c r="I492" s="22"/>
      <c r="J492" s="24"/>
      <c r="K492" s="22"/>
    </row>
    <row r="493" spans="1:11">
      <c r="A493" s="16"/>
      <c r="B493" s="21"/>
      <c r="C493" s="16"/>
      <c r="D493" s="25"/>
      <c r="E493" s="22"/>
      <c r="F493" s="22"/>
      <c r="G493" s="25"/>
      <c r="H493" s="92"/>
      <c r="I493" s="22"/>
      <c r="J493" s="24"/>
      <c r="K493" s="22"/>
    </row>
    <row r="494" spans="1:11">
      <c r="A494" s="16"/>
      <c r="B494" s="21"/>
      <c r="C494" s="16"/>
      <c r="D494" s="25"/>
      <c r="E494" s="22"/>
      <c r="F494" s="22"/>
      <c r="G494" s="25"/>
      <c r="H494" s="92"/>
      <c r="I494" s="22"/>
      <c r="J494" s="24"/>
      <c r="K494" s="22"/>
    </row>
    <row r="495" spans="1:11">
      <c r="A495" s="16"/>
      <c r="B495" s="21"/>
      <c r="C495" s="16"/>
      <c r="D495" s="25"/>
      <c r="E495" s="22"/>
      <c r="F495" s="22"/>
      <c r="G495" s="25"/>
      <c r="H495" s="92"/>
      <c r="I495" s="22"/>
      <c r="J495" s="24"/>
      <c r="K495" s="22"/>
    </row>
    <row r="496" spans="1:11">
      <c r="A496" s="16"/>
      <c r="B496" s="21"/>
      <c r="C496" s="16"/>
      <c r="D496" s="25"/>
      <c r="E496" s="22"/>
      <c r="F496" s="22"/>
      <c r="G496" s="25"/>
      <c r="H496" s="92"/>
      <c r="I496" s="22"/>
      <c r="J496" s="24"/>
      <c r="K496" s="22"/>
    </row>
    <row r="497" spans="1:11">
      <c r="A497" s="16"/>
      <c r="B497" s="21"/>
      <c r="C497" s="16"/>
      <c r="D497" s="25"/>
      <c r="E497" s="22"/>
      <c r="F497" s="22"/>
      <c r="G497" s="25"/>
      <c r="H497" s="92"/>
      <c r="I497" s="22"/>
      <c r="J497" s="24"/>
      <c r="K497" s="22"/>
    </row>
    <row r="498" spans="1:11">
      <c r="A498" s="16"/>
      <c r="B498" s="21"/>
      <c r="C498" s="16"/>
      <c r="D498" s="25"/>
      <c r="E498" s="22"/>
      <c r="F498" s="22"/>
      <c r="G498" s="25"/>
      <c r="H498" s="92"/>
      <c r="I498" s="22"/>
      <c r="J498" s="24"/>
      <c r="K498" s="22"/>
    </row>
    <row r="499" spans="1:11">
      <c r="A499" s="16"/>
      <c r="B499" s="21"/>
      <c r="C499" s="16"/>
      <c r="D499" s="25"/>
      <c r="E499" s="22"/>
      <c r="F499" s="22"/>
      <c r="G499" s="25"/>
      <c r="H499" s="92"/>
      <c r="I499" s="22"/>
      <c r="J499" s="24"/>
      <c r="K499" s="22"/>
    </row>
    <row r="500" spans="1:11">
      <c r="A500" s="16"/>
      <c r="B500" s="21"/>
      <c r="C500" s="16"/>
      <c r="D500" s="25"/>
      <c r="E500" s="22"/>
      <c r="F500" s="22"/>
      <c r="G500" s="25"/>
      <c r="H500" s="92"/>
      <c r="I500" s="22"/>
      <c r="J500" s="24"/>
      <c r="K500" s="22"/>
    </row>
    <row r="501" spans="1:11">
      <c r="A501" s="16"/>
      <c r="B501" s="21"/>
      <c r="C501" s="16"/>
      <c r="D501" s="25"/>
      <c r="E501" s="22"/>
      <c r="F501" s="22"/>
      <c r="G501" s="25"/>
      <c r="H501" s="92"/>
      <c r="I501" s="22"/>
      <c r="J501" s="24"/>
      <c r="K501" s="22"/>
    </row>
    <row r="502" spans="1:11">
      <c r="A502" s="16"/>
      <c r="B502" s="21"/>
      <c r="C502" s="16"/>
      <c r="D502" s="25"/>
      <c r="E502" s="22"/>
      <c r="F502" s="22"/>
      <c r="G502" s="25"/>
      <c r="H502" s="92"/>
      <c r="I502" s="22"/>
      <c r="J502" s="24"/>
      <c r="K502" s="22"/>
    </row>
    <row r="503" spans="1:11">
      <c r="A503" s="16"/>
      <c r="B503" s="21"/>
      <c r="C503" s="16"/>
      <c r="D503" s="25"/>
      <c r="E503" s="22"/>
      <c r="F503" s="22"/>
      <c r="G503" s="25"/>
      <c r="H503" s="92"/>
      <c r="I503" s="22"/>
      <c r="J503" s="24"/>
      <c r="K503" s="22"/>
    </row>
    <row r="504" spans="1:11">
      <c r="A504" s="16"/>
      <c r="B504" s="21"/>
      <c r="C504" s="16"/>
      <c r="D504" s="25"/>
      <c r="E504" s="22"/>
      <c r="F504" s="22"/>
      <c r="G504" s="25"/>
      <c r="H504" s="92"/>
      <c r="I504" s="22"/>
      <c r="J504" s="24"/>
      <c r="K504" s="22"/>
    </row>
    <row r="505" spans="1:11">
      <c r="A505" s="16"/>
      <c r="B505" s="21"/>
      <c r="C505" s="16"/>
      <c r="D505" s="25"/>
      <c r="E505" s="22"/>
      <c r="F505" s="22"/>
      <c r="G505" s="25"/>
      <c r="H505" s="92"/>
      <c r="I505" s="22"/>
      <c r="J505" s="24"/>
      <c r="K505" s="22"/>
    </row>
    <row r="506" spans="1:11">
      <c r="A506" s="16"/>
      <c r="B506" s="21"/>
      <c r="C506" s="16"/>
      <c r="D506" s="25"/>
      <c r="E506" s="22"/>
      <c r="F506" s="22"/>
      <c r="G506" s="25"/>
      <c r="H506" s="92"/>
      <c r="I506" s="22"/>
      <c r="J506" s="24"/>
      <c r="K506" s="22"/>
    </row>
    <row r="507" spans="1:11">
      <c r="A507" s="16"/>
      <c r="B507" s="21"/>
      <c r="C507" s="16"/>
      <c r="D507" s="25"/>
      <c r="E507" s="22"/>
      <c r="F507" s="22"/>
      <c r="G507" s="25"/>
      <c r="H507" s="92"/>
      <c r="I507" s="22"/>
      <c r="J507" s="24"/>
      <c r="K507" s="22"/>
    </row>
    <row r="508" spans="1:11">
      <c r="A508" s="16"/>
      <c r="B508" s="21"/>
      <c r="C508" s="16"/>
      <c r="D508" s="25"/>
      <c r="E508" s="22"/>
      <c r="F508" s="22"/>
      <c r="G508" s="25"/>
      <c r="H508" s="92"/>
      <c r="I508" s="22"/>
      <c r="J508" s="24"/>
      <c r="K508" s="22"/>
    </row>
    <row r="509" spans="1:11">
      <c r="A509" s="16"/>
      <c r="B509" s="21"/>
      <c r="C509" s="16"/>
      <c r="D509" s="25"/>
      <c r="E509" s="22"/>
      <c r="F509" s="22"/>
      <c r="G509" s="25"/>
      <c r="H509" s="92"/>
      <c r="I509" s="22"/>
      <c r="J509" s="24"/>
      <c r="K509" s="22"/>
    </row>
    <row r="510" spans="1:11">
      <c r="A510" s="16"/>
      <c r="B510" s="21"/>
      <c r="C510" s="16"/>
      <c r="D510" s="25"/>
      <c r="E510" s="22"/>
      <c r="F510" s="22"/>
      <c r="G510" s="25"/>
      <c r="H510" s="92"/>
      <c r="I510" s="22"/>
      <c r="J510" s="24"/>
      <c r="K510" s="22"/>
    </row>
    <row r="511" spans="1:11">
      <c r="A511" s="16"/>
      <c r="B511" s="21"/>
      <c r="C511" s="16"/>
      <c r="D511" s="25"/>
      <c r="E511" s="22"/>
      <c r="F511" s="22"/>
      <c r="G511" s="25"/>
      <c r="H511" s="92"/>
      <c r="I511" s="22"/>
      <c r="J511" s="24"/>
      <c r="K511" s="22"/>
    </row>
    <row r="512" spans="1:11">
      <c r="A512" s="16"/>
      <c r="B512" s="21"/>
      <c r="C512" s="16"/>
      <c r="D512" s="25"/>
      <c r="E512" s="22"/>
      <c r="F512" s="22"/>
      <c r="G512" s="25"/>
      <c r="H512" s="92"/>
      <c r="I512" s="22"/>
      <c r="J512" s="24"/>
      <c r="K512" s="22"/>
    </row>
    <row r="513" spans="1:11">
      <c r="A513" s="16"/>
      <c r="B513" s="21"/>
      <c r="C513" s="16"/>
      <c r="D513" s="25"/>
      <c r="E513" s="22"/>
      <c r="F513" s="22"/>
      <c r="G513" s="25"/>
      <c r="H513" s="92"/>
      <c r="I513" s="22"/>
      <c r="J513" s="24"/>
      <c r="K513" s="22"/>
    </row>
    <row r="514" spans="1:11">
      <c r="A514" s="16"/>
      <c r="B514" s="21"/>
      <c r="C514" s="16"/>
      <c r="D514" s="25"/>
      <c r="E514" s="22"/>
      <c r="F514" s="22"/>
      <c r="G514" s="25"/>
      <c r="H514" s="92"/>
      <c r="I514" s="22"/>
      <c r="J514" s="24"/>
      <c r="K514" s="22"/>
    </row>
    <row r="515" spans="1:11">
      <c r="A515" s="16"/>
      <c r="B515" s="21"/>
      <c r="C515" s="16"/>
      <c r="D515" s="25"/>
      <c r="E515" s="22"/>
      <c r="F515" s="22"/>
      <c r="G515" s="25"/>
      <c r="H515" s="92"/>
      <c r="I515" s="22"/>
      <c r="J515" s="24"/>
      <c r="K515" s="22"/>
    </row>
    <row r="516" spans="1:11">
      <c r="A516" s="16"/>
      <c r="B516" s="21"/>
      <c r="C516" s="16"/>
      <c r="D516" s="25"/>
      <c r="E516" s="22"/>
      <c r="F516" s="22"/>
      <c r="G516" s="25"/>
      <c r="H516" s="92"/>
      <c r="I516" s="22"/>
      <c r="J516" s="24"/>
      <c r="K516" s="22"/>
    </row>
    <row r="517" spans="1:11">
      <c r="A517" s="16"/>
      <c r="B517" s="21"/>
      <c r="C517" s="16"/>
      <c r="D517" s="25"/>
      <c r="E517" s="22"/>
      <c r="F517" s="22"/>
      <c r="G517" s="25"/>
      <c r="H517" s="92"/>
      <c r="I517" s="22"/>
      <c r="J517" s="24"/>
      <c r="K517" s="22"/>
    </row>
    <row r="518" spans="1:11">
      <c r="A518" s="16"/>
      <c r="B518" s="21"/>
      <c r="C518" s="16"/>
      <c r="D518" s="25"/>
      <c r="E518" s="22"/>
      <c r="F518" s="22"/>
      <c r="G518" s="25"/>
      <c r="H518" s="92"/>
      <c r="I518" s="22"/>
      <c r="J518" s="24"/>
      <c r="K518" s="22"/>
    </row>
    <row r="519" spans="1:11">
      <c r="A519" s="16"/>
      <c r="B519" s="21"/>
      <c r="C519" s="16"/>
      <c r="D519" s="25"/>
      <c r="E519" s="22"/>
      <c r="F519" s="22"/>
      <c r="G519" s="25"/>
      <c r="H519" s="92"/>
      <c r="I519" s="22"/>
      <c r="J519" s="24"/>
      <c r="K519" s="22"/>
    </row>
    <row r="520" spans="1:11">
      <c r="A520" s="16"/>
      <c r="B520" s="21"/>
      <c r="C520" s="16"/>
      <c r="D520" s="25"/>
      <c r="E520" s="22"/>
      <c r="F520" s="22"/>
      <c r="G520" s="25"/>
      <c r="H520" s="92"/>
      <c r="I520" s="22"/>
      <c r="J520" s="24"/>
      <c r="K520" s="22"/>
    </row>
    <row r="521" spans="1:11">
      <c r="A521" s="16"/>
      <c r="B521" s="21"/>
      <c r="C521" s="16"/>
      <c r="D521" s="25"/>
      <c r="E521" s="22"/>
      <c r="F521" s="22"/>
      <c r="G521" s="25"/>
      <c r="H521" s="92"/>
      <c r="I521" s="22"/>
      <c r="J521" s="24"/>
      <c r="K521" s="22"/>
    </row>
    <row r="522" spans="1:11">
      <c r="A522" s="16"/>
      <c r="B522" s="21"/>
      <c r="C522" s="16"/>
      <c r="D522" s="25"/>
      <c r="E522" s="22"/>
      <c r="F522" s="22"/>
      <c r="G522" s="25"/>
      <c r="H522" s="92"/>
      <c r="I522" s="22"/>
      <c r="J522" s="24"/>
      <c r="K522" s="22"/>
    </row>
    <row r="523" spans="1:11">
      <c r="A523" s="16"/>
      <c r="B523" s="21"/>
      <c r="C523" s="16"/>
      <c r="D523" s="25"/>
      <c r="E523" s="22"/>
      <c r="F523" s="22"/>
      <c r="G523" s="25"/>
      <c r="H523" s="92"/>
      <c r="I523" s="22"/>
      <c r="J523" s="24"/>
      <c r="K523" s="22"/>
    </row>
    <row r="524" spans="1:11">
      <c r="A524" s="16"/>
      <c r="B524" s="21"/>
      <c r="C524" s="16"/>
      <c r="D524" s="25"/>
      <c r="E524" s="22"/>
      <c r="F524" s="22"/>
      <c r="G524" s="25"/>
      <c r="H524" s="92"/>
      <c r="I524" s="22"/>
      <c r="J524" s="24"/>
      <c r="K524" s="22"/>
    </row>
    <row r="525" spans="1:11">
      <c r="A525" s="16"/>
      <c r="B525" s="21"/>
      <c r="C525" s="16"/>
      <c r="D525" s="25"/>
      <c r="E525" s="22"/>
      <c r="F525" s="22"/>
      <c r="G525" s="25"/>
      <c r="H525" s="92"/>
      <c r="I525" s="22"/>
      <c r="J525" s="24"/>
      <c r="K525" s="22"/>
    </row>
    <row r="526" spans="1:11">
      <c r="A526" s="16"/>
      <c r="B526" s="21"/>
      <c r="C526" s="16"/>
      <c r="D526" s="25"/>
      <c r="E526" s="22"/>
      <c r="F526" s="22"/>
      <c r="G526" s="25"/>
      <c r="H526" s="92"/>
      <c r="I526" s="22"/>
      <c r="J526" s="24"/>
      <c r="K526" s="22"/>
    </row>
    <row r="527" spans="1:11">
      <c r="A527" s="16"/>
      <c r="B527" s="21"/>
      <c r="C527" s="16"/>
      <c r="D527" s="25"/>
      <c r="E527" s="22"/>
      <c r="F527" s="22"/>
      <c r="G527" s="25"/>
      <c r="H527" s="92"/>
      <c r="I527" s="22"/>
      <c r="J527" s="24"/>
      <c r="K527" s="22"/>
    </row>
    <row r="528" spans="1:11">
      <c r="A528" s="16"/>
      <c r="B528" s="21"/>
      <c r="C528" s="16"/>
      <c r="D528" s="25"/>
      <c r="E528" s="22"/>
      <c r="F528" s="22"/>
      <c r="G528" s="25"/>
      <c r="H528" s="92"/>
      <c r="I528" s="22"/>
      <c r="J528" s="24"/>
      <c r="K528" s="22"/>
    </row>
    <row r="529" spans="1:11">
      <c r="A529" s="16"/>
      <c r="B529" s="21"/>
      <c r="C529" s="16"/>
      <c r="D529" s="25"/>
      <c r="E529" s="22"/>
      <c r="F529" s="22"/>
      <c r="G529" s="25"/>
      <c r="H529" s="92"/>
      <c r="I529" s="22"/>
      <c r="J529" s="24"/>
      <c r="K529" s="22"/>
    </row>
    <row r="530" spans="1:11">
      <c r="A530" s="16"/>
      <c r="B530" s="21"/>
      <c r="C530" s="16"/>
      <c r="D530" s="25"/>
      <c r="E530" s="22"/>
      <c r="F530" s="22"/>
      <c r="G530" s="25"/>
      <c r="H530" s="92"/>
      <c r="I530" s="22"/>
      <c r="J530" s="24"/>
      <c r="K530" s="22"/>
    </row>
    <row r="531" spans="1:11">
      <c r="A531" s="16"/>
      <c r="B531" s="21"/>
      <c r="C531" s="16"/>
      <c r="D531" s="25"/>
      <c r="E531" s="22"/>
      <c r="F531" s="22"/>
      <c r="G531" s="25"/>
      <c r="H531" s="92"/>
      <c r="I531" s="22"/>
      <c r="J531" s="24"/>
      <c r="K531" s="22"/>
    </row>
    <row r="532" spans="1:11">
      <c r="A532" s="16"/>
      <c r="B532" s="21"/>
      <c r="C532" s="16"/>
      <c r="D532" s="25"/>
      <c r="E532" s="22"/>
      <c r="F532" s="22"/>
      <c r="G532" s="25"/>
      <c r="H532" s="92"/>
      <c r="I532" s="22"/>
      <c r="J532" s="24"/>
      <c r="K532" s="22"/>
    </row>
    <row r="533" spans="1:11">
      <c r="A533" s="16"/>
      <c r="B533" s="21"/>
      <c r="C533" s="16"/>
      <c r="D533" s="25"/>
      <c r="E533" s="22"/>
      <c r="F533" s="22"/>
      <c r="G533" s="25"/>
      <c r="H533" s="92"/>
      <c r="I533" s="22"/>
      <c r="J533" s="24"/>
      <c r="K533" s="22"/>
    </row>
    <row r="534" spans="1:11">
      <c r="A534" s="16"/>
      <c r="B534" s="21"/>
      <c r="C534" s="16"/>
      <c r="D534" s="25"/>
      <c r="E534" s="22"/>
      <c r="F534" s="22"/>
      <c r="G534" s="25"/>
      <c r="H534" s="92"/>
      <c r="I534" s="22"/>
      <c r="J534" s="24"/>
      <c r="K534" s="22"/>
    </row>
    <row r="535" spans="1:11">
      <c r="A535" s="16"/>
      <c r="B535" s="21"/>
      <c r="C535" s="16"/>
      <c r="D535" s="25"/>
      <c r="E535" s="22"/>
      <c r="F535" s="22"/>
      <c r="G535" s="25"/>
      <c r="H535" s="92"/>
      <c r="I535" s="22"/>
      <c r="J535" s="24"/>
      <c r="K535" s="22"/>
    </row>
    <row r="536" spans="1:11">
      <c r="A536" s="16"/>
      <c r="B536" s="21"/>
      <c r="C536" s="16"/>
      <c r="D536" s="25"/>
      <c r="E536" s="22"/>
      <c r="F536" s="22"/>
      <c r="G536" s="25"/>
      <c r="H536" s="92"/>
      <c r="I536" s="22"/>
      <c r="J536" s="24"/>
      <c r="K536" s="22"/>
    </row>
    <row r="537" spans="1:11">
      <c r="A537" s="16"/>
      <c r="B537" s="21"/>
      <c r="C537" s="16"/>
      <c r="D537" s="25"/>
      <c r="E537" s="22"/>
      <c r="F537" s="22"/>
      <c r="G537" s="25"/>
      <c r="H537" s="92"/>
      <c r="I537" s="22"/>
      <c r="J537" s="24"/>
      <c r="K537" s="22"/>
    </row>
    <row r="538" spans="1:11">
      <c r="A538" s="16"/>
      <c r="B538" s="21"/>
      <c r="C538" s="16"/>
      <c r="D538" s="25"/>
      <c r="E538" s="22"/>
      <c r="F538" s="22"/>
      <c r="G538" s="25"/>
      <c r="H538" s="92"/>
      <c r="I538" s="22"/>
      <c r="J538" s="24"/>
      <c r="K538" s="22"/>
    </row>
    <row r="539" spans="1:11">
      <c r="A539" s="16"/>
      <c r="B539" s="21"/>
      <c r="C539" s="16"/>
      <c r="D539" s="25"/>
      <c r="E539" s="22"/>
      <c r="F539" s="22"/>
      <c r="G539" s="25"/>
      <c r="H539" s="92"/>
      <c r="I539" s="22"/>
      <c r="J539" s="24"/>
      <c r="K539" s="22"/>
    </row>
    <row r="540" spans="1:11">
      <c r="A540" s="16"/>
      <c r="B540" s="21"/>
      <c r="C540" s="16"/>
      <c r="D540" s="25"/>
      <c r="E540" s="22"/>
      <c r="F540" s="22"/>
      <c r="G540" s="25"/>
      <c r="H540" s="92"/>
      <c r="I540" s="22"/>
      <c r="J540" s="24"/>
      <c r="K540" s="22"/>
    </row>
    <row r="541" spans="1:11">
      <c r="A541" s="16"/>
      <c r="B541" s="21"/>
      <c r="C541" s="16"/>
      <c r="D541" s="25"/>
      <c r="E541" s="22"/>
      <c r="F541" s="22"/>
      <c r="G541" s="25"/>
      <c r="H541" s="92"/>
      <c r="I541" s="22"/>
      <c r="J541" s="24"/>
      <c r="K541" s="22"/>
    </row>
    <row r="542" spans="1:11">
      <c r="A542" s="16"/>
      <c r="B542" s="21"/>
      <c r="C542" s="16"/>
      <c r="D542" s="25"/>
      <c r="E542" s="22"/>
      <c r="F542" s="22"/>
      <c r="G542" s="25"/>
      <c r="H542" s="92"/>
      <c r="I542" s="22"/>
      <c r="J542" s="24"/>
      <c r="K542" s="22"/>
    </row>
    <row r="543" spans="1:11">
      <c r="A543" s="16"/>
      <c r="B543" s="21"/>
      <c r="C543" s="16"/>
      <c r="D543" s="25"/>
      <c r="E543" s="22"/>
      <c r="F543" s="22"/>
      <c r="G543" s="25"/>
      <c r="H543" s="92"/>
      <c r="I543" s="22"/>
      <c r="J543" s="24"/>
      <c r="K543" s="22"/>
    </row>
    <row r="544" spans="1:11">
      <c r="A544" s="16"/>
      <c r="B544" s="21"/>
      <c r="C544" s="16"/>
      <c r="D544" s="25"/>
      <c r="E544" s="22"/>
      <c r="F544" s="22"/>
      <c r="G544" s="25"/>
      <c r="H544" s="92"/>
      <c r="I544" s="22"/>
      <c r="J544" s="24"/>
      <c r="K544" s="22"/>
    </row>
    <row r="545" spans="1:11">
      <c r="A545" s="16"/>
      <c r="B545" s="21"/>
      <c r="C545" s="16"/>
      <c r="D545" s="25"/>
      <c r="E545" s="22"/>
      <c r="F545" s="22"/>
      <c r="G545" s="25"/>
      <c r="H545" s="92"/>
      <c r="I545" s="22"/>
      <c r="J545" s="24"/>
      <c r="K545" s="22"/>
    </row>
    <row r="546" spans="1:11">
      <c r="A546" s="16"/>
      <c r="B546" s="21"/>
      <c r="C546" s="16"/>
      <c r="D546" s="25"/>
      <c r="E546" s="22"/>
      <c r="F546" s="22"/>
      <c r="G546" s="25"/>
      <c r="H546" s="92"/>
      <c r="I546" s="22"/>
      <c r="J546" s="24"/>
      <c r="K546" s="22"/>
    </row>
    <row r="547" spans="1:11">
      <c r="A547" s="16"/>
      <c r="B547" s="21"/>
      <c r="C547" s="16"/>
      <c r="D547" s="25"/>
      <c r="E547" s="22"/>
      <c r="F547" s="22"/>
      <c r="G547" s="25"/>
      <c r="H547" s="92"/>
      <c r="I547" s="22"/>
      <c r="J547" s="24"/>
      <c r="K547" s="22"/>
    </row>
    <row r="548" spans="1:11">
      <c r="A548" s="16"/>
      <c r="B548" s="21"/>
      <c r="C548" s="16"/>
      <c r="D548" s="25"/>
      <c r="E548" s="22"/>
      <c r="F548" s="22"/>
      <c r="G548" s="25"/>
      <c r="H548" s="92"/>
      <c r="I548" s="22"/>
      <c r="J548" s="24"/>
      <c r="K548" s="22"/>
    </row>
    <row r="549" spans="1:11">
      <c r="A549" s="16"/>
      <c r="B549" s="21"/>
      <c r="C549" s="16"/>
      <c r="D549" s="25"/>
      <c r="E549" s="22"/>
      <c r="F549" s="22"/>
      <c r="G549" s="25"/>
      <c r="H549" s="92"/>
      <c r="I549" s="22"/>
      <c r="J549" s="24"/>
      <c r="K549" s="22"/>
    </row>
    <row r="550" spans="1:11">
      <c r="A550" s="16"/>
      <c r="B550" s="21"/>
      <c r="C550" s="16"/>
      <c r="D550" s="25"/>
      <c r="E550" s="22"/>
      <c r="F550" s="22"/>
      <c r="G550" s="25"/>
      <c r="H550" s="92"/>
      <c r="I550" s="22"/>
      <c r="J550" s="24"/>
      <c r="K550" s="22"/>
    </row>
    <row r="551" spans="1:11">
      <c r="A551" s="16"/>
      <c r="B551" s="21"/>
      <c r="C551" s="16"/>
      <c r="D551" s="25"/>
      <c r="E551" s="22"/>
      <c r="F551" s="22"/>
      <c r="G551" s="25"/>
      <c r="H551" s="92"/>
      <c r="I551" s="22"/>
      <c r="J551" s="24"/>
      <c r="K551" s="22"/>
    </row>
    <row r="552" spans="1:11">
      <c r="A552" s="16"/>
      <c r="B552" s="21"/>
      <c r="C552" s="16"/>
      <c r="D552" s="25"/>
      <c r="E552" s="22"/>
      <c r="F552" s="22"/>
      <c r="G552" s="25"/>
      <c r="H552" s="92"/>
      <c r="I552" s="22"/>
      <c r="J552" s="24"/>
      <c r="K552" s="22"/>
    </row>
    <row r="553" spans="1:11">
      <c r="A553" s="16"/>
      <c r="B553" s="21"/>
      <c r="C553" s="16"/>
      <c r="D553" s="25"/>
      <c r="E553" s="22"/>
      <c r="F553" s="22"/>
      <c r="G553" s="25"/>
      <c r="H553" s="92"/>
      <c r="I553" s="22"/>
      <c r="J553" s="24"/>
      <c r="K553" s="22"/>
    </row>
    <row r="554" spans="1:11">
      <c r="A554" s="16"/>
      <c r="B554" s="21"/>
      <c r="C554" s="16"/>
      <c r="D554" s="25"/>
      <c r="E554" s="22"/>
      <c r="F554" s="22"/>
      <c r="G554" s="25"/>
      <c r="H554" s="92"/>
      <c r="I554" s="22"/>
      <c r="J554" s="24"/>
      <c r="K554" s="22"/>
    </row>
    <row r="555" spans="1:11">
      <c r="A555" s="16"/>
      <c r="B555" s="21"/>
      <c r="C555" s="16"/>
      <c r="D555" s="25"/>
      <c r="E555" s="22"/>
      <c r="F555" s="22"/>
      <c r="G555" s="25"/>
      <c r="H555" s="92"/>
      <c r="I555" s="22"/>
      <c r="J555" s="24"/>
      <c r="K555" s="22"/>
    </row>
    <row r="556" spans="1:11">
      <c r="A556" s="16"/>
      <c r="B556" s="21"/>
      <c r="C556" s="16"/>
      <c r="D556" s="25"/>
      <c r="E556" s="22"/>
      <c r="F556" s="22"/>
      <c r="G556" s="25"/>
      <c r="H556" s="92"/>
      <c r="I556" s="22"/>
      <c r="J556" s="24"/>
      <c r="K556" s="22"/>
    </row>
    <row r="557" spans="1:11">
      <c r="A557" s="16"/>
      <c r="B557" s="21"/>
      <c r="C557" s="16"/>
      <c r="D557" s="25"/>
      <c r="E557" s="22"/>
      <c r="F557" s="22"/>
      <c r="G557" s="25"/>
      <c r="H557" s="92"/>
      <c r="I557" s="22"/>
      <c r="J557" s="24"/>
      <c r="K557" s="22"/>
    </row>
    <row r="558" spans="1:11">
      <c r="A558" s="16"/>
      <c r="B558" s="21"/>
      <c r="C558" s="16"/>
      <c r="D558" s="25"/>
      <c r="E558" s="22"/>
      <c r="F558" s="22"/>
      <c r="G558" s="25"/>
      <c r="H558" s="92"/>
      <c r="I558" s="22"/>
      <c r="J558" s="24"/>
      <c r="K558" s="22"/>
    </row>
    <row r="559" spans="1:11">
      <c r="A559" s="16"/>
      <c r="B559" s="21"/>
      <c r="C559" s="16"/>
      <c r="D559" s="25"/>
      <c r="E559" s="22"/>
      <c r="F559" s="22"/>
      <c r="G559" s="25"/>
      <c r="H559" s="92"/>
      <c r="I559" s="22"/>
      <c r="J559" s="24"/>
      <c r="K559" s="22"/>
    </row>
    <row r="560" spans="1:11">
      <c r="A560" s="16"/>
      <c r="B560" s="21"/>
      <c r="C560" s="16"/>
      <c r="D560" s="25"/>
      <c r="E560" s="22"/>
      <c r="F560" s="22"/>
      <c r="G560" s="25"/>
      <c r="H560" s="92"/>
      <c r="I560" s="22"/>
      <c r="J560" s="24"/>
      <c r="K560" s="22"/>
    </row>
    <row r="561" spans="1:11">
      <c r="A561" s="16"/>
      <c r="B561" s="21"/>
      <c r="C561" s="16"/>
      <c r="D561" s="25"/>
      <c r="E561" s="22"/>
      <c r="F561" s="22"/>
      <c r="G561" s="25"/>
      <c r="H561" s="92"/>
      <c r="I561" s="22"/>
      <c r="J561" s="24"/>
      <c r="K561" s="22"/>
    </row>
    <row r="562" spans="1:11">
      <c r="A562" s="16"/>
      <c r="B562" s="21"/>
      <c r="C562" s="16"/>
      <c r="D562" s="25"/>
      <c r="E562" s="22"/>
      <c r="F562" s="22"/>
      <c r="G562" s="25"/>
      <c r="H562" s="92"/>
      <c r="I562" s="22"/>
      <c r="J562" s="24"/>
      <c r="K562" s="22"/>
    </row>
    <row r="563" spans="1:11">
      <c r="A563" s="16"/>
      <c r="B563" s="21"/>
      <c r="C563" s="16"/>
      <c r="D563" s="25"/>
      <c r="E563" s="22"/>
      <c r="F563" s="22"/>
      <c r="G563" s="25"/>
      <c r="H563" s="92"/>
      <c r="I563" s="22"/>
      <c r="J563" s="24"/>
      <c r="K563" s="22"/>
    </row>
    <row r="564" spans="1:11">
      <c r="A564" s="16"/>
      <c r="B564" s="21"/>
      <c r="C564" s="16"/>
      <c r="D564" s="25"/>
      <c r="E564" s="22"/>
      <c r="F564" s="22"/>
      <c r="G564" s="25"/>
      <c r="H564" s="92"/>
      <c r="I564" s="22"/>
      <c r="J564" s="24"/>
      <c r="K564" s="22"/>
    </row>
    <row r="565" spans="1:11">
      <c r="A565" s="16"/>
      <c r="B565" s="21"/>
      <c r="C565" s="16"/>
      <c r="D565" s="25"/>
      <c r="E565" s="22"/>
      <c r="F565" s="22"/>
      <c r="G565" s="25"/>
      <c r="H565" s="92"/>
      <c r="I565" s="22"/>
      <c r="J565" s="24"/>
      <c r="K565" s="22"/>
    </row>
    <row r="566" spans="1:11">
      <c r="A566" s="16"/>
      <c r="B566" s="21"/>
      <c r="C566" s="16"/>
      <c r="D566" s="25"/>
      <c r="E566" s="22"/>
      <c r="F566" s="22"/>
      <c r="G566" s="25"/>
      <c r="H566" s="92"/>
      <c r="I566" s="22"/>
      <c r="J566" s="24"/>
      <c r="K566" s="22"/>
    </row>
    <row r="567" spans="1:11">
      <c r="A567" s="16"/>
      <c r="B567" s="21"/>
      <c r="C567" s="16"/>
      <c r="D567" s="25"/>
      <c r="E567" s="22"/>
      <c r="F567" s="22"/>
      <c r="G567" s="25"/>
      <c r="H567" s="92"/>
      <c r="I567" s="22"/>
      <c r="J567" s="24"/>
      <c r="K567" s="22"/>
    </row>
    <row r="568" spans="1:11">
      <c r="A568" s="16"/>
      <c r="B568" s="21"/>
      <c r="C568" s="16"/>
      <c r="D568" s="25"/>
      <c r="E568" s="22"/>
      <c r="F568" s="22"/>
      <c r="G568" s="25"/>
      <c r="H568" s="92"/>
      <c r="I568" s="22"/>
      <c r="J568" s="24"/>
      <c r="K568" s="22"/>
    </row>
    <row r="569" spans="1:11">
      <c r="A569" s="16"/>
      <c r="B569" s="21"/>
      <c r="C569" s="16"/>
      <c r="D569" s="25"/>
      <c r="E569" s="22"/>
      <c r="F569" s="22"/>
      <c r="G569" s="25"/>
      <c r="H569" s="92"/>
      <c r="I569" s="22"/>
      <c r="J569" s="24"/>
      <c r="K569" s="22"/>
    </row>
    <row r="570" spans="1:11">
      <c r="A570" s="16"/>
      <c r="B570" s="21"/>
      <c r="C570" s="16"/>
      <c r="D570" s="25"/>
      <c r="E570" s="22"/>
      <c r="F570" s="22"/>
      <c r="G570" s="25"/>
      <c r="H570" s="92"/>
      <c r="I570" s="22"/>
      <c r="J570" s="24"/>
      <c r="K570" s="22"/>
    </row>
    <row r="571" spans="1:11">
      <c r="A571" s="16"/>
      <c r="B571" s="21"/>
      <c r="C571" s="16"/>
      <c r="D571" s="25"/>
      <c r="E571" s="22"/>
      <c r="F571" s="22"/>
      <c r="G571" s="25"/>
      <c r="H571" s="92"/>
      <c r="I571" s="22"/>
      <c r="J571" s="24"/>
      <c r="K571" s="22"/>
    </row>
    <row r="572" spans="1:11">
      <c r="A572" s="16"/>
      <c r="B572" s="21"/>
      <c r="C572" s="16"/>
      <c r="D572" s="25"/>
      <c r="E572" s="22"/>
      <c r="F572" s="22"/>
      <c r="G572" s="25"/>
      <c r="H572" s="92"/>
      <c r="I572" s="22"/>
      <c r="J572" s="24"/>
      <c r="K572" s="22"/>
    </row>
    <row r="573" spans="1:11">
      <c r="A573" s="16"/>
      <c r="B573" s="21"/>
      <c r="C573" s="16"/>
      <c r="D573" s="25"/>
      <c r="E573" s="22"/>
      <c r="F573" s="22"/>
      <c r="G573" s="25"/>
      <c r="H573" s="92"/>
      <c r="I573" s="22"/>
      <c r="J573" s="24"/>
      <c r="K573" s="22"/>
    </row>
    <row r="574" spans="1:11">
      <c r="A574" s="16"/>
      <c r="B574" s="21"/>
      <c r="C574" s="16"/>
      <c r="D574" s="25"/>
      <c r="E574" s="22"/>
      <c r="F574" s="22"/>
      <c r="G574" s="25"/>
      <c r="H574" s="92"/>
      <c r="I574" s="22"/>
      <c r="J574" s="24"/>
      <c r="K574" s="22"/>
    </row>
    <row r="575" spans="1:11">
      <c r="A575" s="16"/>
      <c r="B575" s="21"/>
      <c r="C575" s="16"/>
      <c r="D575" s="25"/>
      <c r="E575" s="22"/>
      <c r="F575" s="22"/>
      <c r="G575" s="25"/>
      <c r="H575" s="92"/>
      <c r="I575" s="22"/>
      <c r="J575" s="24"/>
      <c r="K575" s="22"/>
    </row>
    <row r="576" spans="1:11">
      <c r="A576" s="16"/>
      <c r="B576" s="21"/>
      <c r="C576" s="16"/>
      <c r="D576" s="25"/>
      <c r="E576" s="22"/>
      <c r="F576" s="22"/>
      <c r="G576" s="25"/>
      <c r="H576" s="92"/>
      <c r="I576" s="22"/>
      <c r="J576" s="24"/>
      <c r="K576" s="22"/>
    </row>
    <row r="577" spans="1:11">
      <c r="A577" s="16"/>
      <c r="B577" s="21"/>
      <c r="C577" s="16"/>
      <c r="D577" s="25"/>
      <c r="E577" s="22"/>
      <c r="F577" s="22"/>
      <c r="G577" s="25"/>
      <c r="H577" s="92"/>
      <c r="I577" s="22"/>
      <c r="J577" s="24"/>
      <c r="K577" s="22"/>
    </row>
    <row r="578" spans="1:11">
      <c r="A578" s="16"/>
      <c r="B578" s="21"/>
      <c r="C578" s="16"/>
      <c r="D578" s="25"/>
      <c r="E578" s="22"/>
      <c r="F578" s="22"/>
      <c r="G578" s="25"/>
      <c r="H578" s="92"/>
      <c r="I578" s="22"/>
      <c r="J578" s="24"/>
      <c r="K578" s="22"/>
    </row>
    <row r="579" spans="1:11">
      <c r="A579" s="16"/>
      <c r="B579" s="21"/>
      <c r="C579" s="16"/>
      <c r="D579" s="25"/>
      <c r="E579" s="22"/>
      <c r="F579" s="22"/>
      <c r="G579" s="25"/>
      <c r="H579" s="92"/>
      <c r="I579" s="22"/>
      <c r="J579" s="24"/>
      <c r="K579" s="22"/>
    </row>
    <row r="580" spans="1:11">
      <c r="A580" s="16"/>
      <c r="B580" s="21"/>
      <c r="C580" s="16"/>
      <c r="D580" s="25"/>
      <c r="E580" s="22"/>
      <c r="F580" s="22"/>
      <c r="G580" s="25"/>
      <c r="H580" s="92"/>
      <c r="I580" s="22"/>
      <c r="J580" s="24"/>
      <c r="K580" s="22"/>
    </row>
    <row r="581" spans="1:11">
      <c r="A581" s="16"/>
      <c r="B581" s="21"/>
      <c r="C581" s="16"/>
      <c r="D581" s="25"/>
      <c r="E581" s="22"/>
      <c r="F581" s="22"/>
      <c r="G581" s="25"/>
      <c r="H581" s="92"/>
      <c r="I581" s="22"/>
      <c r="J581" s="24"/>
      <c r="K581" s="22"/>
    </row>
    <row r="582" spans="1:11">
      <c r="A582" s="16"/>
      <c r="B582" s="21"/>
      <c r="C582" s="16"/>
      <c r="D582" s="25"/>
      <c r="E582" s="22"/>
      <c r="F582" s="22"/>
      <c r="G582" s="25"/>
      <c r="H582" s="92"/>
      <c r="I582" s="22"/>
      <c r="J582" s="24"/>
      <c r="K582" s="22"/>
    </row>
    <row r="583" spans="1:11">
      <c r="A583" s="16"/>
      <c r="B583" s="21"/>
      <c r="C583" s="16"/>
      <c r="D583" s="25"/>
      <c r="E583" s="22"/>
      <c r="F583" s="22"/>
      <c r="G583" s="25"/>
      <c r="H583" s="92"/>
      <c r="I583" s="22"/>
      <c r="J583" s="24"/>
      <c r="K583" s="22"/>
    </row>
    <row r="584" spans="1:11">
      <c r="A584" s="16"/>
      <c r="B584" s="21"/>
      <c r="C584" s="16"/>
      <c r="D584" s="25"/>
      <c r="E584" s="22"/>
      <c r="F584" s="22"/>
      <c r="G584" s="25"/>
      <c r="H584" s="92"/>
      <c r="I584" s="22"/>
      <c r="J584" s="24"/>
      <c r="K584" s="22"/>
    </row>
    <row r="585" spans="1:11">
      <c r="A585" s="16"/>
      <c r="B585" s="21"/>
      <c r="C585" s="16"/>
      <c r="D585" s="25"/>
      <c r="E585" s="22"/>
      <c r="F585" s="22"/>
      <c r="G585" s="25"/>
      <c r="H585" s="92"/>
      <c r="I585" s="22"/>
      <c r="J585" s="24"/>
      <c r="K585" s="22"/>
    </row>
    <row r="586" spans="1:11">
      <c r="A586" s="16"/>
      <c r="B586" s="21"/>
      <c r="C586" s="16"/>
      <c r="D586" s="25"/>
      <c r="E586" s="22"/>
      <c r="F586" s="22"/>
      <c r="G586" s="25"/>
      <c r="H586" s="92"/>
      <c r="I586" s="22"/>
      <c r="J586" s="24"/>
      <c r="K586" s="22"/>
    </row>
    <row r="587" spans="1:11">
      <c r="A587" s="16"/>
      <c r="B587" s="21"/>
      <c r="C587" s="16"/>
      <c r="D587" s="25"/>
      <c r="E587" s="22"/>
      <c r="F587" s="22"/>
      <c r="G587" s="25"/>
      <c r="H587" s="92"/>
      <c r="I587" s="22"/>
      <c r="J587" s="24"/>
      <c r="K587" s="22"/>
    </row>
    <row r="588" spans="1:11">
      <c r="A588" s="16"/>
      <c r="B588" s="21"/>
      <c r="C588" s="16"/>
      <c r="D588" s="25"/>
      <c r="E588" s="22"/>
      <c r="F588" s="22"/>
      <c r="G588" s="25"/>
      <c r="H588" s="92"/>
      <c r="I588" s="22"/>
      <c r="J588" s="24"/>
      <c r="K588" s="22"/>
    </row>
    <row r="589" spans="1:11">
      <c r="A589" s="16"/>
      <c r="B589" s="21"/>
      <c r="C589" s="16"/>
      <c r="D589" s="25"/>
      <c r="E589" s="22"/>
      <c r="F589" s="22"/>
      <c r="G589" s="25"/>
      <c r="H589" s="92"/>
      <c r="I589" s="22"/>
      <c r="J589" s="24"/>
      <c r="K589" s="22"/>
    </row>
    <row r="590" spans="1:11">
      <c r="A590" s="16"/>
      <c r="B590" s="21"/>
      <c r="C590" s="16"/>
      <c r="D590" s="25"/>
      <c r="E590" s="22"/>
      <c r="F590" s="22"/>
      <c r="G590" s="25"/>
      <c r="H590" s="92"/>
      <c r="I590" s="22"/>
      <c r="J590" s="24"/>
      <c r="K590" s="22"/>
    </row>
    <row r="591" spans="1:11">
      <c r="A591" s="16"/>
      <c r="B591" s="21"/>
      <c r="C591" s="16"/>
      <c r="D591" s="25"/>
      <c r="E591" s="22"/>
      <c r="F591" s="22"/>
      <c r="G591" s="25"/>
      <c r="H591" s="92"/>
      <c r="I591" s="22"/>
      <c r="J591" s="24"/>
      <c r="K591" s="22"/>
    </row>
    <row r="592" spans="1:11">
      <c r="A592" s="16"/>
      <c r="B592" s="21"/>
      <c r="C592" s="16"/>
      <c r="D592" s="25"/>
      <c r="E592" s="22"/>
      <c r="F592" s="22"/>
      <c r="G592" s="25"/>
      <c r="H592" s="92"/>
      <c r="I592" s="22"/>
      <c r="J592" s="24"/>
      <c r="K592" s="22"/>
    </row>
    <row r="593" spans="1:11">
      <c r="A593" s="16"/>
      <c r="B593" s="21"/>
      <c r="C593" s="16"/>
      <c r="D593" s="25"/>
      <c r="E593" s="22"/>
      <c r="F593" s="22"/>
      <c r="G593" s="25"/>
      <c r="H593" s="92"/>
      <c r="I593" s="22"/>
      <c r="J593" s="24"/>
      <c r="K593" s="22"/>
    </row>
    <row r="594" spans="1:11">
      <c r="A594" s="16"/>
      <c r="B594" s="21"/>
      <c r="C594" s="16"/>
      <c r="D594" s="25"/>
      <c r="E594" s="22"/>
      <c r="F594" s="22"/>
      <c r="G594" s="25"/>
      <c r="H594" s="92"/>
      <c r="I594" s="22"/>
      <c r="J594" s="24"/>
      <c r="K594" s="22"/>
    </row>
    <row r="595" spans="1:11">
      <c r="A595" s="16"/>
      <c r="B595" s="21"/>
      <c r="C595" s="16"/>
      <c r="D595" s="25"/>
      <c r="E595" s="22"/>
      <c r="F595" s="22"/>
      <c r="G595" s="25"/>
      <c r="H595" s="92"/>
      <c r="I595" s="22"/>
      <c r="J595" s="24"/>
      <c r="K595" s="22"/>
    </row>
    <row r="596" spans="1:11">
      <c r="A596" s="16"/>
      <c r="B596" s="21"/>
      <c r="C596" s="16"/>
      <c r="D596" s="25"/>
      <c r="E596" s="22"/>
      <c r="F596" s="22"/>
      <c r="G596" s="25"/>
      <c r="H596" s="92"/>
      <c r="I596" s="22"/>
      <c r="J596" s="24"/>
      <c r="K596" s="22"/>
    </row>
    <row r="597" spans="1:11">
      <c r="A597" s="16"/>
      <c r="B597" s="21"/>
      <c r="C597" s="16"/>
      <c r="D597" s="25"/>
      <c r="E597" s="22"/>
      <c r="F597" s="22"/>
      <c r="G597" s="25"/>
      <c r="H597" s="92"/>
      <c r="I597" s="22"/>
      <c r="J597" s="24"/>
      <c r="K597" s="22"/>
    </row>
    <row r="598" spans="1:11">
      <c r="A598" s="16"/>
      <c r="B598" s="21"/>
      <c r="C598" s="16"/>
      <c r="D598" s="25"/>
      <c r="E598" s="22"/>
      <c r="F598" s="22"/>
      <c r="G598" s="25"/>
      <c r="H598" s="92"/>
      <c r="I598" s="22"/>
      <c r="J598" s="24"/>
      <c r="K598" s="22"/>
    </row>
    <row r="599" spans="1:11">
      <c r="A599" s="16"/>
      <c r="B599" s="21"/>
      <c r="C599" s="16"/>
      <c r="D599" s="25"/>
      <c r="E599" s="22"/>
      <c r="F599" s="22"/>
      <c r="G599" s="25"/>
      <c r="H599" s="92"/>
      <c r="I599" s="22"/>
      <c r="J599" s="24"/>
      <c r="K599" s="22"/>
    </row>
    <row r="600" spans="1:11">
      <c r="A600" s="16"/>
      <c r="B600" s="21"/>
      <c r="C600" s="16"/>
      <c r="D600" s="25"/>
      <c r="E600" s="22"/>
      <c r="F600" s="22"/>
      <c r="G600" s="25"/>
      <c r="H600" s="92"/>
      <c r="I600" s="22"/>
      <c r="J600" s="24"/>
      <c r="K600" s="22"/>
    </row>
    <row r="601" spans="1:11">
      <c r="A601" s="16"/>
      <c r="B601" s="21"/>
      <c r="C601" s="16"/>
      <c r="D601" s="25"/>
      <c r="E601" s="22"/>
      <c r="F601" s="22"/>
      <c r="G601" s="25"/>
      <c r="H601" s="92"/>
      <c r="I601" s="22"/>
      <c r="J601" s="24"/>
      <c r="K601" s="22"/>
    </row>
    <row r="602" spans="1:11">
      <c r="A602" s="16"/>
      <c r="B602" s="21"/>
      <c r="C602" s="16"/>
      <c r="D602" s="25"/>
      <c r="E602" s="22"/>
      <c r="F602" s="22"/>
      <c r="G602" s="25"/>
      <c r="H602" s="92"/>
      <c r="I602" s="22"/>
      <c r="J602" s="24"/>
      <c r="K602" s="22"/>
    </row>
    <row r="603" spans="1:11">
      <c r="A603" s="16"/>
      <c r="B603" s="21"/>
      <c r="C603" s="16"/>
      <c r="D603" s="25"/>
      <c r="E603" s="22"/>
      <c r="F603" s="22"/>
      <c r="G603" s="25"/>
      <c r="H603" s="92"/>
      <c r="I603" s="22"/>
      <c r="J603" s="24"/>
      <c r="K603" s="22"/>
    </row>
    <row r="604" spans="1:11">
      <c r="A604" s="16"/>
      <c r="B604" s="21"/>
      <c r="C604" s="16"/>
      <c r="D604" s="25"/>
      <c r="E604" s="22"/>
      <c r="F604" s="22"/>
      <c r="G604" s="25"/>
      <c r="H604" s="92"/>
      <c r="I604" s="22"/>
      <c r="J604" s="24"/>
      <c r="K604" s="22"/>
    </row>
    <row r="605" spans="1:11">
      <c r="A605" s="16"/>
      <c r="B605" s="21"/>
      <c r="C605" s="16"/>
      <c r="D605" s="25"/>
      <c r="E605" s="22"/>
      <c r="F605" s="22"/>
      <c r="G605" s="25"/>
      <c r="H605" s="92"/>
      <c r="I605" s="22"/>
      <c r="J605" s="24"/>
      <c r="K605" s="22"/>
    </row>
    <row r="606" spans="1:11">
      <c r="A606" s="16"/>
      <c r="B606" s="21"/>
      <c r="C606" s="16"/>
      <c r="D606" s="25"/>
      <c r="E606" s="22"/>
      <c r="F606" s="22"/>
      <c r="G606" s="25"/>
      <c r="H606" s="92"/>
      <c r="I606" s="22"/>
      <c r="J606" s="24"/>
      <c r="K606" s="22"/>
    </row>
    <row r="607" spans="1:11">
      <c r="A607" s="16"/>
      <c r="B607" s="21"/>
      <c r="C607" s="16"/>
      <c r="D607" s="25"/>
      <c r="E607" s="22"/>
      <c r="F607" s="22"/>
      <c r="G607" s="25"/>
      <c r="H607" s="92"/>
      <c r="I607" s="22"/>
      <c r="J607" s="24"/>
      <c r="K607" s="22"/>
    </row>
    <row r="608" spans="1:11">
      <c r="A608" s="16"/>
      <c r="B608" s="21"/>
      <c r="C608" s="16"/>
      <c r="D608" s="25"/>
      <c r="E608" s="22"/>
      <c r="F608" s="22"/>
      <c r="G608" s="25"/>
      <c r="H608" s="92"/>
      <c r="I608" s="22"/>
      <c r="J608" s="24"/>
      <c r="K608" s="22"/>
    </row>
    <row r="609" spans="1:11">
      <c r="A609" s="16"/>
      <c r="B609" s="21"/>
      <c r="C609" s="16"/>
      <c r="D609" s="25"/>
      <c r="E609" s="22"/>
      <c r="F609" s="22"/>
      <c r="G609" s="25"/>
      <c r="H609" s="92"/>
      <c r="I609" s="22"/>
      <c r="J609" s="24"/>
      <c r="K609" s="22"/>
    </row>
    <row r="610" spans="1:11">
      <c r="A610" s="16"/>
      <c r="B610" s="21"/>
      <c r="C610" s="16"/>
      <c r="D610" s="25"/>
      <c r="E610" s="22"/>
      <c r="F610" s="22"/>
      <c r="G610" s="25"/>
      <c r="H610" s="92"/>
      <c r="I610" s="22"/>
      <c r="J610" s="24"/>
      <c r="K610" s="22"/>
    </row>
    <row r="611" spans="1:11">
      <c r="A611" s="16"/>
      <c r="B611" s="21"/>
      <c r="C611" s="16"/>
      <c r="D611" s="25"/>
      <c r="E611" s="22"/>
      <c r="F611" s="22"/>
      <c r="G611" s="25"/>
      <c r="H611" s="92"/>
      <c r="I611" s="22"/>
      <c r="J611" s="24"/>
      <c r="K611" s="22"/>
    </row>
    <row r="612" spans="1:11">
      <c r="A612" s="16"/>
      <c r="B612" s="21"/>
      <c r="C612" s="16"/>
      <c r="D612" s="25"/>
      <c r="E612" s="22"/>
      <c r="F612" s="22"/>
      <c r="G612" s="25"/>
      <c r="H612" s="92"/>
      <c r="I612" s="22"/>
      <c r="J612" s="24"/>
      <c r="K612" s="22"/>
    </row>
    <row r="613" spans="1:11">
      <c r="A613" s="16"/>
      <c r="B613" s="21"/>
      <c r="C613" s="16"/>
      <c r="D613" s="25"/>
      <c r="E613" s="22"/>
      <c r="F613" s="22"/>
      <c r="G613" s="25"/>
      <c r="H613" s="92"/>
      <c r="I613" s="22"/>
      <c r="J613" s="24"/>
      <c r="K613" s="22"/>
    </row>
    <row r="614" spans="1:11">
      <c r="A614" s="16"/>
      <c r="B614" s="21"/>
      <c r="C614" s="16"/>
      <c r="D614" s="25"/>
      <c r="E614" s="22"/>
      <c r="F614" s="22"/>
      <c r="G614" s="25"/>
      <c r="H614" s="92"/>
      <c r="I614" s="22"/>
      <c r="J614" s="24"/>
      <c r="K614" s="22"/>
    </row>
    <row r="615" spans="1:11">
      <c r="A615" s="16"/>
      <c r="B615" s="21"/>
      <c r="C615" s="16"/>
      <c r="D615" s="25"/>
      <c r="E615" s="22"/>
      <c r="F615" s="22"/>
      <c r="G615" s="25"/>
      <c r="H615" s="92"/>
      <c r="I615" s="22"/>
      <c r="J615" s="24"/>
      <c r="K615" s="22"/>
    </row>
    <row r="616" spans="1:11">
      <c r="A616" s="16"/>
      <c r="B616" s="21"/>
      <c r="C616" s="16"/>
      <c r="D616" s="25"/>
      <c r="E616" s="22"/>
      <c r="F616" s="22"/>
      <c r="G616" s="25"/>
      <c r="H616" s="92"/>
      <c r="I616" s="22"/>
      <c r="J616" s="24"/>
      <c r="K616" s="22"/>
    </row>
    <row r="617" spans="1:11">
      <c r="A617" s="16"/>
      <c r="B617" s="21"/>
      <c r="C617" s="16"/>
      <c r="D617" s="25"/>
      <c r="E617" s="22"/>
      <c r="F617" s="22"/>
      <c r="G617" s="25"/>
      <c r="H617" s="92"/>
      <c r="I617" s="22"/>
      <c r="J617" s="24"/>
      <c r="K617" s="22"/>
    </row>
    <row r="618" spans="1:11">
      <c r="A618" s="16"/>
      <c r="B618" s="21"/>
      <c r="C618" s="16"/>
      <c r="D618" s="25"/>
      <c r="E618" s="22"/>
      <c r="F618" s="22"/>
      <c r="G618" s="25"/>
      <c r="H618" s="92"/>
      <c r="I618" s="22"/>
      <c r="J618" s="24"/>
      <c r="K618" s="22"/>
    </row>
    <row r="619" spans="1:11">
      <c r="A619" s="16"/>
      <c r="B619" s="21"/>
      <c r="C619" s="16"/>
      <c r="D619" s="25"/>
      <c r="E619" s="22"/>
      <c r="F619" s="22"/>
      <c r="G619" s="25"/>
      <c r="H619" s="92"/>
      <c r="I619" s="22"/>
      <c r="J619" s="24"/>
      <c r="K619" s="22"/>
    </row>
    <row r="620" spans="1:11">
      <c r="A620" s="16"/>
      <c r="B620" s="21"/>
      <c r="C620" s="16"/>
      <c r="D620" s="25"/>
      <c r="E620" s="22"/>
      <c r="F620" s="22"/>
      <c r="G620" s="25"/>
      <c r="H620" s="92"/>
      <c r="I620" s="22"/>
      <c r="J620" s="24"/>
      <c r="K620" s="22"/>
    </row>
    <row r="621" spans="1:11">
      <c r="A621" s="16"/>
      <c r="B621" s="21"/>
      <c r="C621" s="16"/>
      <c r="D621" s="25"/>
      <c r="E621" s="22"/>
      <c r="F621" s="22"/>
      <c r="G621" s="25"/>
      <c r="H621" s="92"/>
      <c r="I621" s="22"/>
      <c r="J621" s="24"/>
      <c r="K621" s="22"/>
    </row>
    <row r="622" spans="1:11">
      <c r="A622" s="16"/>
      <c r="B622" s="21"/>
      <c r="C622" s="16"/>
      <c r="D622" s="25"/>
      <c r="E622" s="22"/>
      <c r="F622" s="22"/>
      <c r="G622" s="25"/>
      <c r="H622" s="92"/>
      <c r="I622" s="22"/>
      <c r="J622" s="24"/>
      <c r="K622" s="22"/>
    </row>
    <row r="623" spans="1:11">
      <c r="A623" s="16"/>
      <c r="B623" s="21"/>
      <c r="C623" s="16"/>
      <c r="D623" s="25"/>
      <c r="E623" s="22"/>
      <c r="F623" s="22"/>
      <c r="G623" s="25"/>
      <c r="H623" s="92"/>
      <c r="I623" s="22"/>
      <c r="J623" s="24"/>
      <c r="K623" s="22"/>
    </row>
    <row r="624" spans="1:11">
      <c r="A624" s="16"/>
      <c r="B624" s="21"/>
      <c r="C624" s="16"/>
      <c r="D624" s="25"/>
      <c r="E624" s="22"/>
      <c r="F624" s="22"/>
      <c r="G624" s="25"/>
      <c r="H624" s="92"/>
      <c r="I624" s="22"/>
      <c r="J624" s="24"/>
      <c r="K624" s="22"/>
    </row>
    <row r="625" spans="1:11">
      <c r="A625" s="16"/>
      <c r="B625" s="21"/>
      <c r="C625" s="16"/>
      <c r="D625" s="25"/>
      <c r="E625" s="22"/>
      <c r="F625" s="22"/>
      <c r="G625" s="25"/>
      <c r="H625" s="92"/>
      <c r="I625" s="22"/>
      <c r="J625" s="24"/>
      <c r="K625" s="22"/>
    </row>
    <row r="626" spans="1:11">
      <c r="A626" s="16"/>
      <c r="B626" s="21"/>
      <c r="C626" s="16"/>
      <c r="D626" s="25"/>
      <c r="E626" s="22"/>
      <c r="F626" s="22"/>
      <c r="G626" s="25"/>
      <c r="H626" s="92"/>
      <c r="I626" s="22"/>
      <c r="J626" s="24"/>
      <c r="K626" s="22"/>
    </row>
    <row r="627" spans="1:11">
      <c r="A627" s="16"/>
      <c r="B627" s="21"/>
      <c r="C627" s="16"/>
      <c r="D627" s="25"/>
      <c r="E627" s="22"/>
      <c r="F627" s="22"/>
      <c r="G627" s="25"/>
      <c r="H627" s="92"/>
      <c r="I627" s="22"/>
      <c r="J627" s="24"/>
      <c r="K627" s="22"/>
    </row>
    <row r="628" spans="1:11">
      <c r="A628" s="16"/>
      <c r="B628" s="21"/>
      <c r="C628" s="16"/>
      <c r="D628" s="25"/>
      <c r="E628" s="22"/>
      <c r="F628" s="22"/>
      <c r="G628" s="25"/>
      <c r="H628" s="92"/>
      <c r="I628" s="22"/>
      <c r="J628" s="24"/>
      <c r="K628" s="22"/>
    </row>
    <row r="629" spans="1:11">
      <c r="A629" s="16"/>
      <c r="B629" s="21"/>
      <c r="C629" s="16"/>
      <c r="D629" s="25"/>
      <c r="E629" s="22"/>
      <c r="F629" s="22"/>
      <c r="G629" s="25"/>
      <c r="H629" s="92"/>
      <c r="I629" s="22"/>
      <c r="J629" s="24"/>
      <c r="K629" s="22"/>
    </row>
    <row r="630" spans="1:11">
      <c r="A630" s="16"/>
      <c r="B630" s="21"/>
      <c r="C630" s="16"/>
      <c r="D630" s="25"/>
      <c r="E630" s="22"/>
      <c r="F630" s="22"/>
      <c r="G630" s="25"/>
      <c r="H630" s="92"/>
      <c r="I630" s="22"/>
      <c r="J630" s="24"/>
      <c r="K630" s="22"/>
    </row>
    <row r="631" spans="1:11">
      <c r="A631" s="16"/>
      <c r="B631" s="21"/>
      <c r="C631" s="16"/>
      <c r="D631" s="25"/>
      <c r="E631" s="22"/>
      <c r="F631" s="22"/>
      <c r="G631" s="25"/>
      <c r="H631" s="92"/>
      <c r="I631" s="22"/>
      <c r="J631" s="24"/>
      <c r="K631" s="22"/>
    </row>
    <row r="632" spans="1:11">
      <c r="A632" s="16"/>
      <c r="B632" s="21"/>
      <c r="C632" s="16"/>
      <c r="D632" s="25"/>
      <c r="E632" s="22"/>
      <c r="F632" s="22"/>
      <c r="G632" s="25"/>
      <c r="H632" s="92"/>
      <c r="I632" s="22"/>
      <c r="J632" s="24"/>
      <c r="K632" s="22"/>
    </row>
    <row r="633" spans="1:11">
      <c r="A633" s="16"/>
      <c r="B633" s="21"/>
      <c r="C633" s="16"/>
      <c r="D633" s="25"/>
      <c r="E633" s="22"/>
      <c r="F633" s="22"/>
      <c r="G633" s="25"/>
      <c r="H633" s="92"/>
      <c r="I633" s="22"/>
      <c r="J633" s="24"/>
      <c r="K633" s="22"/>
    </row>
    <row r="634" spans="1:11">
      <c r="A634" s="16"/>
      <c r="B634" s="21"/>
      <c r="C634" s="16"/>
      <c r="D634" s="25"/>
      <c r="E634" s="22"/>
      <c r="F634" s="22"/>
      <c r="G634" s="25"/>
      <c r="H634" s="92"/>
      <c r="I634" s="22"/>
      <c r="J634" s="24"/>
      <c r="K634" s="22"/>
    </row>
    <row r="635" spans="1:11">
      <c r="A635" s="16"/>
      <c r="B635" s="21"/>
      <c r="C635" s="16"/>
      <c r="D635" s="25"/>
      <c r="E635" s="22"/>
      <c r="F635" s="22"/>
      <c r="G635" s="25"/>
      <c r="H635" s="92"/>
      <c r="I635" s="22"/>
      <c r="J635" s="24"/>
      <c r="K635" s="22"/>
    </row>
    <row r="636" spans="1:11">
      <c r="A636" s="16"/>
      <c r="B636" s="21"/>
      <c r="C636" s="16"/>
      <c r="D636" s="25"/>
      <c r="E636" s="22"/>
      <c r="F636" s="22"/>
      <c r="G636" s="25"/>
      <c r="H636" s="92"/>
      <c r="I636" s="22"/>
      <c r="J636" s="24"/>
      <c r="K636" s="22"/>
    </row>
    <row r="637" spans="1:11">
      <c r="A637" s="16"/>
      <c r="B637" s="21"/>
      <c r="C637" s="16"/>
      <c r="D637" s="25"/>
      <c r="E637" s="22"/>
      <c r="F637" s="22"/>
      <c r="G637" s="25"/>
      <c r="H637" s="92"/>
      <c r="I637" s="22"/>
      <c r="J637" s="24"/>
      <c r="K637" s="22"/>
    </row>
    <row r="638" spans="1:11">
      <c r="A638" s="16"/>
      <c r="B638" s="21"/>
      <c r="C638" s="16"/>
      <c r="D638" s="25"/>
      <c r="E638" s="22"/>
      <c r="F638" s="22"/>
      <c r="G638" s="25"/>
      <c r="H638" s="92"/>
      <c r="I638" s="22"/>
      <c r="J638" s="24"/>
      <c r="K638" s="22"/>
    </row>
    <row r="639" spans="1:11">
      <c r="A639" s="16"/>
      <c r="B639" s="21"/>
      <c r="C639" s="16"/>
      <c r="D639" s="25"/>
      <c r="E639" s="22"/>
      <c r="F639" s="22"/>
      <c r="G639" s="25"/>
      <c r="H639" s="92"/>
      <c r="I639" s="22"/>
      <c r="J639" s="24"/>
      <c r="K639" s="22"/>
    </row>
    <row r="640" spans="1:11">
      <c r="A640" s="16"/>
      <c r="B640" s="21"/>
      <c r="C640" s="16"/>
      <c r="D640" s="25"/>
      <c r="E640" s="22"/>
      <c r="F640" s="22"/>
      <c r="G640" s="25"/>
      <c r="H640" s="92"/>
      <c r="I640" s="22"/>
      <c r="J640" s="24"/>
      <c r="K640" s="22"/>
    </row>
    <row r="641" spans="1:11">
      <c r="A641" s="16"/>
      <c r="B641" s="21"/>
      <c r="C641" s="16"/>
      <c r="D641" s="25"/>
      <c r="E641" s="22"/>
      <c r="F641" s="22"/>
      <c r="G641" s="25"/>
      <c r="H641" s="92"/>
      <c r="I641" s="22"/>
      <c r="J641" s="24"/>
      <c r="K641" s="22"/>
    </row>
    <row r="642" spans="1:11">
      <c r="A642" s="16"/>
      <c r="B642" s="21"/>
      <c r="C642" s="16"/>
      <c r="D642" s="25"/>
      <c r="E642" s="22"/>
      <c r="F642" s="22"/>
      <c r="G642" s="25"/>
      <c r="H642" s="92"/>
      <c r="I642" s="22"/>
      <c r="J642" s="24"/>
      <c r="K642" s="22"/>
    </row>
    <row r="643" spans="1:11">
      <c r="A643" s="16"/>
      <c r="B643" s="21"/>
      <c r="C643" s="16"/>
      <c r="D643" s="25"/>
      <c r="E643" s="22"/>
      <c r="F643" s="22"/>
      <c r="G643" s="25"/>
      <c r="H643" s="92"/>
      <c r="I643" s="22"/>
      <c r="J643" s="24"/>
      <c r="K643" s="22"/>
    </row>
    <row r="644" spans="1:11">
      <c r="A644" s="16"/>
      <c r="B644" s="21"/>
      <c r="C644" s="16"/>
      <c r="D644" s="25"/>
      <c r="E644" s="22"/>
      <c r="F644" s="22"/>
      <c r="G644" s="25"/>
      <c r="H644" s="92"/>
      <c r="I644" s="22"/>
      <c r="J644" s="24"/>
      <c r="K644" s="22"/>
    </row>
    <row r="645" spans="1:11">
      <c r="A645" s="16"/>
      <c r="B645" s="21"/>
      <c r="C645" s="16"/>
      <c r="D645" s="25"/>
      <c r="E645" s="22"/>
      <c r="F645" s="22"/>
      <c r="G645" s="25"/>
      <c r="H645" s="92"/>
      <c r="I645" s="22"/>
      <c r="J645" s="24"/>
      <c r="K645" s="22"/>
    </row>
    <row r="646" spans="1:11">
      <c r="A646" s="16"/>
      <c r="B646" s="21"/>
      <c r="C646" s="16"/>
      <c r="D646" s="25"/>
      <c r="E646" s="22"/>
      <c r="F646" s="22"/>
      <c r="G646" s="25"/>
      <c r="H646" s="92"/>
      <c r="I646" s="22"/>
      <c r="J646" s="24"/>
      <c r="K646" s="22"/>
    </row>
    <row r="647" spans="1:11">
      <c r="A647" s="16"/>
      <c r="B647" s="21"/>
      <c r="C647" s="16"/>
      <c r="D647" s="25"/>
      <c r="E647" s="22"/>
      <c r="F647" s="22"/>
      <c r="G647" s="25"/>
      <c r="H647" s="92"/>
      <c r="I647" s="22"/>
      <c r="J647" s="24"/>
      <c r="K647" s="22"/>
    </row>
    <row r="648" spans="1:11">
      <c r="A648" s="16"/>
      <c r="B648" s="21"/>
      <c r="C648" s="16"/>
      <c r="D648" s="25"/>
      <c r="E648" s="22"/>
      <c r="F648" s="22"/>
      <c r="G648" s="25"/>
      <c r="H648" s="92"/>
      <c r="I648" s="22"/>
      <c r="J648" s="24"/>
      <c r="K648" s="22"/>
    </row>
    <row r="649" spans="1:11">
      <c r="A649" s="16"/>
      <c r="B649" s="21"/>
      <c r="C649" s="16"/>
      <c r="D649" s="25"/>
      <c r="E649" s="22"/>
      <c r="F649" s="22"/>
      <c r="G649" s="25"/>
      <c r="H649" s="92"/>
      <c r="I649" s="22"/>
      <c r="J649" s="24"/>
      <c r="K649" s="22"/>
    </row>
    <row r="650" spans="1:11">
      <c r="A650" s="16"/>
      <c r="B650" s="21"/>
      <c r="C650" s="16"/>
      <c r="D650" s="25"/>
      <c r="E650" s="22"/>
      <c r="F650" s="22"/>
      <c r="G650" s="25"/>
      <c r="H650" s="92"/>
      <c r="I650" s="22"/>
      <c r="J650" s="24"/>
      <c r="K650" s="22"/>
    </row>
    <row r="651" spans="1:11">
      <c r="A651" s="16"/>
      <c r="B651" s="21"/>
      <c r="C651" s="16"/>
      <c r="D651" s="25"/>
      <c r="E651" s="22"/>
      <c r="F651" s="22"/>
      <c r="G651" s="25"/>
      <c r="H651" s="92"/>
      <c r="I651" s="22"/>
      <c r="J651" s="24"/>
      <c r="K651" s="22"/>
    </row>
    <row r="652" spans="1:11">
      <c r="A652" s="16"/>
      <c r="B652" s="21"/>
      <c r="C652" s="16"/>
      <c r="D652" s="25"/>
      <c r="E652" s="22"/>
      <c r="F652" s="22"/>
      <c r="G652" s="25"/>
      <c r="H652" s="92"/>
      <c r="I652" s="22"/>
      <c r="J652" s="24"/>
      <c r="K652" s="22"/>
    </row>
    <row r="653" spans="1:11">
      <c r="A653" s="16"/>
      <c r="B653" s="21"/>
      <c r="C653" s="16"/>
      <c r="D653" s="25"/>
      <c r="E653" s="22"/>
      <c r="F653" s="22"/>
      <c r="G653" s="25"/>
      <c r="H653" s="92"/>
      <c r="I653" s="22"/>
      <c r="J653" s="24"/>
      <c r="K653" s="22"/>
    </row>
    <row r="654" spans="1:11">
      <c r="A654" s="16"/>
      <c r="B654" s="21"/>
      <c r="C654" s="16"/>
      <c r="D654" s="25"/>
      <c r="E654" s="22"/>
      <c r="F654" s="22"/>
      <c r="G654" s="25"/>
      <c r="H654" s="92"/>
      <c r="I654" s="22"/>
      <c r="J654" s="24"/>
      <c r="K654" s="22"/>
    </row>
    <row r="655" spans="1:11">
      <c r="A655" s="16"/>
      <c r="B655" s="21"/>
      <c r="C655" s="16"/>
      <c r="D655" s="25"/>
      <c r="E655" s="22"/>
      <c r="F655" s="22"/>
      <c r="G655" s="25"/>
      <c r="H655" s="92"/>
      <c r="I655" s="22"/>
      <c r="J655" s="24"/>
      <c r="K655" s="22"/>
    </row>
    <row r="656" spans="1:11">
      <c r="A656" s="16"/>
      <c r="B656" s="21"/>
      <c r="C656" s="16"/>
      <c r="D656" s="25"/>
      <c r="E656" s="22"/>
      <c r="F656" s="22"/>
      <c r="G656" s="25"/>
      <c r="H656" s="92"/>
      <c r="I656" s="22"/>
      <c r="J656" s="24"/>
      <c r="K656" s="22"/>
    </row>
    <row r="657" spans="1:11">
      <c r="A657" s="16"/>
      <c r="B657" s="21"/>
      <c r="C657" s="16"/>
      <c r="D657" s="25"/>
      <c r="E657" s="22"/>
      <c r="F657" s="22"/>
      <c r="G657" s="25"/>
      <c r="H657" s="92"/>
      <c r="I657" s="22"/>
      <c r="J657" s="24"/>
      <c r="K657" s="22"/>
    </row>
    <row r="658" spans="1:11">
      <c r="A658" s="16"/>
      <c r="B658" s="21"/>
      <c r="C658" s="16"/>
      <c r="D658" s="25"/>
      <c r="E658" s="22"/>
      <c r="F658" s="22"/>
      <c r="G658" s="25"/>
      <c r="H658" s="92"/>
      <c r="I658" s="22"/>
      <c r="J658" s="24"/>
      <c r="K658" s="22"/>
    </row>
    <row r="659" spans="1:11">
      <c r="A659" s="16"/>
      <c r="B659" s="21"/>
      <c r="C659" s="16"/>
      <c r="D659" s="25"/>
      <c r="E659" s="22"/>
      <c r="F659" s="22"/>
      <c r="G659" s="25"/>
      <c r="H659" s="92"/>
      <c r="I659" s="22"/>
      <c r="J659" s="24"/>
      <c r="K659" s="22"/>
    </row>
    <row r="660" spans="1:11">
      <c r="A660" s="16"/>
      <c r="B660" s="21"/>
      <c r="C660" s="16"/>
      <c r="D660" s="25"/>
      <c r="E660" s="22"/>
      <c r="F660" s="22"/>
      <c r="G660" s="25"/>
      <c r="H660" s="92"/>
      <c r="I660" s="22"/>
      <c r="J660" s="24"/>
      <c r="K660" s="22"/>
    </row>
    <row r="661" spans="1:11">
      <c r="A661" s="16"/>
      <c r="B661" s="21"/>
      <c r="C661" s="16"/>
      <c r="D661" s="25"/>
      <c r="E661" s="22"/>
      <c r="F661" s="22"/>
      <c r="G661" s="25"/>
      <c r="H661" s="92"/>
      <c r="I661" s="22"/>
      <c r="J661" s="24"/>
      <c r="K661" s="22"/>
    </row>
    <row r="662" spans="1:11">
      <c r="A662" s="16"/>
      <c r="B662" s="21"/>
      <c r="C662" s="16"/>
      <c r="D662" s="25"/>
      <c r="E662" s="22"/>
      <c r="F662" s="22"/>
      <c r="G662" s="25"/>
      <c r="H662" s="92"/>
      <c r="I662" s="22"/>
      <c r="J662" s="24"/>
      <c r="K662" s="22"/>
    </row>
    <row r="663" spans="1:11">
      <c r="A663" s="16"/>
      <c r="B663" s="21"/>
      <c r="C663" s="16"/>
      <c r="D663" s="25"/>
      <c r="E663" s="22"/>
      <c r="F663" s="22"/>
      <c r="G663" s="25"/>
      <c r="H663" s="92"/>
      <c r="I663" s="22"/>
      <c r="J663" s="24"/>
      <c r="K663" s="22"/>
    </row>
    <row r="664" spans="1:11">
      <c r="A664" s="16"/>
      <c r="B664" s="21"/>
      <c r="C664" s="16"/>
      <c r="D664" s="25"/>
      <c r="E664" s="22"/>
      <c r="F664" s="22"/>
      <c r="G664" s="25"/>
      <c r="H664" s="92"/>
      <c r="I664" s="22"/>
      <c r="J664" s="24"/>
      <c r="K664" s="22"/>
    </row>
    <row r="665" spans="1:11">
      <c r="A665" s="16"/>
      <c r="B665" s="21"/>
      <c r="C665" s="16"/>
      <c r="D665" s="25"/>
      <c r="E665" s="22"/>
      <c r="F665" s="22"/>
      <c r="G665" s="25"/>
      <c r="H665" s="92"/>
      <c r="I665" s="22"/>
      <c r="J665" s="24"/>
      <c r="K665" s="22"/>
    </row>
    <row r="666" spans="1:11">
      <c r="A666" s="16"/>
      <c r="B666" s="21"/>
      <c r="C666" s="16"/>
      <c r="D666" s="25"/>
      <c r="E666" s="22"/>
      <c r="F666" s="22"/>
      <c r="G666" s="25"/>
      <c r="H666" s="92"/>
      <c r="I666" s="22"/>
      <c r="J666" s="24"/>
      <c r="K666" s="22"/>
    </row>
    <row r="667" spans="1:11">
      <c r="A667" s="16"/>
      <c r="B667" s="21"/>
      <c r="C667" s="16"/>
      <c r="D667" s="25"/>
      <c r="E667" s="22"/>
      <c r="F667" s="22"/>
      <c r="G667" s="25"/>
      <c r="H667" s="92"/>
      <c r="I667" s="22"/>
      <c r="J667" s="24"/>
      <c r="K667" s="22"/>
    </row>
    <row r="668" spans="1:11">
      <c r="A668" s="16"/>
      <c r="B668" s="21"/>
      <c r="C668" s="16"/>
      <c r="D668" s="25"/>
      <c r="E668" s="22"/>
      <c r="F668" s="22"/>
      <c r="G668" s="25"/>
      <c r="H668" s="92"/>
      <c r="I668" s="22"/>
      <c r="J668" s="24"/>
      <c r="K668" s="22"/>
    </row>
    <row r="669" spans="1:11">
      <c r="A669" s="16"/>
      <c r="B669" s="21"/>
      <c r="C669" s="16"/>
      <c r="D669" s="25"/>
      <c r="E669" s="22"/>
      <c r="F669" s="22"/>
      <c r="G669" s="25"/>
      <c r="H669" s="92"/>
      <c r="I669" s="22"/>
      <c r="J669" s="24"/>
      <c r="K669" s="22"/>
    </row>
    <row r="670" spans="1:11">
      <c r="A670" s="16"/>
      <c r="B670" s="21"/>
      <c r="C670" s="16"/>
      <c r="D670" s="25"/>
      <c r="E670" s="22"/>
      <c r="F670" s="22"/>
      <c r="G670" s="25"/>
      <c r="H670" s="92"/>
      <c r="I670" s="22"/>
      <c r="J670" s="24"/>
      <c r="K670" s="22"/>
    </row>
    <row r="671" spans="1:11">
      <c r="A671" s="16"/>
      <c r="B671" s="21"/>
      <c r="C671" s="16"/>
      <c r="D671" s="25"/>
      <c r="E671" s="22"/>
      <c r="F671" s="22"/>
      <c r="G671" s="25"/>
      <c r="H671" s="92"/>
      <c r="I671" s="22"/>
      <c r="J671" s="24"/>
      <c r="K671" s="22"/>
    </row>
    <row r="672" spans="1:11">
      <c r="A672" s="16"/>
      <c r="B672" s="21"/>
      <c r="C672" s="16"/>
      <c r="D672" s="25"/>
      <c r="E672" s="22"/>
      <c r="F672" s="22"/>
      <c r="G672" s="25"/>
      <c r="H672" s="92"/>
      <c r="I672" s="22"/>
      <c r="J672" s="24"/>
      <c r="K672" s="22"/>
    </row>
    <row r="673" spans="1:11">
      <c r="A673" s="16"/>
      <c r="B673" s="21"/>
      <c r="C673" s="16"/>
      <c r="D673" s="25"/>
      <c r="E673" s="22"/>
      <c r="F673" s="22"/>
      <c r="G673" s="25"/>
      <c r="H673" s="92"/>
      <c r="I673" s="22"/>
      <c r="J673" s="24"/>
      <c r="K673" s="22"/>
    </row>
    <row r="674" spans="1:11">
      <c r="A674" s="16"/>
      <c r="B674" s="21"/>
      <c r="C674" s="16"/>
      <c r="D674" s="25"/>
      <c r="E674" s="22"/>
      <c r="F674" s="22"/>
      <c r="G674" s="25"/>
      <c r="H674" s="92"/>
      <c r="I674" s="22"/>
      <c r="J674" s="24"/>
      <c r="K674" s="22"/>
    </row>
    <row r="675" spans="1:11">
      <c r="A675" s="16"/>
      <c r="B675" s="21"/>
      <c r="C675" s="16"/>
      <c r="D675" s="25"/>
      <c r="E675" s="22"/>
      <c r="F675" s="22"/>
      <c r="G675" s="25"/>
      <c r="H675" s="92"/>
      <c r="I675" s="22"/>
      <c r="J675" s="24"/>
      <c r="K675" s="22"/>
    </row>
    <row r="676" spans="1:11">
      <c r="A676" s="16"/>
      <c r="B676" s="21"/>
      <c r="C676" s="16"/>
      <c r="D676" s="25"/>
      <c r="E676" s="22"/>
      <c r="F676" s="22"/>
      <c r="G676" s="25"/>
      <c r="H676" s="92"/>
      <c r="I676" s="22"/>
      <c r="J676" s="24"/>
      <c r="K676" s="22"/>
    </row>
    <row r="677" spans="1:11">
      <c r="A677" s="16"/>
      <c r="B677" s="21"/>
      <c r="C677" s="16"/>
      <c r="D677" s="25"/>
      <c r="E677" s="22"/>
      <c r="F677" s="22"/>
      <c r="G677" s="25"/>
      <c r="H677" s="92"/>
      <c r="I677" s="22"/>
      <c r="J677" s="24"/>
      <c r="K677" s="22"/>
    </row>
    <row r="678" spans="1:11">
      <c r="A678" s="16"/>
      <c r="B678" s="21"/>
      <c r="C678" s="16"/>
      <c r="D678" s="25"/>
      <c r="E678" s="22"/>
      <c r="F678" s="22"/>
      <c r="G678" s="25"/>
      <c r="H678" s="92"/>
      <c r="I678" s="22"/>
      <c r="J678" s="24"/>
      <c r="K678" s="22"/>
    </row>
    <row r="679" spans="1:11">
      <c r="A679" s="16"/>
      <c r="B679" s="21"/>
      <c r="C679" s="16"/>
      <c r="D679" s="25"/>
      <c r="E679" s="22"/>
      <c r="F679" s="22"/>
      <c r="G679" s="25"/>
      <c r="H679" s="92"/>
      <c r="I679" s="22"/>
      <c r="J679" s="24"/>
      <c r="K679" s="22"/>
    </row>
    <row r="680" spans="1:11">
      <c r="A680" s="16"/>
      <c r="B680" s="21"/>
      <c r="C680" s="16"/>
      <c r="D680" s="25"/>
      <c r="E680" s="22"/>
      <c r="F680" s="22"/>
      <c r="G680" s="25"/>
      <c r="H680" s="92"/>
      <c r="I680" s="22"/>
      <c r="J680" s="24"/>
      <c r="K680" s="22"/>
    </row>
    <row r="681" spans="1:11">
      <c r="A681" s="16"/>
      <c r="B681" s="21"/>
      <c r="C681" s="16"/>
      <c r="D681" s="25"/>
      <c r="E681" s="22"/>
      <c r="F681" s="22"/>
      <c r="G681" s="25"/>
      <c r="H681" s="92"/>
      <c r="I681" s="22"/>
      <c r="J681" s="24"/>
      <c r="K681" s="22"/>
    </row>
    <row r="682" spans="1:11">
      <c r="A682" s="16"/>
      <c r="B682" s="21"/>
      <c r="C682" s="16"/>
      <c r="D682" s="25"/>
      <c r="E682" s="22"/>
      <c r="F682" s="22"/>
      <c r="G682" s="25"/>
      <c r="H682" s="92"/>
      <c r="I682" s="22"/>
      <c r="J682" s="24"/>
      <c r="K682" s="22"/>
    </row>
    <row r="683" spans="1:11">
      <c r="A683" s="16"/>
      <c r="B683" s="21"/>
      <c r="C683" s="16"/>
      <c r="D683" s="25"/>
      <c r="E683" s="22"/>
      <c r="F683" s="22"/>
      <c r="G683" s="25"/>
      <c r="H683" s="92"/>
      <c r="I683" s="22"/>
      <c r="J683" s="24"/>
      <c r="K683" s="22"/>
    </row>
    <row r="684" spans="1:11">
      <c r="A684" s="16"/>
      <c r="B684" s="21"/>
      <c r="C684" s="16"/>
      <c r="D684" s="25"/>
      <c r="E684" s="22"/>
      <c r="F684" s="22"/>
      <c r="G684" s="25"/>
      <c r="H684" s="92"/>
      <c r="I684" s="22"/>
      <c r="J684" s="24"/>
      <c r="K684" s="22"/>
    </row>
    <row r="685" spans="1:11">
      <c r="A685" s="16"/>
      <c r="B685" s="21"/>
      <c r="C685" s="16"/>
      <c r="D685" s="25"/>
      <c r="E685" s="22"/>
      <c r="F685" s="22"/>
      <c r="G685" s="25"/>
      <c r="H685" s="92"/>
      <c r="I685" s="22"/>
      <c r="J685" s="24"/>
      <c r="K685" s="22"/>
    </row>
    <row r="686" spans="1:11">
      <c r="A686" s="16"/>
      <c r="B686" s="21"/>
      <c r="C686" s="16"/>
      <c r="D686" s="25"/>
      <c r="E686" s="22"/>
      <c r="F686" s="22"/>
      <c r="G686" s="25"/>
      <c r="H686" s="92"/>
      <c r="I686" s="22"/>
      <c r="J686" s="24"/>
      <c r="K686" s="22"/>
    </row>
    <row r="687" spans="1:11">
      <c r="A687" s="16"/>
      <c r="B687" s="21"/>
      <c r="C687" s="16"/>
      <c r="D687" s="25"/>
      <c r="E687" s="22"/>
      <c r="F687" s="22"/>
      <c r="G687" s="25"/>
      <c r="H687" s="92"/>
      <c r="I687" s="22"/>
      <c r="J687" s="24"/>
      <c r="K687" s="22"/>
    </row>
    <row r="688" spans="1:11">
      <c r="A688" s="16"/>
      <c r="B688" s="21"/>
      <c r="C688" s="16"/>
      <c r="D688" s="25"/>
      <c r="E688" s="22"/>
      <c r="F688" s="22"/>
      <c r="G688" s="25"/>
      <c r="H688" s="92"/>
      <c r="I688" s="22"/>
      <c r="J688" s="24"/>
      <c r="K688" s="22"/>
    </row>
    <row r="689" spans="1:11">
      <c r="A689" s="16"/>
      <c r="B689" s="21"/>
      <c r="C689" s="16"/>
      <c r="D689" s="25"/>
      <c r="E689" s="22"/>
      <c r="F689" s="22"/>
      <c r="G689" s="25"/>
      <c r="H689" s="92"/>
      <c r="I689" s="22"/>
      <c r="J689" s="24"/>
      <c r="K689" s="22"/>
    </row>
    <row r="690" spans="1:11">
      <c r="A690" s="16"/>
      <c r="B690" s="21"/>
      <c r="C690" s="16"/>
      <c r="D690" s="25"/>
      <c r="E690" s="22"/>
      <c r="F690" s="22"/>
      <c r="G690" s="25"/>
      <c r="H690" s="92"/>
      <c r="I690" s="22"/>
      <c r="J690" s="24"/>
      <c r="K690" s="22"/>
    </row>
    <row r="691" spans="1:11">
      <c r="A691" s="16"/>
      <c r="B691" s="21"/>
      <c r="C691" s="16"/>
      <c r="D691" s="25"/>
      <c r="E691" s="22"/>
      <c r="F691" s="22"/>
      <c r="G691" s="25"/>
      <c r="H691" s="92"/>
      <c r="I691" s="22"/>
      <c r="J691" s="24"/>
      <c r="K691" s="22"/>
    </row>
    <row r="692" spans="1:11">
      <c r="A692" s="16"/>
      <c r="B692" s="21"/>
      <c r="C692" s="16"/>
      <c r="D692" s="25"/>
      <c r="E692" s="22"/>
      <c r="F692" s="22"/>
      <c r="G692" s="25"/>
      <c r="H692" s="92"/>
      <c r="I692" s="22"/>
      <c r="J692" s="24"/>
      <c r="K692" s="22"/>
    </row>
    <row r="693" spans="1:11">
      <c r="A693" s="16"/>
      <c r="B693" s="21"/>
      <c r="C693" s="16"/>
      <c r="D693" s="25"/>
      <c r="E693" s="22"/>
      <c r="F693" s="22"/>
      <c r="G693" s="25"/>
      <c r="H693" s="92"/>
      <c r="I693" s="22"/>
      <c r="J693" s="24"/>
      <c r="K693" s="22"/>
    </row>
    <row r="694" spans="1:11">
      <c r="A694" s="16"/>
      <c r="B694" s="21"/>
      <c r="C694" s="16"/>
      <c r="D694" s="25"/>
      <c r="E694" s="22"/>
      <c r="F694" s="22"/>
      <c r="G694" s="25"/>
      <c r="H694" s="92"/>
      <c r="I694" s="22"/>
      <c r="J694" s="24"/>
      <c r="K694" s="22"/>
    </row>
    <row r="695" spans="1:11">
      <c r="A695" s="16"/>
      <c r="B695" s="21"/>
      <c r="C695" s="16"/>
      <c r="D695" s="25"/>
      <c r="E695" s="22"/>
      <c r="F695" s="22"/>
      <c r="G695" s="25"/>
      <c r="H695" s="92"/>
      <c r="I695" s="22"/>
      <c r="J695" s="24"/>
      <c r="K695" s="22"/>
    </row>
    <row r="696" spans="1:11">
      <c r="A696" s="16"/>
      <c r="B696" s="21"/>
      <c r="C696" s="16"/>
      <c r="D696" s="25"/>
      <c r="E696" s="22"/>
      <c r="F696" s="22"/>
      <c r="G696" s="25"/>
      <c r="H696" s="92"/>
      <c r="I696" s="22"/>
      <c r="J696" s="24"/>
      <c r="K696" s="22"/>
    </row>
    <row r="697" spans="1:11">
      <c r="A697" s="16"/>
      <c r="B697" s="21"/>
      <c r="C697" s="16"/>
      <c r="D697" s="25"/>
      <c r="E697" s="22"/>
      <c r="F697" s="22"/>
      <c r="G697" s="25"/>
      <c r="H697" s="92"/>
      <c r="I697" s="22"/>
      <c r="J697" s="24"/>
      <c r="K697" s="22"/>
    </row>
    <row r="698" spans="1:11">
      <c r="A698" s="16"/>
      <c r="B698" s="21"/>
      <c r="C698" s="16"/>
      <c r="D698" s="25"/>
      <c r="E698" s="22"/>
      <c r="F698" s="22"/>
      <c r="G698" s="25"/>
      <c r="H698" s="92"/>
      <c r="I698" s="22"/>
      <c r="J698" s="24"/>
      <c r="K698" s="22"/>
    </row>
    <row r="699" spans="1:11">
      <c r="A699" s="16"/>
      <c r="B699" s="21"/>
      <c r="C699" s="16"/>
      <c r="D699" s="25"/>
      <c r="E699" s="22"/>
      <c r="F699" s="22"/>
      <c r="G699" s="25"/>
      <c r="H699" s="92"/>
      <c r="I699" s="22"/>
      <c r="J699" s="24"/>
      <c r="K699" s="22"/>
    </row>
    <row r="700" spans="1:11">
      <c r="A700" s="16"/>
      <c r="B700" s="21"/>
      <c r="C700" s="16"/>
      <c r="D700" s="25"/>
      <c r="E700" s="22"/>
      <c r="F700" s="22"/>
      <c r="G700" s="25"/>
      <c r="H700" s="92"/>
      <c r="I700" s="22"/>
      <c r="J700" s="24"/>
      <c r="K700" s="22"/>
    </row>
    <row r="701" spans="1:11">
      <c r="A701" s="16"/>
      <c r="B701" s="21"/>
      <c r="C701" s="16"/>
      <c r="D701" s="25"/>
      <c r="E701" s="22"/>
      <c r="F701" s="22"/>
      <c r="G701" s="25"/>
      <c r="H701" s="92"/>
      <c r="I701" s="22"/>
      <c r="J701" s="24"/>
      <c r="K701" s="22"/>
    </row>
    <row r="702" spans="1:11">
      <c r="A702" s="16"/>
      <c r="B702" s="21"/>
      <c r="C702" s="16"/>
      <c r="D702" s="25"/>
      <c r="E702" s="22"/>
      <c r="F702" s="22"/>
      <c r="G702" s="25"/>
      <c r="H702" s="92"/>
      <c r="I702" s="22"/>
      <c r="J702" s="24"/>
      <c r="K702" s="22"/>
    </row>
    <row r="703" spans="1:11">
      <c r="A703" s="16"/>
      <c r="B703" s="21"/>
      <c r="C703" s="16"/>
      <c r="D703" s="25"/>
      <c r="E703" s="22"/>
      <c r="F703" s="22"/>
      <c r="G703" s="25"/>
      <c r="H703" s="92"/>
      <c r="I703" s="22"/>
      <c r="J703" s="24"/>
      <c r="K703" s="22"/>
    </row>
    <row r="704" spans="1:11">
      <c r="A704" s="16"/>
      <c r="B704" s="21"/>
      <c r="C704" s="16"/>
      <c r="D704" s="25"/>
      <c r="E704" s="22"/>
      <c r="F704" s="22"/>
      <c r="G704" s="25"/>
      <c r="H704" s="92"/>
      <c r="I704" s="22"/>
      <c r="J704" s="24"/>
      <c r="K704" s="22"/>
    </row>
    <row r="705" spans="1:11">
      <c r="A705" s="16"/>
      <c r="B705" s="21"/>
      <c r="C705" s="16"/>
      <c r="D705" s="25"/>
      <c r="E705" s="22"/>
      <c r="F705" s="22"/>
      <c r="G705" s="25"/>
      <c r="H705" s="92"/>
      <c r="I705" s="22"/>
      <c r="J705" s="24"/>
      <c r="K705" s="22"/>
    </row>
    <row r="706" spans="1:11">
      <c r="A706" s="16"/>
      <c r="B706" s="21"/>
      <c r="C706" s="16"/>
      <c r="D706" s="25"/>
      <c r="E706" s="22"/>
      <c r="F706" s="22"/>
      <c r="G706" s="25"/>
      <c r="H706" s="92"/>
      <c r="I706" s="22"/>
      <c r="J706" s="24"/>
      <c r="K706" s="22"/>
    </row>
    <row r="707" spans="1:11">
      <c r="A707" s="16"/>
      <c r="B707" s="21"/>
      <c r="C707" s="16"/>
      <c r="D707" s="25"/>
      <c r="E707" s="22"/>
      <c r="F707" s="22"/>
      <c r="G707" s="25"/>
      <c r="H707" s="92"/>
      <c r="I707" s="22"/>
      <c r="J707" s="24"/>
      <c r="K707" s="22"/>
    </row>
    <row r="708" spans="1:11">
      <c r="A708" s="16"/>
      <c r="B708" s="21"/>
      <c r="C708" s="16"/>
      <c r="D708" s="25"/>
      <c r="E708" s="22"/>
      <c r="F708" s="22"/>
      <c r="G708" s="25"/>
      <c r="H708" s="92"/>
      <c r="I708" s="22"/>
      <c r="J708" s="24"/>
      <c r="K708" s="22"/>
    </row>
    <row r="709" spans="1:11">
      <c r="A709" s="16"/>
      <c r="B709" s="21"/>
      <c r="C709" s="16"/>
      <c r="D709" s="25"/>
      <c r="E709" s="22"/>
      <c r="F709" s="22"/>
      <c r="G709" s="25"/>
      <c r="H709" s="92"/>
      <c r="I709" s="22"/>
      <c r="J709" s="24"/>
      <c r="K709" s="22"/>
    </row>
    <row r="710" spans="1:11">
      <c r="A710" s="16"/>
      <c r="B710" s="21"/>
      <c r="C710" s="16"/>
      <c r="D710" s="25"/>
      <c r="E710" s="22"/>
      <c r="F710" s="22"/>
      <c r="G710" s="25"/>
      <c r="H710" s="92"/>
      <c r="I710" s="22"/>
      <c r="J710" s="24"/>
      <c r="K710" s="22"/>
    </row>
    <row r="711" spans="1:11">
      <c r="A711" s="16"/>
      <c r="B711" s="21"/>
      <c r="C711" s="16"/>
      <c r="D711" s="25"/>
      <c r="E711" s="22"/>
      <c r="F711" s="22"/>
      <c r="G711" s="25"/>
      <c r="H711" s="92"/>
      <c r="I711" s="22"/>
      <c r="J711" s="24"/>
      <c r="K711" s="22"/>
    </row>
    <row r="712" spans="1:11">
      <c r="A712" s="16"/>
      <c r="B712" s="21"/>
      <c r="C712" s="16"/>
      <c r="D712" s="25"/>
      <c r="E712" s="22"/>
      <c r="F712" s="22"/>
      <c r="G712" s="25"/>
      <c r="H712" s="92"/>
      <c r="I712" s="22"/>
      <c r="J712" s="24"/>
      <c r="K712" s="22"/>
    </row>
    <row r="713" spans="1:11">
      <c r="A713" s="16"/>
      <c r="B713" s="21"/>
      <c r="C713" s="16"/>
      <c r="D713" s="25"/>
      <c r="E713" s="22"/>
      <c r="F713" s="22"/>
      <c r="G713" s="25"/>
      <c r="H713" s="92"/>
      <c r="I713" s="22"/>
      <c r="J713" s="24"/>
      <c r="K713" s="22"/>
    </row>
    <row r="714" spans="1:11">
      <c r="A714" s="16"/>
      <c r="B714" s="21"/>
      <c r="C714" s="16"/>
      <c r="D714" s="25"/>
      <c r="E714" s="22"/>
      <c r="F714" s="22"/>
      <c r="G714" s="25"/>
      <c r="H714" s="92"/>
      <c r="I714" s="22"/>
      <c r="J714" s="24"/>
      <c r="K714" s="22"/>
    </row>
    <row r="715" spans="1:11">
      <c r="A715" s="16"/>
      <c r="B715" s="21"/>
      <c r="C715" s="16"/>
      <c r="D715" s="25"/>
      <c r="E715" s="22"/>
      <c r="F715" s="22"/>
      <c r="G715" s="25"/>
      <c r="H715" s="92"/>
      <c r="I715" s="22"/>
      <c r="J715" s="24"/>
      <c r="K715" s="22"/>
    </row>
    <row r="716" spans="1:11">
      <c r="A716" s="16"/>
      <c r="B716" s="21"/>
      <c r="C716" s="16"/>
      <c r="D716" s="25"/>
      <c r="E716" s="22"/>
      <c r="F716" s="22"/>
      <c r="G716" s="25"/>
      <c r="H716" s="92"/>
      <c r="I716" s="22"/>
      <c r="J716" s="24"/>
      <c r="K716" s="22"/>
    </row>
    <row r="717" spans="1:11">
      <c r="A717" s="16"/>
      <c r="B717" s="21"/>
      <c r="C717" s="16"/>
      <c r="D717" s="25"/>
      <c r="E717" s="22"/>
      <c r="F717" s="22"/>
      <c r="G717" s="25"/>
      <c r="H717" s="92"/>
      <c r="I717" s="22"/>
      <c r="J717" s="24"/>
      <c r="K717" s="22"/>
    </row>
    <row r="718" spans="1:11">
      <c r="A718" s="16"/>
      <c r="B718" s="21"/>
      <c r="C718" s="16"/>
      <c r="D718" s="25"/>
      <c r="E718" s="22"/>
      <c r="F718" s="22"/>
      <c r="G718" s="25"/>
      <c r="H718" s="92"/>
      <c r="I718" s="22"/>
      <c r="J718" s="24"/>
      <c r="K718" s="22"/>
    </row>
    <row r="719" spans="1:11">
      <c r="A719" s="16"/>
      <c r="B719" s="21"/>
      <c r="C719" s="16"/>
      <c r="D719" s="25"/>
      <c r="E719" s="22"/>
      <c r="F719" s="22"/>
      <c r="G719" s="25"/>
      <c r="H719" s="92"/>
      <c r="I719" s="22"/>
      <c r="J719" s="24"/>
      <c r="K719" s="22"/>
    </row>
    <row r="720" spans="1:11">
      <c r="A720" s="16"/>
      <c r="B720" s="21"/>
      <c r="C720" s="16"/>
      <c r="D720" s="25"/>
      <c r="E720" s="22"/>
      <c r="F720" s="22"/>
      <c r="G720" s="25"/>
      <c r="H720" s="92"/>
      <c r="I720" s="22"/>
      <c r="J720" s="24"/>
      <c r="K720" s="22"/>
    </row>
    <row r="721" spans="1:11">
      <c r="A721" s="16"/>
      <c r="B721" s="21"/>
      <c r="C721" s="16"/>
      <c r="D721" s="25"/>
      <c r="E721" s="22"/>
      <c r="F721" s="22"/>
      <c r="G721" s="25"/>
      <c r="H721" s="92"/>
      <c r="I721" s="22"/>
      <c r="J721" s="24"/>
      <c r="K721" s="22"/>
    </row>
    <row r="722" spans="1:11">
      <c r="A722" s="16"/>
      <c r="B722" s="21"/>
      <c r="C722" s="16"/>
      <c r="D722" s="25"/>
      <c r="E722" s="22"/>
      <c r="F722" s="22"/>
      <c r="G722" s="25"/>
      <c r="H722" s="92"/>
      <c r="I722" s="22"/>
      <c r="J722" s="24"/>
      <c r="K722" s="22"/>
    </row>
    <row r="723" spans="1:11">
      <c r="A723" s="16"/>
      <c r="B723" s="21"/>
      <c r="C723" s="16"/>
      <c r="D723" s="25"/>
      <c r="E723" s="22"/>
      <c r="F723" s="22"/>
      <c r="G723" s="25"/>
      <c r="H723" s="92"/>
      <c r="I723" s="22"/>
      <c r="J723" s="24"/>
      <c r="K723" s="22"/>
    </row>
    <row r="724" spans="1:11">
      <c r="A724" s="16"/>
      <c r="B724" s="21"/>
      <c r="C724" s="16"/>
      <c r="D724" s="25"/>
      <c r="E724" s="22"/>
      <c r="F724" s="22"/>
      <c r="G724" s="25"/>
      <c r="H724" s="92"/>
      <c r="I724" s="22"/>
      <c r="J724" s="24"/>
      <c r="K724" s="22"/>
    </row>
    <row r="725" spans="1:11">
      <c r="A725" s="16"/>
      <c r="B725" s="21"/>
      <c r="C725" s="16"/>
      <c r="D725" s="25"/>
      <c r="E725" s="22"/>
      <c r="F725" s="22"/>
      <c r="G725" s="25"/>
      <c r="H725" s="92"/>
      <c r="I725" s="22"/>
      <c r="J725" s="24"/>
      <c r="K725" s="22"/>
    </row>
    <row r="726" spans="1:11">
      <c r="A726" s="16"/>
      <c r="B726" s="21"/>
      <c r="C726" s="16"/>
      <c r="D726" s="25"/>
      <c r="E726" s="22"/>
      <c r="F726" s="22"/>
      <c r="G726" s="25"/>
      <c r="H726" s="92"/>
      <c r="I726" s="22"/>
      <c r="J726" s="24"/>
      <c r="K726" s="22"/>
    </row>
    <row r="727" spans="1:11">
      <c r="A727" s="16"/>
      <c r="B727" s="21"/>
      <c r="C727" s="16"/>
      <c r="D727" s="25"/>
      <c r="E727" s="22"/>
      <c r="F727" s="22"/>
      <c r="G727" s="25"/>
      <c r="H727" s="92"/>
      <c r="I727" s="22"/>
      <c r="J727" s="24"/>
      <c r="K727" s="22"/>
    </row>
    <row r="728" spans="1:11">
      <c r="A728" s="16"/>
      <c r="B728" s="21"/>
      <c r="C728" s="16"/>
      <c r="D728" s="25"/>
      <c r="E728" s="22"/>
      <c r="F728" s="22"/>
      <c r="G728" s="25"/>
      <c r="H728" s="92"/>
      <c r="I728" s="22"/>
      <c r="J728" s="24"/>
      <c r="K728" s="22"/>
    </row>
    <row r="729" spans="1:11">
      <c r="A729" s="16"/>
      <c r="B729" s="21"/>
      <c r="C729" s="16"/>
      <c r="D729" s="25"/>
      <c r="E729" s="22"/>
      <c r="F729" s="22"/>
      <c r="G729" s="25"/>
      <c r="H729" s="92"/>
      <c r="I729" s="22"/>
      <c r="J729" s="24"/>
      <c r="K729" s="22"/>
    </row>
    <row r="730" spans="1:11">
      <c r="A730" s="16"/>
      <c r="B730" s="21"/>
      <c r="C730" s="16"/>
      <c r="D730" s="25"/>
      <c r="E730" s="22"/>
      <c r="F730" s="22"/>
      <c r="G730" s="25"/>
      <c r="H730" s="92"/>
      <c r="I730" s="22"/>
      <c r="J730" s="24"/>
      <c r="K730" s="22"/>
    </row>
    <row r="731" spans="1:11">
      <c r="A731" s="16"/>
      <c r="B731" s="21"/>
      <c r="C731" s="16"/>
      <c r="D731" s="25"/>
      <c r="E731" s="22"/>
      <c r="F731" s="22"/>
      <c r="G731" s="25"/>
      <c r="H731" s="92"/>
      <c r="I731" s="22"/>
      <c r="J731" s="24"/>
      <c r="K731" s="22"/>
    </row>
    <row r="732" spans="1:11">
      <c r="A732" s="16"/>
      <c r="B732" s="21"/>
      <c r="C732" s="16"/>
      <c r="D732" s="25"/>
      <c r="E732" s="22"/>
      <c r="F732" s="22"/>
      <c r="G732" s="25"/>
      <c r="H732" s="92"/>
      <c r="I732" s="22"/>
      <c r="J732" s="24"/>
      <c r="K732" s="22"/>
    </row>
    <row r="733" spans="1:11">
      <c r="A733" s="16"/>
      <c r="B733" s="21"/>
      <c r="C733" s="16"/>
      <c r="D733" s="25"/>
      <c r="E733" s="22"/>
      <c r="F733" s="22"/>
      <c r="G733" s="25"/>
      <c r="H733" s="92"/>
      <c r="I733" s="22"/>
      <c r="J733" s="24"/>
      <c r="K733" s="22"/>
    </row>
    <row r="734" spans="1:11">
      <c r="A734" s="16"/>
      <c r="B734" s="21"/>
      <c r="C734" s="16"/>
      <c r="D734" s="25"/>
      <c r="E734" s="22"/>
      <c r="F734" s="22"/>
      <c r="G734" s="25"/>
      <c r="H734" s="92"/>
      <c r="I734" s="22"/>
      <c r="J734" s="24"/>
      <c r="K734" s="22"/>
    </row>
    <row r="735" spans="1:11">
      <c r="A735" s="16"/>
      <c r="B735" s="21"/>
      <c r="C735" s="16"/>
      <c r="D735" s="25"/>
      <c r="E735" s="22"/>
      <c r="F735" s="22"/>
      <c r="G735" s="25"/>
      <c r="H735" s="92"/>
      <c r="I735" s="22"/>
      <c r="J735" s="24"/>
      <c r="K735" s="22"/>
    </row>
    <row r="736" spans="1:11">
      <c r="A736" s="16"/>
      <c r="B736" s="21"/>
      <c r="C736" s="16"/>
      <c r="D736" s="25"/>
      <c r="E736" s="22"/>
      <c r="F736" s="22"/>
      <c r="G736" s="25"/>
      <c r="H736" s="92"/>
      <c r="I736" s="22"/>
      <c r="J736" s="24"/>
      <c r="K736" s="22"/>
    </row>
    <row r="737" spans="1:11">
      <c r="A737" s="16"/>
      <c r="B737" s="21"/>
      <c r="C737" s="16"/>
      <c r="D737" s="25"/>
      <c r="E737" s="22"/>
      <c r="F737" s="22"/>
      <c r="G737" s="25"/>
      <c r="H737" s="92"/>
      <c r="I737" s="22"/>
      <c r="J737" s="24"/>
      <c r="K737" s="22"/>
    </row>
    <row r="738" spans="1:11">
      <c r="A738" s="16"/>
      <c r="B738" s="21"/>
      <c r="C738" s="16"/>
      <c r="D738" s="25"/>
      <c r="E738" s="22"/>
      <c r="F738" s="22"/>
      <c r="G738" s="25"/>
      <c r="H738" s="92"/>
      <c r="I738" s="22"/>
      <c r="J738" s="24"/>
      <c r="K738" s="22"/>
    </row>
    <row r="739" spans="1:11">
      <c r="A739" s="16"/>
      <c r="B739" s="21"/>
      <c r="C739" s="16"/>
      <c r="D739" s="25"/>
      <c r="E739" s="22"/>
      <c r="F739" s="22"/>
      <c r="G739" s="25"/>
      <c r="H739" s="92"/>
      <c r="I739" s="22"/>
      <c r="J739" s="24"/>
      <c r="K739" s="22"/>
    </row>
    <row r="740" spans="1:11">
      <c r="A740" s="16"/>
      <c r="B740" s="21"/>
      <c r="C740" s="16"/>
      <c r="D740" s="25"/>
      <c r="E740" s="22"/>
      <c r="F740" s="22"/>
      <c r="G740" s="25"/>
      <c r="H740" s="92"/>
      <c r="I740" s="22"/>
      <c r="J740" s="24"/>
      <c r="K740" s="22"/>
    </row>
    <row r="741" spans="1:11">
      <c r="A741" s="16"/>
      <c r="B741" s="21"/>
      <c r="C741" s="16"/>
      <c r="D741" s="25"/>
      <c r="E741" s="22"/>
      <c r="F741" s="22"/>
      <c r="G741" s="25"/>
      <c r="H741" s="92"/>
      <c r="I741" s="22"/>
      <c r="J741" s="24"/>
      <c r="K741" s="22"/>
    </row>
    <row r="742" spans="1:11">
      <c r="A742" s="16"/>
      <c r="B742" s="21"/>
      <c r="C742" s="16"/>
      <c r="D742" s="25"/>
      <c r="E742" s="22"/>
      <c r="F742" s="22"/>
      <c r="G742" s="25"/>
      <c r="H742" s="92"/>
      <c r="I742" s="22"/>
      <c r="J742" s="24"/>
      <c r="K742" s="22"/>
    </row>
    <row r="743" spans="1:11">
      <c r="A743" s="16"/>
      <c r="B743" s="21"/>
      <c r="C743" s="16"/>
      <c r="D743" s="25"/>
      <c r="E743" s="22"/>
      <c r="F743" s="22"/>
      <c r="G743" s="25"/>
      <c r="H743" s="92"/>
      <c r="I743" s="22"/>
      <c r="J743" s="24"/>
      <c r="K743" s="22"/>
    </row>
    <row r="744" spans="1:11">
      <c r="A744" s="16"/>
      <c r="B744" s="21"/>
      <c r="C744" s="16"/>
      <c r="D744" s="25"/>
      <c r="E744" s="22"/>
      <c r="F744" s="22"/>
      <c r="G744" s="25"/>
      <c r="H744" s="92"/>
      <c r="I744" s="22"/>
      <c r="J744" s="24"/>
      <c r="K744" s="22"/>
    </row>
    <row r="745" spans="1:11">
      <c r="A745" s="16"/>
      <c r="B745" s="21"/>
      <c r="C745" s="16"/>
      <c r="D745" s="25"/>
      <c r="E745" s="22"/>
      <c r="F745" s="22"/>
      <c r="G745" s="25"/>
      <c r="H745" s="92"/>
      <c r="I745" s="22"/>
      <c r="J745" s="24"/>
      <c r="K745" s="22"/>
    </row>
    <row r="746" spans="1:11">
      <c r="A746" s="16"/>
      <c r="B746" s="21"/>
      <c r="C746" s="16"/>
      <c r="D746" s="25"/>
      <c r="E746" s="22"/>
      <c r="F746" s="22"/>
      <c r="G746" s="25"/>
      <c r="H746" s="92"/>
      <c r="I746" s="22"/>
      <c r="J746" s="24"/>
      <c r="K746" s="22"/>
    </row>
    <row r="747" spans="1:11">
      <c r="A747" s="16"/>
      <c r="B747" s="21"/>
      <c r="C747" s="16"/>
      <c r="D747" s="25"/>
      <c r="E747" s="22"/>
      <c r="F747" s="22"/>
      <c r="G747" s="25"/>
      <c r="H747" s="92"/>
      <c r="I747" s="22"/>
      <c r="J747" s="24"/>
      <c r="K747" s="22"/>
    </row>
    <row r="748" spans="1:11">
      <c r="A748" s="16"/>
      <c r="B748" s="21"/>
      <c r="C748" s="16"/>
      <c r="D748" s="25"/>
      <c r="E748" s="22"/>
      <c r="F748" s="22"/>
      <c r="G748" s="25"/>
      <c r="H748" s="92"/>
      <c r="I748" s="22"/>
      <c r="J748" s="24"/>
      <c r="K748" s="22"/>
    </row>
    <row r="749" spans="1:11">
      <c r="A749" s="16"/>
      <c r="B749" s="21"/>
      <c r="C749" s="16"/>
      <c r="D749" s="25"/>
      <c r="E749" s="22"/>
      <c r="F749" s="22"/>
      <c r="G749" s="25"/>
      <c r="H749" s="92"/>
      <c r="I749" s="22"/>
      <c r="J749" s="24"/>
      <c r="K749" s="22"/>
    </row>
    <row r="750" spans="1:11">
      <c r="A750" s="16"/>
      <c r="B750" s="21"/>
      <c r="C750" s="16"/>
      <c r="D750" s="25"/>
      <c r="E750" s="22"/>
      <c r="F750" s="22"/>
      <c r="G750" s="25"/>
      <c r="H750" s="92"/>
      <c r="I750" s="22"/>
      <c r="J750" s="24"/>
      <c r="K750" s="22"/>
    </row>
    <row r="751" spans="1:11">
      <c r="A751" s="16"/>
      <c r="B751" s="21"/>
      <c r="C751" s="16"/>
      <c r="D751" s="25"/>
      <c r="E751" s="22"/>
      <c r="F751" s="22"/>
      <c r="G751" s="25"/>
      <c r="H751" s="92"/>
      <c r="I751" s="22"/>
      <c r="J751" s="24"/>
      <c r="K751" s="22"/>
    </row>
    <row r="752" spans="1:11">
      <c r="A752" s="16"/>
      <c r="B752" s="21"/>
      <c r="C752" s="16"/>
      <c r="D752" s="25"/>
      <c r="E752" s="22"/>
      <c r="F752" s="22"/>
      <c r="G752" s="25"/>
      <c r="H752" s="92"/>
      <c r="I752" s="22"/>
      <c r="J752" s="24"/>
      <c r="K752" s="22"/>
    </row>
    <row r="753" spans="1:11">
      <c r="A753" s="16"/>
      <c r="B753" s="21"/>
      <c r="C753" s="16"/>
      <c r="D753" s="25"/>
      <c r="E753" s="22"/>
      <c r="F753" s="22"/>
      <c r="G753" s="25"/>
      <c r="H753" s="92"/>
      <c r="I753" s="22"/>
      <c r="J753" s="24"/>
      <c r="K753" s="22"/>
    </row>
    <row r="754" spans="1:11">
      <c r="A754" s="16"/>
      <c r="B754" s="21"/>
      <c r="C754" s="16"/>
      <c r="D754" s="25"/>
      <c r="E754" s="22"/>
      <c r="F754" s="22"/>
      <c r="G754" s="25"/>
      <c r="H754" s="92"/>
      <c r="I754" s="22"/>
      <c r="J754" s="24"/>
      <c r="K754" s="22"/>
    </row>
    <row r="755" spans="1:11">
      <c r="A755" s="16"/>
      <c r="B755" s="21"/>
      <c r="C755" s="16"/>
      <c r="D755" s="25"/>
      <c r="E755" s="22"/>
      <c r="F755" s="22"/>
      <c r="G755" s="25"/>
      <c r="H755" s="92"/>
      <c r="I755" s="22"/>
      <c r="J755" s="24"/>
      <c r="K755" s="22"/>
    </row>
    <row r="756" spans="1:11">
      <c r="A756" s="16"/>
      <c r="B756" s="21"/>
      <c r="C756" s="16"/>
      <c r="D756" s="25"/>
      <c r="E756" s="22"/>
      <c r="F756" s="22"/>
      <c r="G756" s="25"/>
      <c r="H756" s="92"/>
      <c r="I756" s="22"/>
      <c r="J756" s="24"/>
      <c r="K756" s="22"/>
    </row>
    <row r="757" spans="1:11">
      <c r="A757" s="16"/>
      <c r="B757" s="21"/>
      <c r="C757" s="16"/>
      <c r="D757" s="25"/>
      <c r="E757" s="22"/>
      <c r="F757" s="22"/>
      <c r="G757" s="25"/>
      <c r="H757" s="92"/>
      <c r="I757" s="22"/>
      <c r="J757" s="24"/>
      <c r="K757" s="22"/>
    </row>
    <row r="758" spans="1:11">
      <c r="A758" s="16"/>
      <c r="B758" s="21"/>
      <c r="C758" s="16"/>
      <c r="D758" s="25"/>
      <c r="E758" s="22"/>
      <c r="F758" s="22"/>
      <c r="G758" s="25"/>
      <c r="H758" s="92"/>
      <c r="I758" s="22"/>
      <c r="J758" s="24"/>
      <c r="K758" s="22"/>
    </row>
    <row r="759" spans="1:11">
      <c r="A759" s="16"/>
      <c r="B759" s="21"/>
      <c r="C759" s="16"/>
      <c r="D759" s="25"/>
      <c r="E759" s="22"/>
      <c r="F759" s="22"/>
      <c r="G759" s="25"/>
      <c r="H759" s="92"/>
      <c r="I759" s="22"/>
      <c r="J759" s="24"/>
      <c r="K759" s="22"/>
    </row>
    <row r="760" spans="1:11">
      <c r="A760" s="16"/>
      <c r="B760" s="21"/>
      <c r="C760" s="16"/>
      <c r="D760" s="25"/>
      <c r="E760" s="22"/>
      <c r="F760" s="22"/>
      <c r="G760" s="25"/>
      <c r="H760" s="92"/>
      <c r="I760" s="22"/>
      <c r="J760" s="24"/>
      <c r="K760" s="22"/>
    </row>
    <row r="761" spans="1:11">
      <c r="A761" s="16"/>
      <c r="B761" s="21"/>
      <c r="C761" s="16"/>
      <c r="D761" s="25"/>
      <c r="E761" s="22"/>
      <c r="F761" s="22"/>
      <c r="G761" s="25"/>
      <c r="H761" s="92"/>
      <c r="I761" s="22"/>
      <c r="J761" s="24"/>
      <c r="K761" s="22"/>
    </row>
    <row r="762" spans="1:11">
      <c r="A762" s="16"/>
      <c r="B762" s="21"/>
      <c r="C762" s="16"/>
      <c r="D762" s="25"/>
      <c r="E762" s="22"/>
      <c r="F762" s="22"/>
      <c r="G762" s="25"/>
      <c r="H762" s="92"/>
      <c r="I762" s="22"/>
      <c r="J762" s="24"/>
      <c r="K762" s="22"/>
    </row>
    <row r="763" spans="1:11">
      <c r="A763" s="16"/>
      <c r="B763" s="21"/>
      <c r="C763" s="16"/>
      <c r="D763" s="25"/>
      <c r="E763" s="22"/>
      <c r="F763" s="22"/>
      <c r="G763" s="25"/>
      <c r="H763" s="92"/>
      <c r="I763" s="22"/>
      <c r="J763" s="24"/>
      <c r="K763" s="22"/>
    </row>
    <row r="764" spans="1:11">
      <c r="A764" s="16"/>
      <c r="B764" s="21"/>
      <c r="C764" s="16"/>
      <c r="D764" s="25"/>
      <c r="E764" s="22"/>
      <c r="F764" s="22"/>
      <c r="G764" s="25"/>
      <c r="H764" s="92"/>
      <c r="I764" s="22"/>
      <c r="J764" s="24"/>
      <c r="K764" s="22"/>
    </row>
    <row r="765" spans="1:11">
      <c r="A765" s="16"/>
      <c r="B765" s="21"/>
      <c r="C765" s="16"/>
      <c r="D765" s="25"/>
      <c r="E765" s="22"/>
      <c r="F765" s="22"/>
      <c r="G765" s="25"/>
      <c r="H765" s="92"/>
      <c r="I765" s="22"/>
      <c r="J765" s="24"/>
      <c r="K765" s="22"/>
    </row>
    <row r="766" spans="1:11">
      <c r="A766" s="16"/>
      <c r="B766" s="21"/>
      <c r="C766" s="16"/>
      <c r="D766" s="25"/>
      <c r="E766" s="22"/>
      <c r="F766" s="22"/>
      <c r="G766" s="25"/>
      <c r="H766" s="92"/>
      <c r="I766" s="22"/>
      <c r="J766" s="24"/>
      <c r="K766" s="22"/>
    </row>
    <row r="767" spans="1:11">
      <c r="A767" s="16"/>
      <c r="B767" s="21"/>
      <c r="C767" s="16"/>
      <c r="D767" s="25"/>
      <c r="E767" s="22"/>
      <c r="F767" s="22"/>
      <c r="G767" s="25"/>
      <c r="H767" s="92"/>
      <c r="I767" s="22"/>
      <c r="J767" s="24"/>
      <c r="K767" s="22"/>
    </row>
    <row r="768" spans="1:11">
      <c r="A768" s="16"/>
      <c r="B768" s="21"/>
      <c r="C768" s="16"/>
      <c r="D768" s="25"/>
      <c r="E768" s="22"/>
      <c r="F768" s="22"/>
      <c r="G768" s="25"/>
      <c r="H768" s="92"/>
      <c r="I768" s="22"/>
      <c r="J768" s="24"/>
      <c r="K768" s="22"/>
    </row>
    <row r="769" spans="1:11">
      <c r="A769" s="16"/>
      <c r="B769" s="21"/>
      <c r="C769" s="16"/>
      <c r="D769" s="25"/>
      <c r="E769" s="22"/>
      <c r="F769" s="22"/>
      <c r="G769" s="25"/>
      <c r="H769" s="92"/>
      <c r="I769" s="22"/>
      <c r="J769" s="24"/>
      <c r="K769" s="22"/>
    </row>
    <row r="770" spans="1:11">
      <c r="A770" s="16"/>
      <c r="B770" s="21"/>
      <c r="C770" s="16"/>
      <c r="D770" s="25"/>
      <c r="E770" s="22"/>
      <c r="F770" s="22"/>
      <c r="G770" s="25"/>
      <c r="H770" s="92"/>
      <c r="I770" s="22"/>
      <c r="J770" s="24"/>
      <c r="K770" s="22"/>
    </row>
    <row r="771" spans="1:11">
      <c r="A771" s="16"/>
      <c r="B771" s="21"/>
      <c r="C771" s="16"/>
      <c r="D771" s="25"/>
      <c r="E771" s="22"/>
      <c r="F771" s="22"/>
      <c r="G771" s="25"/>
      <c r="H771" s="92"/>
      <c r="I771" s="22"/>
      <c r="J771" s="24"/>
      <c r="K771" s="22"/>
    </row>
    <row r="772" spans="1:11">
      <c r="A772" s="16"/>
      <c r="B772" s="21"/>
      <c r="C772" s="16"/>
      <c r="D772" s="25"/>
      <c r="E772" s="22"/>
      <c r="F772" s="22"/>
      <c r="G772" s="25"/>
      <c r="H772" s="92"/>
      <c r="I772" s="22"/>
      <c r="J772" s="24"/>
      <c r="K772" s="22"/>
    </row>
    <row r="773" spans="1:11">
      <c r="A773" s="16"/>
      <c r="B773" s="21"/>
      <c r="C773" s="16"/>
      <c r="D773" s="25"/>
      <c r="E773" s="22"/>
      <c r="F773" s="22"/>
      <c r="G773" s="25"/>
      <c r="H773" s="92"/>
      <c r="I773" s="22"/>
      <c r="J773" s="24"/>
      <c r="K773" s="22"/>
    </row>
    <row r="774" spans="1:11">
      <c r="A774" s="16"/>
      <c r="B774" s="21"/>
      <c r="C774" s="16"/>
      <c r="D774" s="25"/>
      <c r="E774" s="22"/>
      <c r="F774" s="22"/>
      <c r="G774" s="25"/>
      <c r="H774" s="92"/>
      <c r="I774" s="22"/>
      <c r="J774" s="24"/>
      <c r="K774" s="22"/>
    </row>
    <row r="775" spans="1:11">
      <c r="A775" s="16"/>
      <c r="B775" s="21"/>
      <c r="C775" s="16"/>
      <c r="D775" s="25"/>
      <c r="E775" s="22"/>
      <c r="F775" s="22"/>
      <c r="G775" s="25"/>
      <c r="H775" s="92"/>
      <c r="I775" s="22"/>
      <c r="J775" s="24"/>
      <c r="K775" s="22"/>
    </row>
    <row r="776" spans="1:11">
      <c r="A776" s="16"/>
      <c r="B776" s="21"/>
      <c r="C776" s="16"/>
      <c r="D776" s="25"/>
      <c r="E776" s="22"/>
      <c r="F776" s="22"/>
      <c r="G776" s="25"/>
      <c r="H776" s="92"/>
      <c r="I776" s="22"/>
      <c r="J776" s="24"/>
      <c r="K776" s="22"/>
    </row>
    <row r="777" spans="1:11">
      <c r="A777" s="16"/>
      <c r="B777" s="21"/>
      <c r="C777" s="16"/>
      <c r="D777" s="25"/>
      <c r="E777" s="22"/>
      <c r="F777" s="22"/>
      <c r="G777" s="25"/>
      <c r="H777" s="92"/>
      <c r="I777" s="22"/>
      <c r="J777" s="24"/>
      <c r="K777" s="22"/>
    </row>
    <row r="778" spans="1:11">
      <c r="A778" s="16"/>
      <c r="B778" s="21"/>
      <c r="C778" s="16"/>
      <c r="D778" s="25"/>
      <c r="E778" s="22"/>
      <c r="F778" s="22"/>
      <c r="G778" s="25"/>
      <c r="H778" s="92"/>
      <c r="I778" s="22"/>
      <c r="J778" s="24"/>
      <c r="K778" s="22"/>
    </row>
    <row r="779" spans="1:11">
      <c r="A779" s="16"/>
      <c r="B779" s="21"/>
      <c r="C779" s="16"/>
      <c r="D779" s="25"/>
      <c r="E779" s="22"/>
      <c r="F779" s="22"/>
      <c r="G779" s="25"/>
      <c r="H779" s="92"/>
      <c r="I779" s="22"/>
      <c r="J779" s="24"/>
      <c r="K779" s="22"/>
    </row>
    <row r="780" spans="1:11">
      <c r="A780" s="16"/>
      <c r="B780" s="21"/>
      <c r="C780" s="16"/>
      <c r="D780" s="25"/>
      <c r="E780" s="22"/>
      <c r="F780" s="22"/>
      <c r="G780" s="25"/>
      <c r="H780" s="92"/>
      <c r="I780" s="22"/>
      <c r="J780" s="24"/>
      <c r="K780" s="22"/>
    </row>
    <row r="781" spans="1:11">
      <c r="A781" s="16"/>
      <c r="B781" s="21"/>
      <c r="C781" s="16"/>
      <c r="D781" s="25"/>
      <c r="E781" s="22"/>
      <c r="F781" s="22"/>
      <c r="G781" s="25"/>
      <c r="H781" s="92"/>
      <c r="I781" s="22"/>
      <c r="J781" s="24"/>
      <c r="K781" s="22"/>
    </row>
    <row r="782" spans="1:11">
      <c r="A782" s="16"/>
      <c r="B782" s="21"/>
      <c r="C782" s="16"/>
      <c r="D782" s="25"/>
      <c r="E782" s="22"/>
      <c r="F782" s="22"/>
      <c r="G782" s="25"/>
      <c r="H782" s="92"/>
      <c r="I782" s="22"/>
      <c r="J782" s="24"/>
      <c r="K782" s="22"/>
    </row>
    <row r="783" spans="1:11">
      <c r="A783" s="16"/>
      <c r="B783" s="21"/>
      <c r="C783" s="16"/>
      <c r="D783" s="25"/>
      <c r="E783" s="22"/>
      <c r="F783" s="22"/>
      <c r="G783" s="25"/>
      <c r="H783" s="92"/>
      <c r="I783" s="22"/>
      <c r="J783" s="24"/>
      <c r="K783" s="22"/>
    </row>
    <row r="784" spans="1:11">
      <c r="A784" s="16"/>
      <c r="B784" s="21"/>
      <c r="C784" s="16"/>
      <c r="D784" s="25"/>
      <c r="E784" s="22"/>
      <c r="F784" s="22"/>
      <c r="G784" s="25"/>
      <c r="H784" s="92"/>
      <c r="I784" s="22"/>
      <c r="J784" s="24"/>
      <c r="K784" s="22"/>
    </row>
    <row r="785" spans="1:11">
      <c r="A785" s="16"/>
      <c r="B785" s="21"/>
      <c r="C785" s="16"/>
      <c r="D785" s="25"/>
      <c r="E785" s="22"/>
      <c r="F785" s="22"/>
      <c r="G785" s="25"/>
      <c r="H785" s="92"/>
      <c r="I785" s="22"/>
      <c r="J785" s="24"/>
      <c r="K785" s="22"/>
    </row>
    <row r="786" spans="1:11">
      <c r="A786" s="16"/>
      <c r="B786" s="21"/>
      <c r="C786" s="16"/>
      <c r="D786" s="25"/>
      <c r="E786" s="22"/>
      <c r="F786" s="22"/>
      <c r="G786" s="25"/>
      <c r="H786" s="92"/>
      <c r="I786" s="22"/>
      <c r="J786" s="24"/>
      <c r="K786" s="22"/>
    </row>
    <row r="787" spans="1:11">
      <c r="A787" s="16"/>
      <c r="B787" s="21"/>
      <c r="C787" s="16"/>
      <c r="D787" s="25"/>
      <c r="E787" s="22"/>
      <c r="F787" s="22"/>
      <c r="G787" s="25"/>
      <c r="H787" s="92"/>
      <c r="I787" s="22"/>
      <c r="J787" s="24"/>
      <c r="K787" s="22"/>
    </row>
    <row r="788" spans="1:11">
      <c r="A788" s="16"/>
      <c r="B788" s="21"/>
      <c r="C788" s="16"/>
      <c r="D788" s="25"/>
      <c r="E788" s="22"/>
      <c r="F788" s="22"/>
      <c r="G788" s="25"/>
      <c r="H788" s="92"/>
      <c r="I788" s="22"/>
      <c r="J788" s="24"/>
      <c r="K788" s="22"/>
    </row>
    <row r="789" spans="1:11">
      <c r="A789" s="16"/>
      <c r="B789" s="21"/>
      <c r="C789" s="16"/>
      <c r="D789" s="25"/>
      <c r="E789" s="22"/>
      <c r="F789" s="22"/>
      <c r="G789" s="25"/>
      <c r="H789" s="92"/>
      <c r="I789" s="22"/>
      <c r="J789" s="24"/>
      <c r="K789" s="22"/>
    </row>
    <row r="790" spans="1:11">
      <c r="A790" s="16"/>
      <c r="B790" s="21"/>
      <c r="C790" s="16"/>
      <c r="D790" s="25"/>
      <c r="E790" s="22"/>
      <c r="F790" s="22"/>
      <c r="G790" s="25"/>
      <c r="H790" s="92"/>
      <c r="I790" s="22"/>
      <c r="J790" s="24"/>
      <c r="K790" s="22"/>
    </row>
    <row r="791" spans="1:11">
      <c r="A791" s="16"/>
      <c r="B791" s="21"/>
      <c r="C791" s="16"/>
      <c r="D791" s="25"/>
      <c r="E791" s="22"/>
      <c r="F791" s="22"/>
      <c r="G791" s="25"/>
      <c r="H791" s="92"/>
      <c r="I791" s="22"/>
      <c r="J791" s="24"/>
      <c r="K791" s="22"/>
    </row>
    <row r="792" spans="1:11">
      <c r="A792" s="16"/>
      <c r="B792" s="21"/>
      <c r="C792" s="16"/>
      <c r="D792" s="25"/>
      <c r="E792" s="22"/>
      <c r="F792" s="22"/>
      <c r="G792" s="25"/>
      <c r="H792" s="92"/>
      <c r="I792" s="22"/>
      <c r="J792" s="24"/>
      <c r="K792" s="22"/>
    </row>
    <row r="793" spans="1:11">
      <c r="A793" s="16"/>
      <c r="B793" s="21"/>
      <c r="C793" s="16"/>
      <c r="D793" s="25"/>
      <c r="E793" s="22"/>
      <c r="F793" s="22"/>
      <c r="G793" s="25"/>
      <c r="H793" s="92"/>
      <c r="I793" s="22"/>
      <c r="J793" s="24"/>
      <c r="K793" s="22"/>
    </row>
    <row r="794" spans="1:11">
      <c r="A794" s="16"/>
      <c r="B794" s="21"/>
      <c r="C794" s="16"/>
      <c r="D794" s="25"/>
      <c r="E794" s="22"/>
      <c r="F794" s="22"/>
      <c r="G794" s="25"/>
      <c r="H794" s="92"/>
      <c r="I794" s="22"/>
      <c r="J794" s="24"/>
      <c r="K794" s="22"/>
    </row>
    <row r="795" spans="1:11">
      <c r="A795" s="16"/>
      <c r="B795" s="21"/>
      <c r="C795" s="16"/>
      <c r="D795" s="25"/>
      <c r="E795" s="22"/>
      <c r="F795" s="22"/>
      <c r="G795" s="25"/>
      <c r="H795" s="92"/>
      <c r="I795" s="22"/>
      <c r="J795" s="24"/>
      <c r="K795" s="22"/>
    </row>
    <row r="796" spans="1:11">
      <c r="A796" s="16"/>
      <c r="B796" s="21"/>
      <c r="C796" s="16"/>
      <c r="D796" s="25"/>
      <c r="E796" s="22"/>
      <c r="F796" s="22"/>
      <c r="G796" s="25"/>
      <c r="H796" s="92"/>
      <c r="I796" s="22"/>
      <c r="J796" s="24"/>
      <c r="K796" s="22"/>
    </row>
    <row r="797" spans="1:11">
      <c r="A797" s="16"/>
      <c r="B797" s="21"/>
      <c r="C797" s="16"/>
      <c r="D797" s="25"/>
      <c r="E797" s="22"/>
      <c r="F797" s="22"/>
      <c r="G797" s="25"/>
      <c r="H797" s="92"/>
      <c r="I797" s="22"/>
      <c r="J797" s="24"/>
      <c r="K797" s="22"/>
    </row>
    <row r="798" spans="1:11">
      <c r="A798" s="16"/>
      <c r="B798" s="21"/>
      <c r="C798" s="16"/>
      <c r="D798" s="25"/>
      <c r="E798" s="22"/>
      <c r="F798" s="22"/>
      <c r="G798" s="25"/>
      <c r="H798" s="92"/>
      <c r="I798" s="22"/>
      <c r="J798" s="24"/>
      <c r="K798" s="22"/>
    </row>
    <row r="799" spans="1:11">
      <c r="A799" s="16"/>
      <c r="B799" s="21"/>
      <c r="C799" s="16"/>
      <c r="D799" s="25"/>
      <c r="E799" s="22"/>
      <c r="F799" s="22"/>
      <c r="G799" s="25"/>
      <c r="H799" s="92"/>
      <c r="I799" s="22"/>
      <c r="J799" s="24"/>
      <c r="K799" s="22"/>
    </row>
    <row r="800" spans="1:11">
      <c r="A800" s="16"/>
      <c r="B800" s="21"/>
      <c r="C800" s="16"/>
      <c r="D800" s="25"/>
      <c r="E800" s="22"/>
      <c r="F800" s="22"/>
      <c r="G800" s="25"/>
      <c r="H800" s="92"/>
      <c r="I800" s="22"/>
      <c r="J800" s="24"/>
      <c r="K800" s="22"/>
    </row>
    <row r="801" spans="1:11">
      <c r="A801" s="16"/>
      <c r="B801" s="21"/>
      <c r="C801" s="16"/>
      <c r="D801" s="25"/>
      <c r="E801" s="22"/>
      <c r="F801" s="22"/>
      <c r="G801" s="25"/>
      <c r="H801" s="92"/>
      <c r="I801" s="22"/>
      <c r="J801" s="24"/>
      <c r="K801" s="22"/>
    </row>
    <row r="802" spans="1:11">
      <c r="A802" s="16"/>
      <c r="B802" s="21"/>
      <c r="C802" s="16"/>
      <c r="D802" s="25"/>
      <c r="E802" s="22"/>
      <c r="F802" s="22"/>
      <c r="G802" s="25"/>
      <c r="H802" s="92"/>
      <c r="I802" s="22"/>
      <c r="J802" s="24"/>
      <c r="K802" s="22"/>
    </row>
    <row r="803" spans="1:11">
      <c r="A803" s="16"/>
      <c r="B803" s="21"/>
      <c r="C803" s="16"/>
      <c r="D803" s="25"/>
      <c r="E803" s="22"/>
      <c r="F803" s="22"/>
      <c r="G803" s="25"/>
      <c r="H803" s="92"/>
      <c r="I803" s="22"/>
      <c r="J803" s="24"/>
      <c r="K803" s="22"/>
    </row>
    <row r="804" spans="1:11">
      <c r="A804" s="16"/>
      <c r="B804" s="21"/>
      <c r="C804" s="16"/>
      <c r="D804" s="25"/>
      <c r="E804" s="22"/>
      <c r="F804" s="22"/>
      <c r="G804" s="25"/>
      <c r="H804" s="92"/>
      <c r="I804" s="22"/>
      <c r="J804" s="24"/>
      <c r="K804" s="22"/>
    </row>
    <row r="805" spans="1:11">
      <c r="A805" s="16"/>
      <c r="B805" s="21"/>
      <c r="C805" s="16"/>
      <c r="D805" s="25"/>
      <c r="E805" s="22"/>
      <c r="F805" s="22"/>
      <c r="G805" s="25"/>
      <c r="H805" s="92"/>
      <c r="I805" s="22"/>
      <c r="J805" s="24"/>
      <c r="K805" s="22"/>
    </row>
    <row r="806" spans="1:11">
      <c r="A806" s="16"/>
      <c r="B806" s="21"/>
      <c r="C806" s="16"/>
      <c r="D806" s="25"/>
      <c r="E806" s="22"/>
      <c r="F806" s="22"/>
      <c r="G806" s="25"/>
      <c r="H806" s="92"/>
      <c r="I806" s="22"/>
      <c r="J806" s="24"/>
      <c r="K806" s="22"/>
    </row>
    <row r="807" spans="1:11">
      <c r="A807" s="16"/>
      <c r="B807" s="21"/>
      <c r="C807" s="16"/>
      <c r="D807" s="25"/>
      <c r="E807" s="22"/>
      <c r="F807" s="22"/>
      <c r="G807" s="25"/>
      <c r="H807" s="92"/>
      <c r="I807" s="22"/>
      <c r="J807" s="24"/>
      <c r="K807" s="22"/>
    </row>
    <row r="808" spans="1:11">
      <c r="A808" s="16"/>
      <c r="B808" s="21"/>
      <c r="C808" s="16"/>
      <c r="D808" s="25"/>
      <c r="E808" s="22"/>
      <c r="F808" s="22"/>
      <c r="G808" s="25"/>
      <c r="H808" s="92"/>
      <c r="I808" s="22"/>
      <c r="J808" s="24"/>
      <c r="K808" s="22"/>
    </row>
    <row r="809" spans="1:11">
      <c r="A809" s="16"/>
      <c r="B809" s="21"/>
      <c r="C809" s="16"/>
      <c r="D809" s="25"/>
      <c r="E809" s="22"/>
      <c r="F809" s="22"/>
      <c r="G809" s="25"/>
      <c r="H809" s="92"/>
      <c r="I809" s="22"/>
      <c r="J809" s="24"/>
      <c r="K809" s="22"/>
    </row>
    <row r="810" spans="1:11">
      <c r="A810" s="16"/>
      <c r="B810" s="21"/>
      <c r="C810" s="16"/>
      <c r="D810" s="25"/>
      <c r="E810" s="22"/>
      <c r="F810" s="22"/>
      <c r="G810" s="25"/>
      <c r="H810" s="92"/>
      <c r="I810" s="22"/>
      <c r="J810" s="24"/>
      <c r="K810" s="22"/>
    </row>
    <row r="811" spans="1:11">
      <c r="A811" s="16"/>
      <c r="B811" s="21"/>
      <c r="C811" s="16"/>
      <c r="D811" s="25"/>
      <c r="E811" s="22"/>
      <c r="F811" s="22"/>
      <c r="G811" s="25"/>
      <c r="H811" s="92"/>
      <c r="I811" s="22"/>
      <c r="J811" s="24"/>
      <c r="K811" s="22"/>
    </row>
    <row r="812" spans="1:11">
      <c r="A812" s="16"/>
      <c r="B812" s="21"/>
      <c r="C812" s="16"/>
      <c r="D812" s="25"/>
      <c r="E812" s="22"/>
      <c r="F812" s="22"/>
      <c r="G812" s="25"/>
      <c r="H812" s="92"/>
      <c r="I812" s="22"/>
      <c r="J812" s="24"/>
      <c r="K812" s="22"/>
    </row>
    <row r="813" spans="1:11">
      <c r="A813" s="16"/>
      <c r="B813" s="21"/>
      <c r="C813" s="16"/>
      <c r="D813" s="25"/>
      <c r="E813" s="22"/>
      <c r="F813" s="22"/>
      <c r="G813" s="25"/>
      <c r="H813" s="92"/>
      <c r="I813" s="22"/>
      <c r="J813" s="24"/>
      <c r="K813" s="22"/>
    </row>
    <row r="814" spans="1:11">
      <c r="A814" s="16"/>
      <c r="B814" s="21"/>
      <c r="C814" s="16"/>
      <c r="D814" s="25"/>
      <c r="E814" s="22"/>
      <c r="F814" s="22"/>
      <c r="G814" s="25"/>
      <c r="H814" s="92"/>
      <c r="I814" s="22"/>
      <c r="J814" s="24"/>
      <c r="K814" s="22"/>
    </row>
    <row r="815" spans="1:11">
      <c r="A815" s="16"/>
      <c r="B815" s="21"/>
      <c r="C815" s="16"/>
      <c r="D815" s="25"/>
      <c r="E815" s="22"/>
      <c r="F815" s="22"/>
      <c r="G815" s="25"/>
      <c r="H815" s="92"/>
      <c r="I815" s="22"/>
      <c r="J815" s="24"/>
      <c r="K815" s="22"/>
    </row>
    <row r="816" spans="1:11">
      <c r="A816" s="16"/>
      <c r="B816" s="21"/>
      <c r="C816" s="16"/>
      <c r="D816" s="25"/>
      <c r="E816" s="22"/>
      <c r="F816" s="22"/>
      <c r="G816" s="25"/>
      <c r="H816" s="92"/>
      <c r="I816" s="22"/>
      <c r="J816" s="24"/>
      <c r="K816" s="22"/>
    </row>
    <row r="817" spans="1:11">
      <c r="A817" s="16"/>
      <c r="B817" s="21"/>
      <c r="C817" s="16"/>
      <c r="D817" s="25"/>
      <c r="E817" s="22"/>
      <c r="F817" s="22"/>
      <c r="G817" s="25"/>
      <c r="H817" s="92"/>
      <c r="I817" s="22"/>
      <c r="J817" s="24"/>
      <c r="K817" s="22"/>
    </row>
    <row r="818" spans="1:11">
      <c r="A818" s="16"/>
      <c r="B818" s="21"/>
      <c r="C818" s="16"/>
      <c r="D818" s="25"/>
      <c r="E818" s="22"/>
      <c r="F818" s="22"/>
      <c r="G818" s="25"/>
      <c r="H818" s="92"/>
      <c r="I818" s="22"/>
      <c r="J818" s="24"/>
      <c r="K818" s="22"/>
    </row>
    <row r="819" spans="1:11">
      <c r="A819" s="16"/>
      <c r="B819" s="21"/>
      <c r="C819" s="16"/>
      <c r="D819" s="25"/>
      <c r="E819" s="22"/>
      <c r="F819" s="22"/>
      <c r="G819" s="25"/>
      <c r="H819" s="92"/>
      <c r="I819" s="22"/>
      <c r="J819" s="24"/>
      <c r="K819" s="22"/>
    </row>
    <row r="820" spans="1:11">
      <c r="A820" s="16"/>
      <c r="B820" s="21"/>
      <c r="C820" s="16"/>
      <c r="D820" s="25"/>
      <c r="E820" s="22"/>
      <c r="F820" s="22"/>
      <c r="G820" s="25"/>
      <c r="H820" s="92"/>
      <c r="I820" s="22"/>
      <c r="J820" s="24"/>
      <c r="K820" s="22"/>
    </row>
    <row r="821" spans="1:11">
      <c r="A821" s="16"/>
      <c r="B821" s="21"/>
      <c r="C821" s="16"/>
      <c r="D821" s="25"/>
      <c r="E821" s="22"/>
      <c r="F821" s="22"/>
      <c r="G821" s="25"/>
      <c r="H821" s="92"/>
      <c r="I821" s="22"/>
      <c r="J821" s="24"/>
      <c r="K821" s="22"/>
    </row>
    <row r="822" spans="1:11">
      <c r="A822" s="16"/>
      <c r="B822" s="21"/>
      <c r="C822" s="16"/>
      <c r="D822" s="25"/>
      <c r="E822" s="22"/>
      <c r="F822" s="22"/>
      <c r="G822" s="25"/>
      <c r="H822" s="92"/>
      <c r="I822" s="22"/>
      <c r="J822" s="24"/>
      <c r="K822" s="22"/>
    </row>
    <row r="823" spans="1:11">
      <c r="A823" s="16"/>
      <c r="B823" s="21"/>
      <c r="C823" s="16"/>
      <c r="D823" s="25"/>
      <c r="E823" s="22"/>
      <c r="F823" s="22"/>
      <c r="G823" s="25"/>
      <c r="H823" s="92"/>
      <c r="I823" s="22"/>
      <c r="J823" s="24"/>
      <c r="K823" s="22"/>
    </row>
    <row r="824" spans="1:11">
      <c r="A824" s="16"/>
      <c r="B824" s="21"/>
      <c r="C824" s="16"/>
      <c r="D824" s="25"/>
      <c r="E824" s="22"/>
      <c r="F824" s="22"/>
      <c r="G824" s="25"/>
      <c r="H824" s="92"/>
      <c r="I824" s="22"/>
      <c r="J824" s="24"/>
      <c r="K824" s="22"/>
    </row>
    <row r="825" spans="1:11">
      <c r="A825" s="16"/>
      <c r="B825" s="21"/>
      <c r="C825" s="16"/>
      <c r="D825" s="25"/>
      <c r="E825" s="22"/>
      <c r="F825" s="22"/>
      <c r="G825" s="25"/>
      <c r="H825" s="92"/>
      <c r="I825" s="22"/>
      <c r="J825" s="24"/>
      <c r="K825" s="22"/>
    </row>
    <row r="826" spans="1:11">
      <c r="A826" s="16"/>
      <c r="B826" s="21"/>
      <c r="C826" s="16"/>
      <c r="D826" s="25"/>
      <c r="E826" s="22"/>
      <c r="F826" s="22"/>
      <c r="G826" s="25"/>
      <c r="H826" s="92"/>
      <c r="I826" s="22"/>
      <c r="J826" s="24"/>
      <c r="K826" s="22"/>
    </row>
    <row r="827" spans="1:11">
      <c r="A827" s="16"/>
      <c r="B827" s="21"/>
      <c r="C827" s="16"/>
      <c r="D827" s="25"/>
      <c r="E827" s="22"/>
      <c r="F827" s="22"/>
      <c r="G827" s="25"/>
      <c r="H827" s="92"/>
      <c r="I827" s="22"/>
      <c r="J827" s="24"/>
      <c r="K827" s="22"/>
    </row>
    <row r="828" spans="1:11">
      <c r="A828" s="16"/>
      <c r="B828" s="21"/>
      <c r="C828" s="16"/>
      <c r="D828" s="25"/>
      <c r="E828" s="22"/>
      <c r="F828" s="22"/>
      <c r="G828" s="25"/>
      <c r="H828" s="92"/>
      <c r="I828" s="22"/>
      <c r="J828" s="24"/>
      <c r="K828" s="22"/>
    </row>
    <row r="829" spans="1:11">
      <c r="A829" s="16"/>
      <c r="B829" s="21"/>
      <c r="C829" s="16"/>
      <c r="D829" s="25"/>
      <c r="E829" s="22"/>
      <c r="F829" s="22"/>
      <c r="G829" s="25"/>
      <c r="H829" s="92"/>
      <c r="I829" s="22"/>
      <c r="J829" s="24"/>
      <c r="K829" s="22"/>
    </row>
    <row r="830" spans="1:11">
      <c r="A830" s="16"/>
      <c r="B830" s="21"/>
      <c r="C830" s="16"/>
      <c r="D830" s="25"/>
      <c r="E830" s="22"/>
      <c r="F830" s="22"/>
      <c r="G830" s="25"/>
      <c r="H830" s="92"/>
      <c r="I830" s="22"/>
      <c r="J830" s="24"/>
      <c r="K830" s="22"/>
    </row>
    <row r="831" spans="1:11">
      <c r="A831" s="16"/>
      <c r="B831" s="21"/>
      <c r="C831" s="16"/>
      <c r="D831" s="25"/>
      <c r="E831" s="22"/>
      <c r="F831" s="22"/>
      <c r="G831" s="25"/>
      <c r="H831" s="92"/>
      <c r="I831" s="22"/>
      <c r="J831" s="24"/>
      <c r="K831" s="22"/>
    </row>
    <row r="832" spans="1:11">
      <c r="A832" s="16"/>
      <c r="B832" s="21"/>
      <c r="C832" s="16"/>
      <c r="D832" s="25"/>
      <c r="E832" s="22"/>
      <c r="F832" s="22"/>
      <c r="G832" s="25"/>
      <c r="H832" s="92"/>
      <c r="I832" s="22"/>
      <c r="J832" s="24"/>
      <c r="K832" s="22"/>
    </row>
    <row r="833" spans="1:11">
      <c r="A833" s="16"/>
      <c r="B833" s="21"/>
      <c r="C833" s="16"/>
      <c r="D833" s="25"/>
      <c r="E833" s="22"/>
      <c r="F833" s="22"/>
      <c r="G833" s="25"/>
      <c r="H833" s="92"/>
      <c r="I833" s="22"/>
      <c r="J833" s="24"/>
      <c r="K833" s="22"/>
    </row>
  </sheetData>
  <autoFilter ref="D1:D833" xr:uid="{00000000-0001-0000-0700-000000000000}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showGridLines="0" tabSelected="1" zoomScaleNormal="100" workbookViewId="0">
      <pane ySplit="3" topLeftCell="A4" activePane="bottomLeft" state="frozen"/>
      <selection pane="bottomLeft" activeCell="G4" sqref="G4:H7"/>
    </sheetView>
  </sheetViews>
  <sheetFormatPr defaultColWidth="8.5703125" defaultRowHeight="9"/>
  <cols>
    <col min="1" max="1" width="1.42578125" style="20" bestFit="1" customWidth="1"/>
    <col min="2" max="2" width="6.85546875" style="20" bestFit="1" customWidth="1"/>
    <col min="3" max="3" width="24.5703125" style="20" bestFit="1" customWidth="1"/>
    <col min="4" max="4" width="7.42578125" style="20" bestFit="1" customWidth="1"/>
    <col min="5" max="5" width="12.140625" style="20" bestFit="1" customWidth="1"/>
    <col min="6" max="6" width="10.5703125" style="20" bestFit="1" customWidth="1"/>
    <col min="7" max="7" width="11.42578125" style="20" bestFit="1" customWidth="1"/>
    <col min="8" max="8" width="9" style="20" bestFit="1" customWidth="1"/>
    <col min="9" max="9" width="4.42578125" style="20" bestFit="1" customWidth="1"/>
    <col min="10" max="16384" width="8.5703125" style="20"/>
  </cols>
  <sheetData>
    <row r="1" spans="1:9">
      <c r="A1" s="130" t="s">
        <v>127</v>
      </c>
      <c r="B1" s="130"/>
      <c r="C1" s="130"/>
      <c r="D1" s="130"/>
      <c r="E1" s="130"/>
      <c r="F1" s="130"/>
      <c r="G1" s="130"/>
      <c r="H1" s="130"/>
      <c r="I1" s="130"/>
    </row>
    <row r="2" spans="1:9">
      <c r="A2" s="131" t="s">
        <v>128</v>
      </c>
      <c r="B2" s="131"/>
      <c r="C2" s="131"/>
      <c r="D2" s="131"/>
      <c r="E2" s="131"/>
      <c r="F2" s="131"/>
      <c r="G2" s="131"/>
      <c r="H2" s="131"/>
      <c r="I2" s="131"/>
    </row>
    <row r="3" spans="1:9">
      <c r="A3" s="35" t="s">
        <v>9</v>
      </c>
      <c r="B3" s="35" t="s">
        <v>47</v>
      </c>
      <c r="C3" s="35" t="s">
        <v>129</v>
      </c>
      <c r="D3" s="35" t="s">
        <v>125</v>
      </c>
      <c r="E3" s="35" t="s">
        <v>130</v>
      </c>
      <c r="F3" s="35" t="s">
        <v>131</v>
      </c>
      <c r="G3" s="35" t="s">
        <v>132</v>
      </c>
      <c r="H3" s="35" t="s">
        <v>133</v>
      </c>
      <c r="I3" s="35" t="s">
        <v>51</v>
      </c>
    </row>
    <row r="4" spans="1:9">
      <c r="A4" s="16">
        <v>1</v>
      </c>
      <c r="B4" s="16"/>
      <c r="C4" s="16"/>
      <c r="D4" s="16"/>
      <c r="E4" s="18"/>
      <c r="F4" s="26">
        <f>E4*IF(D4="Monthly",12,IF(D4="Quarterly",4,IF(D4="Weekly",52,IF(D4="Annual",1,0))))</f>
        <v>0</v>
      </c>
      <c r="G4" s="21"/>
      <c r="H4" s="21"/>
    </row>
    <row r="5" spans="1:9">
      <c r="A5" s="16">
        <v>3</v>
      </c>
      <c r="B5" s="16"/>
      <c r="C5" s="16"/>
      <c r="D5" s="16"/>
      <c r="E5" s="18"/>
      <c r="F5" s="26">
        <f>E5*IF(D5="Monthly",12,IF(D5="Quarterly",4,IF(D5="Weekly",52,IF(D5="Annual",1,0))))</f>
        <v>0</v>
      </c>
      <c r="G5" s="21"/>
      <c r="H5" s="21"/>
    </row>
    <row r="6" spans="1:9">
      <c r="A6" s="22">
        <v>4</v>
      </c>
      <c r="B6" s="22"/>
      <c r="C6" s="22"/>
      <c r="D6" s="22"/>
      <c r="E6" s="18"/>
      <c r="F6" s="24">
        <f>E6*IF(D6="Monthly",12,IF(D6="Quarterly",4,IF(D6="Weekly",52,IF(D6="Annual",1,0))))</f>
        <v>0</v>
      </c>
      <c r="G6" s="21"/>
      <c r="H6" s="21"/>
    </row>
    <row r="7" spans="1:9">
      <c r="A7" s="16">
        <v>5</v>
      </c>
      <c r="B7" s="16"/>
      <c r="C7" s="16"/>
      <c r="D7" s="16"/>
      <c r="E7" s="18"/>
      <c r="F7" s="26">
        <f>E7*IF(D7="Monthly",12,IF(D7="Quarterly",4,IF(D7="Weekly",52,IF(D7="Annual",1,0))))</f>
        <v>0</v>
      </c>
      <c r="G7" s="21"/>
      <c r="H7" s="21"/>
    </row>
    <row r="8" spans="1:9">
      <c r="A8" s="39"/>
      <c r="B8" s="39"/>
      <c r="C8" s="39"/>
      <c r="D8" s="40" t="s">
        <v>57</v>
      </c>
      <c r="E8" s="41">
        <f>SUM(E4:E7)</f>
        <v>0</v>
      </c>
      <c r="F8" s="41">
        <f>SUM(F4:F7)</f>
        <v>0</v>
      </c>
      <c r="G8" s="39"/>
      <c r="H8" s="39"/>
      <c r="I8" s="39"/>
    </row>
  </sheetData>
  <mergeCells count="2">
    <mergeCell ref="A2:I2"/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0"/>
  <sheetViews>
    <sheetView showGridLines="0" zoomScaleNormal="100" workbookViewId="0">
      <pane ySplit="3" topLeftCell="A4" activePane="bottomLeft" state="frozen"/>
      <selection pane="bottomLeft" activeCell="A4" sqref="A4:A7"/>
    </sheetView>
  </sheetViews>
  <sheetFormatPr defaultColWidth="8.5703125" defaultRowHeight="9"/>
  <cols>
    <col min="1" max="1" width="2.7109375" style="20" bestFit="1" customWidth="1"/>
    <col min="2" max="2" width="10.140625" style="20" bestFit="1" customWidth="1"/>
    <col min="3" max="3" width="25.140625" style="20" bestFit="1" customWidth="1"/>
    <col min="4" max="4" width="6.140625" style="20" bestFit="1" customWidth="1"/>
    <col min="5" max="5" width="10.7109375" style="20" bestFit="1" customWidth="1"/>
    <col min="6" max="6" width="12.85546875" style="20" bestFit="1" customWidth="1"/>
    <col min="7" max="7" width="8.85546875" style="20" bestFit="1" customWidth="1"/>
    <col min="8" max="8" width="4.5703125" style="20" bestFit="1" customWidth="1"/>
    <col min="9" max="9" width="4.42578125" style="20" bestFit="1" customWidth="1"/>
    <col min="10" max="16384" width="8.5703125" style="20"/>
  </cols>
  <sheetData>
    <row r="1" spans="1:9">
      <c r="A1" s="130" t="s">
        <v>136</v>
      </c>
      <c r="B1" s="130"/>
      <c r="C1" s="130"/>
      <c r="D1" s="130"/>
      <c r="E1" s="130"/>
      <c r="F1" s="130"/>
      <c r="G1" s="130"/>
      <c r="H1" s="130"/>
      <c r="I1" s="130"/>
    </row>
    <row r="2" spans="1:9">
      <c r="A2" s="131" t="s">
        <v>137</v>
      </c>
      <c r="B2" s="131"/>
      <c r="C2" s="131"/>
      <c r="D2" s="131"/>
      <c r="E2" s="131"/>
      <c r="F2" s="131"/>
      <c r="G2" s="131"/>
      <c r="H2" s="131"/>
      <c r="I2" s="131"/>
    </row>
    <row r="3" spans="1:9">
      <c r="A3" s="35" t="s">
        <v>250</v>
      </c>
      <c r="B3" s="35" t="s">
        <v>41</v>
      </c>
      <c r="C3" s="35" t="s">
        <v>138</v>
      </c>
      <c r="D3" s="35" t="s">
        <v>139</v>
      </c>
      <c r="E3" s="35" t="s">
        <v>140</v>
      </c>
      <c r="F3" s="35" t="s">
        <v>64</v>
      </c>
      <c r="G3" s="35" t="s">
        <v>141</v>
      </c>
      <c r="H3" s="35" t="s">
        <v>13</v>
      </c>
      <c r="I3" s="35" t="s">
        <v>51</v>
      </c>
    </row>
    <row r="4" spans="1:9" ht="12.75">
      <c r="A4" s="16"/>
      <c r="B4" s="111">
        <v>44936</v>
      </c>
      <c r="C4" s="112" t="s">
        <v>272</v>
      </c>
      <c r="D4" s="22"/>
      <c r="E4" s="22"/>
      <c r="F4" s="92">
        <v>878747.84</v>
      </c>
      <c r="G4" s="22"/>
      <c r="H4" s="22" t="s">
        <v>143</v>
      </c>
    </row>
    <row r="5" spans="1:9" ht="12.75">
      <c r="A5" s="16"/>
      <c r="B5" s="111">
        <v>44946</v>
      </c>
      <c r="C5" s="112" t="s">
        <v>283</v>
      </c>
      <c r="D5" s="22"/>
      <c r="E5" s="22"/>
      <c r="F5" s="92">
        <v>6000</v>
      </c>
      <c r="G5" s="22"/>
      <c r="H5" s="22" t="s">
        <v>143</v>
      </c>
    </row>
    <row r="6" spans="1:9" ht="12.75">
      <c r="A6" s="16"/>
      <c r="B6" s="111">
        <v>44970</v>
      </c>
      <c r="C6" s="112" t="s">
        <v>272</v>
      </c>
      <c r="D6" s="22"/>
      <c r="E6" s="22"/>
      <c r="F6" s="92">
        <v>938716.4</v>
      </c>
      <c r="G6" s="22"/>
      <c r="H6" s="22" t="s">
        <v>143</v>
      </c>
    </row>
    <row r="7" spans="1:9" ht="12.75">
      <c r="A7" s="16"/>
      <c r="B7" s="111">
        <v>44977</v>
      </c>
      <c r="C7" s="112" t="s">
        <v>272</v>
      </c>
      <c r="D7" s="22"/>
      <c r="E7" s="22"/>
      <c r="F7" s="92">
        <v>14976.32</v>
      </c>
      <c r="G7" s="22"/>
      <c r="H7" s="22" t="s">
        <v>143</v>
      </c>
    </row>
    <row r="8" spans="1:9" ht="12.75">
      <c r="A8" s="16"/>
      <c r="B8" s="111">
        <v>44977</v>
      </c>
      <c r="C8" s="112" t="s">
        <v>283</v>
      </c>
      <c r="D8" s="22"/>
      <c r="E8" s="22"/>
      <c r="F8" s="92">
        <v>6000</v>
      </c>
      <c r="G8" s="22"/>
      <c r="H8" s="22" t="s">
        <v>143</v>
      </c>
    </row>
    <row r="9" spans="1:9" ht="12.75">
      <c r="A9" s="16"/>
      <c r="B9" s="111">
        <v>44995</v>
      </c>
      <c r="C9" s="112" t="s">
        <v>272</v>
      </c>
      <c r="D9" s="22"/>
      <c r="E9" s="22"/>
      <c r="F9" s="91">
        <v>788391.8</v>
      </c>
      <c r="G9" s="22"/>
      <c r="H9" s="22" t="s">
        <v>143</v>
      </c>
    </row>
    <row r="10" spans="1:9" ht="12.75">
      <c r="A10" s="16"/>
      <c r="B10" s="111">
        <v>45015</v>
      </c>
      <c r="C10" s="112" t="s">
        <v>283</v>
      </c>
      <c r="D10" s="22"/>
      <c r="E10" s="22"/>
      <c r="F10" s="96">
        <v>8000</v>
      </c>
      <c r="G10" s="22"/>
      <c r="H10" s="22" t="s">
        <v>143</v>
      </c>
    </row>
    <row r="11" spans="1:9" ht="12.75">
      <c r="A11" s="16"/>
      <c r="B11" s="111">
        <v>45026</v>
      </c>
      <c r="C11" s="112" t="s">
        <v>272</v>
      </c>
      <c r="D11" s="22"/>
      <c r="E11" s="22"/>
      <c r="F11" s="91">
        <v>884343.89</v>
      </c>
      <c r="G11" s="22"/>
      <c r="H11" s="22" t="s">
        <v>143</v>
      </c>
    </row>
    <row r="12" spans="1:9" ht="12.75">
      <c r="A12" s="16"/>
      <c r="B12" s="111">
        <v>45048</v>
      </c>
      <c r="C12" s="112" t="s">
        <v>283</v>
      </c>
      <c r="D12" s="22"/>
      <c r="E12" s="22"/>
      <c r="F12" s="91">
        <v>8000</v>
      </c>
      <c r="G12" s="22"/>
      <c r="H12" s="22" t="s">
        <v>143</v>
      </c>
    </row>
    <row r="13" spans="1:9" ht="12.75">
      <c r="A13" s="16"/>
      <c r="B13" s="111">
        <v>45048</v>
      </c>
      <c r="C13" s="112" t="s">
        <v>272</v>
      </c>
      <c r="D13" s="22"/>
      <c r="E13" s="22"/>
      <c r="F13" s="92">
        <v>150</v>
      </c>
      <c r="G13" s="22"/>
      <c r="H13" s="22" t="s">
        <v>143</v>
      </c>
    </row>
    <row r="14" spans="1:9" ht="12.75">
      <c r="A14" s="16"/>
      <c r="B14" s="111">
        <v>45054</v>
      </c>
      <c r="C14" s="112" t="s">
        <v>272</v>
      </c>
      <c r="D14" s="22"/>
      <c r="E14" s="22"/>
      <c r="F14" s="92">
        <v>400</v>
      </c>
      <c r="G14" s="22"/>
      <c r="H14" s="22" t="s">
        <v>143</v>
      </c>
    </row>
    <row r="15" spans="1:9" ht="12.75">
      <c r="A15" s="16"/>
      <c r="B15" s="111">
        <v>45057</v>
      </c>
      <c r="C15" s="112" t="s">
        <v>272</v>
      </c>
      <c r="D15" s="22"/>
      <c r="E15" s="22"/>
      <c r="F15" s="92">
        <v>864994.68</v>
      </c>
      <c r="G15" s="22"/>
      <c r="H15" s="22" t="s">
        <v>143</v>
      </c>
    </row>
    <row r="16" spans="1:9" ht="12.75">
      <c r="A16" s="16"/>
      <c r="B16" s="111">
        <v>45066</v>
      </c>
      <c r="C16" s="112" t="s">
        <v>272</v>
      </c>
      <c r="D16" s="22"/>
      <c r="E16" s="22"/>
      <c r="F16" s="92">
        <v>9775</v>
      </c>
      <c r="G16" s="22"/>
      <c r="H16" s="22" t="s">
        <v>143</v>
      </c>
    </row>
    <row r="17" spans="1:8" ht="12.75">
      <c r="A17" s="16"/>
      <c r="B17" s="111">
        <v>45066</v>
      </c>
      <c r="C17" s="112" t="s">
        <v>283</v>
      </c>
      <c r="D17" s="22"/>
      <c r="E17" s="22"/>
      <c r="F17" s="92">
        <v>8000</v>
      </c>
      <c r="G17" s="22"/>
      <c r="H17" s="22" t="s">
        <v>143</v>
      </c>
    </row>
    <row r="18" spans="1:8" ht="12.75">
      <c r="A18" s="16"/>
      <c r="B18" s="111">
        <v>45084</v>
      </c>
      <c r="C18" s="112" t="s">
        <v>272</v>
      </c>
      <c r="D18" s="22"/>
      <c r="E18" s="22"/>
      <c r="F18" s="92">
        <v>916507.66</v>
      </c>
      <c r="G18" s="22"/>
      <c r="H18" s="22" t="s">
        <v>143</v>
      </c>
    </row>
    <row r="19" spans="1:8" ht="12.75">
      <c r="A19" s="16"/>
      <c r="B19" s="111">
        <v>45091</v>
      </c>
      <c r="C19" s="112" t="s">
        <v>272</v>
      </c>
      <c r="D19" s="22"/>
      <c r="E19" s="22"/>
      <c r="F19" s="92">
        <v>3127.63</v>
      </c>
      <c r="G19" s="22"/>
      <c r="H19" s="22" t="s">
        <v>143</v>
      </c>
    </row>
    <row r="20" spans="1:8" ht="12.75">
      <c r="A20" s="16"/>
      <c r="B20" s="113">
        <v>45127</v>
      </c>
      <c r="C20" s="112" t="s">
        <v>283</v>
      </c>
      <c r="D20" s="22"/>
      <c r="E20" s="22"/>
      <c r="F20" s="92">
        <v>8000</v>
      </c>
      <c r="G20" s="22"/>
      <c r="H20" s="22" t="s">
        <v>143</v>
      </c>
    </row>
    <row r="21" spans="1:8" ht="12.75">
      <c r="A21" s="16"/>
      <c r="B21" s="113">
        <v>45127</v>
      </c>
      <c r="C21" s="112" t="s">
        <v>272</v>
      </c>
      <c r="D21" s="22"/>
      <c r="E21" s="22"/>
      <c r="F21" s="92">
        <v>1017546.87</v>
      </c>
      <c r="G21" s="22"/>
      <c r="H21" s="22" t="s">
        <v>143</v>
      </c>
    </row>
    <row r="22" spans="1:8" ht="12.75">
      <c r="A22" s="16"/>
      <c r="B22" s="113">
        <v>45127</v>
      </c>
      <c r="C22" s="112" t="s">
        <v>272</v>
      </c>
      <c r="D22" s="22"/>
      <c r="E22" s="22"/>
      <c r="F22" s="92">
        <v>4800.53</v>
      </c>
      <c r="G22" s="22"/>
      <c r="H22" s="22" t="s">
        <v>143</v>
      </c>
    </row>
    <row r="23" spans="1:8" ht="12.75">
      <c r="A23" s="16"/>
      <c r="B23" s="113">
        <v>45146</v>
      </c>
      <c r="C23" s="112" t="s">
        <v>272</v>
      </c>
      <c r="D23" s="22"/>
      <c r="E23" s="22"/>
      <c r="F23" s="92">
        <v>1284865.75</v>
      </c>
      <c r="G23" s="22"/>
      <c r="H23" s="22" t="s">
        <v>143</v>
      </c>
    </row>
    <row r="24" spans="1:8" ht="12.75">
      <c r="A24" s="16"/>
      <c r="B24" s="113">
        <v>45152</v>
      </c>
      <c r="C24" s="112" t="s">
        <v>283</v>
      </c>
      <c r="D24" s="22"/>
      <c r="E24" s="22"/>
      <c r="F24" s="92">
        <v>8000</v>
      </c>
      <c r="G24" s="22"/>
      <c r="H24" s="22" t="s">
        <v>143</v>
      </c>
    </row>
    <row r="25" spans="1:8" ht="12.75">
      <c r="A25" s="16"/>
      <c r="B25" s="113">
        <v>45178</v>
      </c>
      <c r="C25" s="112" t="s">
        <v>272</v>
      </c>
      <c r="D25" s="22"/>
      <c r="E25" s="22"/>
      <c r="F25" s="92">
        <v>1341225.32</v>
      </c>
      <c r="G25" s="22"/>
      <c r="H25" s="22" t="s">
        <v>143</v>
      </c>
    </row>
    <row r="26" spans="1:8" ht="12.75">
      <c r="A26" s="16"/>
      <c r="B26" s="113">
        <v>45190</v>
      </c>
      <c r="C26" s="112" t="s">
        <v>283</v>
      </c>
      <c r="D26" s="22"/>
      <c r="E26" s="22"/>
      <c r="F26" s="96">
        <v>8000</v>
      </c>
      <c r="G26" s="22"/>
      <c r="H26" s="22" t="s">
        <v>143</v>
      </c>
    </row>
    <row r="27" spans="1:8" ht="12.75">
      <c r="A27" s="16"/>
      <c r="B27" s="113">
        <v>45219</v>
      </c>
      <c r="C27" s="112" t="s">
        <v>272</v>
      </c>
      <c r="D27" s="22"/>
      <c r="E27" s="22"/>
      <c r="F27" s="91">
        <v>1537346.9</v>
      </c>
      <c r="G27" s="22"/>
      <c r="H27" s="22" t="s">
        <v>143</v>
      </c>
    </row>
    <row r="28" spans="1:8" ht="12.75">
      <c r="A28" s="16"/>
      <c r="B28" s="113">
        <v>45222</v>
      </c>
      <c r="C28" s="112" t="s">
        <v>272</v>
      </c>
      <c r="D28" s="22"/>
      <c r="E28" s="22"/>
      <c r="F28" s="91">
        <v>7894.74</v>
      </c>
      <c r="G28" s="22"/>
      <c r="H28" s="22" t="s">
        <v>143</v>
      </c>
    </row>
    <row r="29" spans="1:8" ht="12.75">
      <c r="A29" s="16"/>
      <c r="B29" s="113">
        <v>45222</v>
      </c>
      <c r="C29" s="112" t="s">
        <v>272</v>
      </c>
      <c r="D29" s="22"/>
      <c r="E29" s="22"/>
      <c r="F29" s="91">
        <v>7894.74</v>
      </c>
      <c r="G29" s="22"/>
      <c r="H29" s="22" t="s">
        <v>143</v>
      </c>
    </row>
    <row r="30" spans="1:8" ht="12.75">
      <c r="A30" s="16"/>
      <c r="B30" s="113">
        <v>45222</v>
      </c>
      <c r="C30" s="112" t="s">
        <v>283</v>
      </c>
      <c r="D30" s="22"/>
      <c r="E30" s="22"/>
      <c r="F30" s="91">
        <v>8000</v>
      </c>
      <c r="G30" s="22"/>
      <c r="H30" s="22" t="s">
        <v>143</v>
      </c>
    </row>
    <row r="31" spans="1:8" ht="12.75">
      <c r="A31" s="16"/>
      <c r="B31" s="113">
        <v>45279</v>
      </c>
      <c r="C31" s="112" t="s">
        <v>272</v>
      </c>
      <c r="D31" s="22"/>
      <c r="E31" s="22"/>
      <c r="F31" s="91">
        <v>24392.12</v>
      </c>
      <c r="G31" s="22"/>
      <c r="H31" s="22" t="s">
        <v>143</v>
      </c>
    </row>
    <row r="32" spans="1:8" ht="12.75">
      <c r="A32" s="16"/>
      <c r="B32" s="113">
        <v>45279</v>
      </c>
      <c r="C32" s="112" t="s">
        <v>272</v>
      </c>
      <c r="D32" s="22"/>
      <c r="E32" s="22"/>
      <c r="F32" s="91">
        <v>1495673.81</v>
      </c>
      <c r="G32" s="22"/>
      <c r="H32" s="22" t="s">
        <v>143</v>
      </c>
    </row>
    <row r="33" spans="1:8" ht="12.75">
      <c r="A33" s="16"/>
      <c r="B33" s="113">
        <v>45279</v>
      </c>
      <c r="C33" s="112" t="s">
        <v>272</v>
      </c>
      <c r="D33" s="22"/>
      <c r="E33" s="22"/>
      <c r="F33" s="91">
        <v>1741399.5</v>
      </c>
      <c r="G33" s="22"/>
      <c r="H33" s="22" t="s">
        <v>143</v>
      </c>
    </row>
    <row r="34" spans="1:8" ht="12.75">
      <c r="A34" s="16"/>
      <c r="B34" s="113">
        <v>45279</v>
      </c>
      <c r="C34" s="112" t="s">
        <v>272</v>
      </c>
      <c r="D34" s="22"/>
      <c r="E34" s="22"/>
      <c r="F34" s="91">
        <v>31378.080000000002</v>
      </c>
      <c r="G34" s="22"/>
      <c r="H34" s="22" t="s">
        <v>143</v>
      </c>
    </row>
    <row r="35" spans="1:8" ht="12.75">
      <c r="A35" s="16"/>
      <c r="B35" s="113">
        <v>45279</v>
      </c>
      <c r="C35" s="112" t="s">
        <v>272</v>
      </c>
      <c r="D35" s="22"/>
      <c r="E35" s="22"/>
      <c r="F35" s="91">
        <v>24392.12</v>
      </c>
      <c r="G35" s="22"/>
      <c r="H35" s="22" t="s">
        <v>143</v>
      </c>
    </row>
    <row r="36" spans="1:8" ht="12.75">
      <c r="A36" s="16"/>
      <c r="B36" s="21"/>
      <c r="C36" s="16"/>
      <c r="D36" s="22"/>
      <c r="E36" s="22"/>
      <c r="F36" s="91"/>
      <c r="G36" s="22"/>
      <c r="H36" s="22"/>
    </row>
    <row r="37" spans="1:8" ht="12.75">
      <c r="A37" s="16"/>
      <c r="B37" s="21"/>
      <c r="C37" s="16"/>
      <c r="D37" s="22"/>
      <c r="E37" s="22"/>
      <c r="F37" s="91"/>
      <c r="G37" s="22"/>
      <c r="H37" s="22"/>
    </row>
    <row r="38" spans="1:8" ht="12.75">
      <c r="A38" s="16"/>
      <c r="B38" s="21"/>
      <c r="C38" s="16"/>
      <c r="D38" s="22"/>
      <c r="E38" s="22"/>
      <c r="F38" s="91"/>
      <c r="G38" s="22"/>
      <c r="H38" s="22"/>
    </row>
    <row r="39" spans="1:8" ht="12.75">
      <c r="A39" s="16"/>
      <c r="B39" s="21"/>
      <c r="C39" s="16"/>
      <c r="D39" s="22"/>
      <c r="E39" s="22"/>
      <c r="F39" s="90"/>
      <c r="G39" s="22"/>
      <c r="H39" s="22"/>
    </row>
    <row r="40" spans="1:8" s="109" customFormat="1" ht="12.75">
      <c r="A40" s="105"/>
      <c r="B40" s="106"/>
      <c r="C40" s="105"/>
      <c r="D40" s="107"/>
      <c r="E40" s="110" t="s">
        <v>90</v>
      </c>
      <c r="F40" s="108">
        <f>SUM(F4:F39)</f>
        <v>13886941.700000001</v>
      </c>
      <c r="G40" s="107"/>
      <c r="H40" s="107"/>
    </row>
  </sheetData>
  <autoFilter ref="F1:F41" xr:uid="{00000000-0001-0000-0A00-000000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showGridLines="0" zoomScaleNormal="100" workbookViewId="0">
      <pane ySplit="3" topLeftCell="A4" activePane="bottomLeft" state="frozen"/>
      <selection pane="bottomLeft" activeCell="H4" sqref="H4"/>
    </sheetView>
  </sheetViews>
  <sheetFormatPr defaultColWidth="8.5703125" defaultRowHeight="9"/>
  <cols>
    <col min="1" max="1" width="2.7109375" style="20" bestFit="1" customWidth="1"/>
    <col min="2" max="2" width="23.42578125" style="20" bestFit="1" customWidth="1"/>
    <col min="3" max="3" width="13.5703125" style="20" bestFit="1" customWidth="1"/>
    <col min="4" max="4" width="6.7109375" style="20" bestFit="1" customWidth="1"/>
    <col min="5" max="5" width="6.42578125" style="20" bestFit="1" customWidth="1"/>
    <col min="6" max="6" width="14.42578125" style="20" customWidth="1"/>
    <col min="7" max="7" width="8.85546875" style="20" bestFit="1" customWidth="1"/>
    <col min="8" max="8" width="14.140625" style="20" bestFit="1" customWidth="1"/>
    <col min="9" max="9" width="14" style="20" bestFit="1" customWidth="1"/>
    <col min="10" max="11" width="7.42578125" style="20" bestFit="1" customWidth="1"/>
    <col min="12" max="12" width="11" style="20" bestFit="1" customWidth="1"/>
    <col min="13" max="13" width="16.42578125" style="20" bestFit="1" customWidth="1"/>
    <col min="14" max="14" width="6.42578125" style="20" bestFit="1" customWidth="1"/>
    <col min="15" max="16384" width="8.5703125" style="20"/>
  </cols>
  <sheetData>
    <row r="1" spans="1:14">
      <c r="A1" s="133" t="s">
        <v>145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>
      <c r="A2" s="132" t="s">
        <v>146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4">
      <c r="A3" s="46" t="s">
        <v>250</v>
      </c>
      <c r="B3" s="46" t="s">
        <v>147</v>
      </c>
      <c r="C3" s="46" t="s">
        <v>148</v>
      </c>
      <c r="D3" s="46" t="s">
        <v>149</v>
      </c>
      <c r="E3" s="46" t="s">
        <v>150</v>
      </c>
      <c r="F3" s="46" t="s">
        <v>326</v>
      </c>
      <c r="G3" s="46" t="s">
        <v>151</v>
      </c>
      <c r="H3" s="46" t="s">
        <v>118</v>
      </c>
      <c r="I3" s="46" t="s">
        <v>152</v>
      </c>
      <c r="J3" s="46" t="s">
        <v>153</v>
      </c>
      <c r="K3" s="46" t="s">
        <v>154</v>
      </c>
      <c r="L3" s="46" t="s">
        <v>155</v>
      </c>
      <c r="M3" s="46" t="s">
        <v>156</v>
      </c>
      <c r="N3" s="46" t="s">
        <v>72</v>
      </c>
    </row>
    <row r="4" spans="1:14">
      <c r="A4" s="36"/>
      <c r="B4" s="25"/>
      <c r="C4" s="36"/>
      <c r="D4" s="36"/>
      <c r="E4" s="36"/>
      <c r="F4" s="18"/>
      <c r="G4" s="21"/>
      <c r="H4" s="18"/>
      <c r="I4" s="38"/>
      <c r="J4" s="36"/>
      <c r="K4" s="36"/>
      <c r="L4" s="37"/>
      <c r="M4" s="47"/>
      <c r="N4" s="36"/>
    </row>
    <row r="5" spans="1:14">
      <c r="A5" s="36"/>
      <c r="B5" s="25"/>
      <c r="C5" s="36"/>
      <c r="D5" s="36"/>
      <c r="E5" s="36"/>
      <c r="F5" s="18"/>
      <c r="G5" s="21"/>
      <c r="H5" s="18"/>
      <c r="I5" s="38"/>
      <c r="J5" s="36"/>
      <c r="K5" s="36"/>
      <c r="L5" s="37"/>
      <c r="M5" s="47"/>
      <c r="N5" s="36"/>
    </row>
    <row r="6" spans="1:14">
      <c r="A6" s="48"/>
      <c r="B6" s="48"/>
      <c r="C6" s="48"/>
      <c r="D6" s="49" t="s">
        <v>57</v>
      </c>
      <c r="E6" s="48"/>
      <c r="F6" s="50">
        <f>SUM(F4:F5)</f>
        <v>0</v>
      </c>
      <c r="G6" s="48"/>
      <c r="H6" s="50">
        <f>SUM(H4:H5)</f>
        <v>0</v>
      </c>
      <c r="I6" s="50">
        <f>SUM(I4:I5)</f>
        <v>0</v>
      </c>
      <c r="J6" s="48"/>
      <c r="K6" s="48"/>
      <c r="L6" s="48"/>
      <c r="M6" s="48"/>
      <c r="N6" s="48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3"/>
  <sheetViews>
    <sheetView showGridLines="0" zoomScaleNormal="100" workbookViewId="0">
      <pane ySplit="3" topLeftCell="A4" activePane="bottomLeft" state="frozen"/>
      <selection pane="bottomLeft" activeCell="L15" sqref="L15"/>
    </sheetView>
  </sheetViews>
  <sheetFormatPr defaultColWidth="8.5703125" defaultRowHeight="9"/>
  <cols>
    <col min="1" max="1" width="2.7109375" style="20" bestFit="1" customWidth="1"/>
    <col min="2" max="2" width="11.140625" style="20" bestFit="1" customWidth="1"/>
    <col min="3" max="3" width="25.28515625" style="20" bestFit="1" customWidth="1"/>
    <col min="4" max="4" width="24.5703125" style="20" bestFit="1" customWidth="1"/>
    <col min="5" max="5" width="7.28515625" style="20" bestFit="1" customWidth="1"/>
    <col min="6" max="6" width="15" style="20" bestFit="1" customWidth="1"/>
    <col min="7" max="7" width="8.85546875" style="20" bestFit="1" customWidth="1"/>
    <col min="8" max="8" width="6.140625" style="20" bestFit="1" customWidth="1"/>
    <col min="9" max="16384" width="8.5703125" style="20"/>
  </cols>
  <sheetData>
    <row r="1" spans="1:8">
      <c r="A1" s="133" t="s">
        <v>158</v>
      </c>
      <c r="B1" s="133"/>
      <c r="C1" s="133"/>
      <c r="D1" s="133"/>
      <c r="E1" s="133"/>
      <c r="F1" s="133"/>
      <c r="G1" s="133"/>
      <c r="H1" s="133"/>
    </row>
    <row r="2" spans="1:8">
      <c r="A2" s="131" t="s">
        <v>159</v>
      </c>
      <c r="B2" s="131"/>
      <c r="C2" s="131"/>
      <c r="D2" s="131"/>
      <c r="E2" s="131"/>
      <c r="F2" s="131"/>
      <c r="G2" s="131"/>
      <c r="H2" s="131"/>
    </row>
    <row r="3" spans="1:8">
      <c r="A3" s="46" t="s">
        <v>250</v>
      </c>
      <c r="B3" s="46" t="s">
        <v>160</v>
      </c>
      <c r="C3" s="46" t="s">
        <v>161</v>
      </c>
      <c r="D3" s="46" t="s">
        <v>162</v>
      </c>
      <c r="E3" s="46" t="s">
        <v>13</v>
      </c>
      <c r="F3" s="46" t="s">
        <v>163</v>
      </c>
      <c r="G3" s="46" t="s">
        <v>164</v>
      </c>
      <c r="H3" s="46" t="s">
        <v>105</v>
      </c>
    </row>
    <row r="4" spans="1:8">
      <c r="A4" s="36">
        <v>1</v>
      </c>
      <c r="B4" s="36" t="s">
        <v>165</v>
      </c>
      <c r="C4" s="47" t="s">
        <v>166</v>
      </c>
      <c r="D4" s="36" t="s">
        <v>167</v>
      </c>
      <c r="E4" s="45" t="s">
        <v>168</v>
      </c>
      <c r="F4" s="36"/>
      <c r="G4" s="45" t="s">
        <v>53</v>
      </c>
      <c r="H4" s="36"/>
    </row>
    <row r="5" spans="1:8">
      <c r="A5" s="36">
        <v>2</v>
      </c>
      <c r="B5" s="36" t="s">
        <v>165</v>
      </c>
      <c r="C5" s="47" t="s">
        <v>169</v>
      </c>
      <c r="D5" s="36" t="s">
        <v>170</v>
      </c>
      <c r="E5" s="45" t="s">
        <v>168</v>
      </c>
      <c r="F5" s="36"/>
      <c r="G5" s="45" t="s">
        <v>53</v>
      </c>
      <c r="H5" s="36"/>
    </row>
    <row r="6" spans="1:8" ht="18">
      <c r="A6" s="36">
        <v>3</v>
      </c>
      <c r="B6" s="36" t="s">
        <v>165</v>
      </c>
      <c r="C6" s="47" t="s">
        <v>171</v>
      </c>
      <c r="D6" s="36" t="s">
        <v>172</v>
      </c>
      <c r="E6" s="45" t="s">
        <v>168</v>
      </c>
      <c r="F6" s="36"/>
      <c r="G6" s="45" t="s">
        <v>53</v>
      </c>
      <c r="H6" s="36"/>
    </row>
    <row r="7" spans="1:8">
      <c r="A7" s="16">
        <v>4</v>
      </c>
      <c r="B7" s="16" t="s">
        <v>144</v>
      </c>
      <c r="C7" s="17" t="s">
        <v>173</v>
      </c>
      <c r="D7" s="16" t="s">
        <v>174</v>
      </c>
      <c r="E7" s="45" t="s">
        <v>168</v>
      </c>
      <c r="F7" s="16"/>
      <c r="G7" s="45" t="s">
        <v>53</v>
      </c>
      <c r="H7" s="16"/>
    </row>
    <row r="8" spans="1:8">
      <c r="A8" s="16">
        <v>5</v>
      </c>
      <c r="B8" s="16" t="s">
        <v>144</v>
      </c>
      <c r="C8" s="17" t="s">
        <v>175</v>
      </c>
      <c r="D8" s="16" t="s">
        <v>176</v>
      </c>
      <c r="E8" s="45" t="s">
        <v>168</v>
      </c>
      <c r="F8" s="16"/>
      <c r="G8" s="45" t="s">
        <v>53</v>
      </c>
      <c r="H8" s="16"/>
    </row>
    <row r="9" spans="1:8">
      <c r="A9" s="16">
        <v>6</v>
      </c>
      <c r="B9" s="16" t="s">
        <v>144</v>
      </c>
      <c r="C9" s="17" t="s">
        <v>177</v>
      </c>
      <c r="D9" s="16" t="s">
        <v>178</v>
      </c>
      <c r="E9" s="45" t="s">
        <v>168</v>
      </c>
      <c r="F9" s="16"/>
      <c r="G9" s="45" t="s">
        <v>53</v>
      </c>
      <c r="H9" s="16"/>
    </row>
    <row r="10" spans="1:8">
      <c r="A10" s="16">
        <v>7</v>
      </c>
      <c r="B10" s="16" t="s">
        <v>144</v>
      </c>
      <c r="C10" s="17" t="s">
        <v>179</v>
      </c>
      <c r="D10" s="16" t="s">
        <v>180</v>
      </c>
      <c r="E10" s="45" t="s">
        <v>168</v>
      </c>
      <c r="F10" s="16"/>
      <c r="G10" s="45" t="s">
        <v>53</v>
      </c>
      <c r="H10" s="16"/>
    </row>
    <row r="11" spans="1:8">
      <c r="A11" s="16">
        <v>8</v>
      </c>
      <c r="B11" s="16" t="s">
        <v>144</v>
      </c>
      <c r="C11" s="17" t="s">
        <v>181</v>
      </c>
      <c r="D11" s="16" t="s">
        <v>182</v>
      </c>
      <c r="E11" s="45" t="s">
        <v>168</v>
      </c>
      <c r="F11" s="16"/>
      <c r="G11" s="45" t="s">
        <v>53</v>
      </c>
      <c r="H11" s="16"/>
    </row>
    <row r="12" spans="1:8">
      <c r="A12" s="36">
        <v>9</v>
      </c>
      <c r="B12" s="36" t="s">
        <v>183</v>
      </c>
      <c r="C12" s="47" t="s">
        <v>184</v>
      </c>
      <c r="D12" s="36" t="s">
        <v>185</v>
      </c>
      <c r="E12" s="45" t="s">
        <v>168</v>
      </c>
      <c r="F12" s="36"/>
      <c r="G12" s="45" t="s">
        <v>53</v>
      </c>
      <c r="H12" s="36"/>
    </row>
    <row r="13" spans="1:8">
      <c r="A13" s="36">
        <v>10</v>
      </c>
      <c r="B13" s="36" t="s">
        <v>183</v>
      </c>
      <c r="C13" s="47" t="s">
        <v>186</v>
      </c>
      <c r="D13" s="36" t="s">
        <v>187</v>
      </c>
      <c r="E13" s="45" t="s">
        <v>168</v>
      </c>
      <c r="F13" s="36"/>
      <c r="G13" s="45" t="s">
        <v>53</v>
      </c>
      <c r="H13" s="36"/>
    </row>
    <row r="14" spans="1:8">
      <c r="A14" s="16">
        <v>11</v>
      </c>
      <c r="B14" s="16" t="s">
        <v>188</v>
      </c>
      <c r="C14" s="17" t="s">
        <v>189</v>
      </c>
      <c r="D14" s="16" t="s">
        <v>190</v>
      </c>
      <c r="E14" s="45" t="s">
        <v>168</v>
      </c>
      <c r="F14" s="16"/>
      <c r="G14" s="45" t="s">
        <v>53</v>
      </c>
      <c r="H14" s="16"/>
    </row>
    <row r="15" spans="1:8" ht="18">
      <c r="A15" s="16">
        <v>12</v>
      </c>
      <c r="B15" s="16" t="s">
        <v>188</v>
      </c>
      <c r="C15" s="17" t="s">
        <v>191</v>
      </c>
      <c r="D15" s="16" t="s">
        <v>192</v>
      </c>
      <c r="E15" s="45" t="s">
        <v>168</v>
      </c>
      <c r="F15" s="16"/>
      <c r="G15" s="45" t="s">
        <v>53</v>
      </c>
      <c r="H15" s="16"/>
    </row>
    <row r="16" spans="1:8">
      <c r="A16" s="65">
        <v>13</v>
      </c>
      <c r="B16" s="65" t="s">
        <v>142</v>
      </c>
      <c r="C16" s="66" t="s">
        <v>193</v>
      </c>
      <c r="D16" s="65" t="s">
        <v>178</v>
      </c>
      <c r="E16" s="45" t="s">
        <v>168</v>
      </c>
      <c r="F16" s="65"/>
      <c r="G16" s="45" t="s">
        <v>53</v>
      </c>
      <c r="H16" s="65"/>
    </row>
    <row r="17" spans="1:8">
      <c r="A17" s="65">
        <v>14</v>
      </c>
      <c r="B17" s="65" t="s">
        <v>142</v>
      </c>
      <c r="C17" s="66" t="s">
        <v>194</v>
      </c>
      <c r="D17" s="65" t="s">
        <v>178</v>
      </c>
      <c r="E17" s="45" t="s">
        <v>168</v>
      </c>
      <c r="F17" s="65"/>
      <c r="G17" s="45" t="s">
        <v>53</v>
      </c>
      <c r="H17" s="65"/>
    </row>
    <row r="18" spans="1:8">
      <c r="A18" s="22">
        <v>15</v>
      </c>
      <c r="B18" s="22" t="s">
        <v>195</v>
      </c>
      <c r="C18" s="23" t="s">
        <v>196</v>
      </c>
      <c r="D18" s="22" t="s">
        <v>197</v>
      </c>
      <c r="E18" s="45" t="s">
        <v>168</v>
      </c>
      <c r="F18" s="22"/>
      <c r="G18" s="45" t="s">
        <v>53</v>
      </c>
      <c r="H18" s="22"/>
    </row>
    <row r="19" spans="1:8">
      <c r="A19" s="22">
        <v>16</v>
      </c>
      <c r="B19" s="22" t="s">
        <v>195</v>
      </c>
      <c r="C19" s="23" t="s">
        <v>198</v>
      </c>
      <c r="D19" s="22" t="s">
        <v>199</v>
      </c>
      <c r="E19" s="45" t="s">
        <v>168</v>
      </c>
      <c r="F19" s="22"/>
      <c r="G19" s="45" t="s">
        <v>53</v>
      </c>
      <c r="H19" s="22"/>
    </row>
    <row r="20" spans="1:8">
      <c r="A20" s="22">
        <v>17</v>
      </c>
      <c r="B20" s="22" t="s">
        <v>195</v>
      </c>
      <c r="C20" s="23" t="s">
        <v>200</v>
      </c>
      <c r="D20" s="22" t="s">
        <v>199</v>
      </c>
      <c r="E20" s="45" t="s">
        <v>168</v>
      </c>
      <c r="F20" s="22"/>
      <c r="G20" s="45" t="s">
        <v>53</v>
      </c>
      <c r="H20" s="22"/>
    </row>
    <row r="21" spans="1:8">
      <c r="A21" s="22">
        <v>18</v>
      </c>
      <c r="B21" s="22" t="s">
        <v>195</v>
      </c>
      <c r="C21" s="23" t="s">
        <v>201</v>
      </c>
      <c r="D21" s="22" t="s">
        <v>202</v>
      </c>
      <c r="E21" s="45" t="s">
        <v>168</v>
      </c>
      <c r="F21" s="22"/>
      <c r="G21" s="45" t="s">
        <v>53</v>
      </c>
      <c r="H21" s="22"/>
    </row>
    <row r="23" spans="1:8">
      <c r="A23" s="134" t="s">
        <v>203</v>
      </c>
      <c r="B23" s="134"/>
      <c r="C23" s="134"/>
      <c r="D23" s="134"/>
      <c r="E23" s="134"/>
      <c r="F23" s="134"/>
      <c r="G23" s="134"/>
      <c r="H23" s="134"/>
    </row>
  </sheetData>
  <mergeCells count="3">
    <mergeCell ref="A23:H23"/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R&amp;P_PIVOT</vt:lpstr>
      <vt:lpstr>1-TXN-REG</vt:lpstr>
      <vt:lpstr>2-RECEIPTS</vt:lpstr>
      <vt:lpstr>3-PAYMENTS</vt:lpstr>
      <vt:lpstr>4-R&amp;P-SUMMARY</vt:lpstr>
      <vt:lpstr>5-BANK-RECON</vt:lpstr>
      <vt:lpstr>6-PAYROLL</vt:lpstr>
      <vt:lpstr>7-FIXED-PMTS</vt:lpstr>
      <vt:lpstr>8-TAX</vt:lpstr>
      <vt:lpstr>A-GRANTS</vt:lpstr>
      <vt:lpstr>B-COMPLIANCE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lusso auditor</cp:lastModifiedBy>
  <cp:revision>0</cp:revision>
  <cp:lastPrinted>2026-05-04T01:21:01Z</cp:lastPrinted>
  <dcterms:created xsi:type="dcterms:W3CDTF">2026-04-19T14:06:59Z</dcterms:created>
  <dcterms:modified xsi:type="dcterms:W3CDTF">2026-06-03T21:34:08Z</dcterms:modified>
  <dc:language>en-US</dc:language>
</cp:coreProperties>
</file>